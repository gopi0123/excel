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https://d.docs.live.net/5e30c12a326608a7/Desktop/PW COURSE/EXCEL/"/>
    </mc:Choice>
  </mc:AlternateContent>
  <xr:revisionPtr revIDLastSave="22" documentId="11_F25DC773A252ABDACC104835C91E41EE5ADE58E7" xr6:coauthVersionLast="47" xr6:coauthVersionMax="47" xr10:uidLastSave="{175D6467-59D3-40D8-8FD4-03225287AF3F}"/>
  <bookViews>
    <workbookView xWindow="-120" yWindow="-120" windowWidth="26640" windowHeight="14370" activeTab="1" xr2:uid="{00000000-000D-0000-FFFF-FFFF00000000}"/>
  </bookViews>
  <sheets>
    <sheet name="DATA SET" sheetId="1" r:id="rId1"/>
    <sheet name="Q1" sheetId="2" r:id="rId2"/>
    <sheet name="Q2" sheetId="3" r:id="rId3"/>
    <sheet name="Q3" sheetId="4" r:id="rId4"/>
    <sheet name="Q4" sheetId="5" r:id="rId5"/>
    <sheet name="Q5" sheetId="6" r:id="rId6"/>
    <sheet name="Q6" sheetId="7" r:id="rId7"/>
    <sheet name="Q7" sheetId="8" r:id="rId8"/>
    <sheet name="Q8" sheetId="9" r:id="rId9"/>
    <sheet name="Q8 DASHBOARD" sheetId="13" r:id="rId10"/>
    <sheet name="Q9" sheetId="10" r:id="rId11"/>
  </sheets>
  <definedNames>
    <definedName name="_xlnm._FilterDatabase" localSheetId="1" hidden="1">'Q1'!$B$6:$K$6</definedName>
    <definedName name="_xlnm._FilterDatabase" localSheetId="2" hidden="1">'Q2'!$B$6:$L$356</definedName>
    <definedName name="_xlnm._FilterDatabase" localSheetId="3" hidden="1">'Q3'!$B$6:$K$6</definedName>
    <definedName name="_xlnm._FilterDatabase" localSheetId="4" hidden="1">'Q4'!$B$6:$L$6</definedName>
    <definedName name="_xlnm._FilterDatabase" localSheetId="5" hidden="1">'Q5'!$B$6:$L$356</definedName>
  </definedNames>
  <calcPr calcId="191029"/>
  <pivotCaches>
    <pivotCache cacheId="30" r:id="rId12"/>
    <pivotCache cacheId="11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6" i="13" l="1"/>
  <c r="D2" i="13"/>
  <c r="C2" i="13"/>
  <c r="B2" i="13"/>
  <c r="A2" i="13"/>
  <c r="L356" i="9"/>
  <c r="K356" i="9"/>
  <c r="L355" i="9"/>
  <c r="K355" i="9"/>
  <c r="L354" i="9"/>
  <c r="K354" i="9"/>
  <c r="L353" i="9"/>
  <c r="K353" i="9"/>
  <c r="L352" i="9"/>
  <c r="K352" i="9"/>
  <c r="L351" i="9"/>
  <c r="K351" i="9"/>
  <c r="L350" i="9"/>
  <c r="K350" i="9"/>
  <c r="L349" i="9"/>
  <c r="K349" i="9"/>
  <c r="L348" i="9"/>
  <c r="K348" i="9"/>
  <c r="L347" i="9"/>
  <c r="K347" i="9"/>
  <c r="L346" i="9"/>
  <c r="K346" i="9"/>
  <c r="L345" i="9"/>
  <c r="K345" i="9"/>
  <c r="L344" i="9"/>
  <c r="K344" i="9"/>
  <c r="L343" i="9"/>
  <c r="K343" i="9"/>
  <c r="L342" i="9"/>
  <c r="K342" i="9"/>
  <c r="L341" i="9"/>
  <c r="K341" i="9"/>
  <c r="L340" i="9"/>
  <c r="K340" i="9"/>
  <c r="L339" i="9"/>
  <c r="K339" i="9"/>
  <c r="L338" i="9"/>
  <c r="K338" i="9"/>
  <c r="L337" i="9"/>
  <c r="K337" i="9"/>
  <c r="L336" i="9"/>
  <c r="K336" i="9"/>
  <c r="L335" i="9"/>
  <c r="K335" i="9"/>
  <c r="L334" i="9"/>
  <c r="K334" i="9"/>
  <c r="L333" i="9"/>
  <c r="K333" i="9"/>
  <c r="L332" i="9"/>
  <c r="K332" i="9"/>
  <c r="L331" i="9"/>
  <c r="K331" i="9"/>
  <c r="L330" i="9"/>
  <c r="K330" i="9"/>
  <c r="L329" i="9"/>
  <c r="K329" i="9"/>
  <c r="L328" i="9"/>
  <c r="K328" i="9"/>
  <c r="L327" i="9"/>
  <c r="K327" i="9"/>
  <c r="L326" i="9"/>
  <c r="K326" i="9"/>
  <c r="L325" i="9"/>
  <c r="K325" i="9"/>
  <c r="L324" i="9"/>
  <c r="K324" i="9"/>
  <c r="L323" i="9"/>
  <c r="K323" i="9"/>
  <c r="L322" i="9"/>
  <c r="K322" i="9"/>
  <c r="L321" i="9"/>
  <c r="K321" i="9"/>
  <c r="L320" i="9"/>
  <c r="K320" i="9"/>
  <c r="L319" i="9"/>
  <c r="K319" i="9"/>
  <c r="L318" i="9"/>
  <c r="K318" i="9"/>
  <c r="L317" i="9"/>
  <c r="K317" i="9"/>
  <c r="L316" i="9"/>
  <c r="K316" i="9"/>
  <c r="L315" i="9"/>
  <c r="K315" i="9"/>
  <c r="L314" i="9"/>
  <c r="K314" i="9"/>
  <c r="L313" i="9"/>
  <c r="K313" i="9"/>
  <c r="L312" i="9"/>
  <c r="K312" i="9"/>
  <c r="L311" i="9"/>
  <c r="K311" i="9"/>
  <c r="L310" i="9"/>
  <c r="K310" i="9"/>
  <c r="L309" i="9"/>
  <c r="K309" i="9"/>
  <c r="L308" i="9"/>
  <c r="K308" i="9"/>
  <c r="L307" i="9"/>
  <c r="K307" i="9"/>
  <c r="L306" i="9"/>
  <c r="K306" i="9"/>
  <c r="L305" i="9"/>
  <c r="K305" i="9"/>
  <c r="L304" i="9"/>
  <c r="K304" i="9"/>
  <c r="L303" i="9"/>
  <c r="K303" i="9"/>
  <c r="L302" i="9"/>
  <c r="K302" i="9"/>
  <c r="L301" i="9"/>
  <c r="K301" i="9"/>
  <c r="L300" i="9"/>
  <c r="K300" i="9"/>
  <c r="L299" i="9"/>
  <c r="K299" i="9"/>
  <c r="L298" i="9"/>
  <c r="K298" i="9"/>
  <c r="L297" i="9"/>
  <c r="K297" i="9"/>
  <c r="L296" i="9"/>
  <c r="K296" i="9"/>
  <c r="L295" i="9"/>
  <c r="K295" i="9"/>
  <c r="L294" i="9"/>
  <c r="K294" i="9"/>
  <c r="L293" i="9"/>
  <c r="K293" i="9"/>
  <c r="L292" i="9"/>
  <c r="K292" i="9"/>
  <c r="L291" i="9"/>
  <c r="K291" i="9"/>
  <c r="L290" i="9"/>
  <c r="K290" i="9"/>
  <c r="L289" i="9"/>
  <c r="K289" i="9"/>
  <c r="L288" i="9"/>
  <c r="K288" i="9"/>
  <c r="L287" i="9"/>
  <c r="K287" i="9"/>
  <c r="L286" i="9"/>
  <c r="K286" i="9"/>
  <c r="L285" i="9"/>
  <c r="K285" i="9"/>
  <c r="L284" i="9"/>
  <c r="K284" i="9"/>
  <c r="L283" i="9"/>
  <c r="K283" i="9"/>
  <c r="L282" i="9"/>
  <c r="K282" i="9"/>
  <c r="L281" i="9"/>
  <c r="K281" i="9"/>
  <c r="L280" i="9"/>
  <c r="K280" i="9"/>
  <c r="L279" i="9"/>
  <c r="K279" i="9"/>
  <c r="L278" i="9"/>
  <c r="K278" i="9"/>
  <c r="L277" i="9"/>
  <c r="K277" i="9"/>
  <c r="L276" i="9"/>
  <c r="K276" i="9"/>
  <c r="L275" i="9"/>
  <c r="K275" i="9"/>
  <c r="L274" i="9"/>
  <c r="K274" i="9"/>
  <c r="L273" i="9"/>
  <c r="K273" i="9"/>
  <c r="L272" i="9"/>
  <c r="K272" i="9"/>
  <c r="L271" i="9"/>
  <c r="K271" i="9"/>
  <c r="L270" i="9"/>
  <c r="K270" i="9"/>
  <c r="L269" i="9"/>
  <c r="K269" i="9"/>
  <c r="L268" i="9"/>
  <c r="K268" i="9"/>
  <c r="L267" i="9"/>
  <c r="K267" i="9"/>
  <c r="L266" i="9"/>
  <c r="K266" i="9"/>
  <c r="L265" i="9"/>
  <c r="K265" i="9"/>
  <c r="L264" i="9"/>
  <c r="K264" i="9"/>
  <c r="L263" i="9"/>
  <c r="K263" i="9"/>
  <c r="L262" i="9"/>
  <c r="K262" i="9"/>
  <c r="L261" i="9"/>
  <c r="K261" i="9"/>
  <c r="L260" i="9"/>
  <c r="K260" i="9"/>
  <c r="L259" i="9"/>
  <c r="K259" i="9"/>
  <c r="L258" i="9"/>
  <c r="K258" i="9"/>
  <c r="L257" i="9"/>
  <c r="K257" i="9"/>
  <c r="L256" i="9"/>
  <c r="K256" i="9"/>
  <c r="L255" i="9"/>
  <c r="K255" i="9"/>
  <c r="L254" i="9"/>
  <c r="K254" i="9"/>
  <c r="L253" i="9"/>
  <c r="K253" i="9"/>
  <c r="L252" i="9"/>
  <c r="K252" i="9"/>
  <c r="L251" i="9"/>
  <c r="K251" i="9"/>
  <c r="L250" i="9"/>
  <c r="K250" i="9"/>
  <c r="L249" i="9"/>
  <c r="K249" i="9"/>
  <c r="L248" i="9"/>
  <c r="K248" i="9"/>
  <c r="L247" i="9"/>
  <c r="K247" i="9"/>
  <c r="L246" i="9"/>
  <c r="K246" i="9"/>
  <c r="L245" i="9"/>
  <c r="K245" i="9"/>
  <c r="L244" i="9"/>
  <c r="K244" i="9"/>
  <c r="L243" i="9"/>
  <c r="K243" i="9"/>
  <c r="L242" i="9"/>
  <c r="K242" i="9"/>
  <c r="L241" i="9"/>
  <c r="K241" i="9"/>
  <c r="L240" i="9"/>
  <c r="K240" i="9"/>
  <c r="L239" i="9"/>
  <c r="K239" i="9"/>
  <c r="L238" i="9"/>
  <c r="K238" i="9"/>
  <c r="L237" i="9"/>
  <c r="K237" i="9"/>
  <c r="L236" i="9"/>
  <c r="K236" i="9"/>
  <c r="L235" i="9"/>
  <c r="K235" i="9"/>
  <c r="L234" i="9"/>
  <c r="K234" i="9"/>
  <c r="L233" i="9"/>
  <c r="K233" i="9"/>
  <c r="L232" i="9"/>
  <c r="K232" i="9"/>
  <c r="L231" i="9"/>
  <c r="K231" i="9"/>
  <c r="L230" i="9"/>
  <c r="K230" i="9"/>
  <c r="L229" i="9"/>
  <c r="K229" i="9"/>
  <c r="L228" i="9"/>
  <c r="K228" i="9"/>
  <c r="L227" i="9"/>
  <c r="K227" i="9"/>
  <c r="L226" i="9"/>
  <c r="K226" i="9"/>
  <c r="L225" i="9"/>
  <c r="K225" i="9"/>
  <c r="L224" i="9"/>
  <c r="K224" i="9"/>
  <c r="L223" i="9"/>
  <c r="K223" i="9"/>
  <c r="L222" i="9"/>
  <c r="K222" i="9"/>
  <c r="L221" i="9"/>
  <c r="K221" i="9"/>
  <c r="L220" i="9"/>
  <c r="K220" i="9"/>
  <c r="L219" i="9"/>
  <c r="K219" i="9"/>
  <c r="L218" i="9"/>
  <c r="K218" i="9"/>
  <c r="L217" i="9"/>
  <c r="K217" i="9"/>
  <c r="L216" i="9"/>
  <c r="K216" i="9"/>
  <c r="L215" i="9"/>
  <c r="K215" i="9"/>
  <c r="L214" i="9"/>
  <c r="K214" i="9"/>
  <c r="L213" i="9"/>
  <c r="K213" i="9"/>
  <c r="L212" i="9"/>
  <c r="K212" i="9"/>
  <c r="L211" i="9"/>
  <c r="K211" i="9"/>
  <c r="L210" i="9"/>
  <c r="K210" i="9"/>
  <c r="L209" i="9"/>
  <c r="K209" i="9"/>
  <c r="L208" i="9"/>
  <c r="K208" i="9"/>
  <c r="L207" i="9"/>
  <c r="K207" i="9"/>
  <c r="L206" i="9"/>
  <c r="K206" i="9"/>
  <c r="L205" i="9"/>
  <c r="K205" i="9"/>
  <c r="L204" i="9"/>
  <c r="K204" i="9"/>
  <c r="L203" i="9"/>
  <c r="K203" i="9"/>
  <c r="L202" i="9"/>
  <c r="K202" i="9"/>
  <c r="L201" i="9"/>
  <c r="K201" i="9"/>
  <c r="L200" i="9"/>
  <c r="K200" i="9"/>
  <c r="L199" i="9"/>
  <c r="K199" i="9"/>
  <c r="L198" i="9"/>
  <c r="K198" i="9"/>
  <c r="L197" i="9"/>
  <c r="K197" i="9"/>
  <c r="L196" i="9"/>
  <c r="K196" i="9"/>
  <c r="L195" i="9"/>
  <c r="K195" i="9"/>
  <c r="L194" i="9"/>
  <c r="K194" i="9"/>
  <c r="L193" i="9"/>
  <c r="K193" i="9"/>
  <c r="L192" i="9"/>
  <c r="K192" i="9"/>
  <c r="L191" i="9"/>
  <c r="K191" i="9"/>
  <c r="L190" i="9"/>
  <c r="K190" i="9"/>
  <c r="L189" i="9"/>
  <c r="K189" i="9"/>
  <c r="L188" i="9"/>
  <c r="K188" i="9"/>
  <c r="L187" i="9"/>
  <c r="K187" i="9"/>
  <c r="L186" i="9"/>
  <c r="K186" i="9"/>
  <c r="L185" i="9"/>
  <c r="K185" i="9"/>
  <c r="L184" i="9"/>
  <c r="K184" i="9"/>
  <c r="L183" i="9"/>
  <c r="K183" i="9"/>
  <c r="L182" i="9"/>
  <c r="K182" i="9"/>
  <c r="L181" i="9"/>
  <c r="K181" i="9"/>
  <c r="L180" i="9"/>
  <c r="K180" i="9"/>
  <c r="L179" i="9"/>
  <c r="K179" i="9"/>
  <c r="L178" i="9"/>
  <c r="K178" i="9"/>
  <c r="L177" i="9"/>
  <c r="K177" i="9"/>
  <c r="L176" i="9"/>
  <c r="K176" i="9"/>
  <c r="L175" i="9"/>
  <c r="K175" i="9"/>
  <c r="L174" i="9"/>
  <c r="K174" i="9"/>
  <c r="L173" i="9"/>
  <c r="K173" i="9"/>
  <c r="L172" i="9"/>
  <c r="K172" i="9"/>
  <c r="L171" i="9"/>
  <c r="K171" i="9"/>
  <c r="L170" i="9"/>
  <c r="K170" i="9"/>
  <c r="L169" i="9"/>
  <c r="K169" i="9"/>
  <c r="L168" i="9"/>
  <c r="K168" i="9"/>
  <c r="L167" i="9"/>
  <c r="K167" i="9"/>
  <c r="L166" i="9"/>
  <c r="K166" i="9"/>
  <c r="L165" i="9"/>
  <c r="K165" i="9"/>
  <c r="L164" i="9"/>
  <c r="K164" i="9"/>
  <c r="L163" i="9"/>
  <c r="K163" i="9"/>
  <c r="L162" i="9"/>
  <c r="K162" i="9"/>
  <c r="L161" i="9"/>
  <c r="K161" i="9"/>
  <c r="L160" i="9"/>
  <c r="K160" i="9"/>
  <c r="L159" i="9"/>
  <c r="K159" i="9"/>
  <c r="L158" i="9"/>
  <c r="K158" i="9"/>
  <c r="L157" i="9"/>
  <c r="K157" i="9"/>
  <c r="L156" i="9"/>
  <c r="K156" i="9"/>
  <c r="L155" i="9"/>
  <c r="K155" i="9"/>
  <c r="L154" i="9"/>
  <c r="K154" i="9"/>
  <c r="L153" i="9"/>
  <c r="K153" i="9"/>
  <c r="L152" i="9"/>
  <c r="K152" i="9"/>
  <c r="L151" i="9"/>
  <c r="K151" i="9"/>
  <c r="L150" i="9"/>
  <c r="K150" i="9"/>
  <c r="L149" i="9"/>
  <c r="K149" i="9"/>
  <c r="L148" i="9"/>
  <c r="K148" i="9"/>
  <c r="L147" i="9"/>
  <c r="K147" i="9"/>
  <c r="L146" i="9"/>
  <c r="K146" i="9"/>
  <c r="L145" i="9"/>
  <c r="K145" i="9"/>
  <c r="L144" i="9"/>
  <c r="K144" i="9"/>
  <c r="L143" i="9"/>
  <c r="K143" i="9"/>
  <c r="L142" i="9"/>
  <c r="K142" i="9"/>
  <c r="L141" i="9"/>
  <c r="K141" i="9"/>
  <c r="L140" i="9"/>
  <c r="K140" i="9"/>
  <c r="L139" i="9"/>
  <c r="K139" i="9"/>
  <c r="L138" i="9"/>
  <c r="K138" i="9"/>
  <c r="L137" i="9"/>
  <c r="K137" i="9"/>
  <c r="L136" i="9"/>
  <c r="K136" i="9"/>
  <c r="L135" i="9"/>
  <c r="K135" i="9"/>
  <c r="L134" i="9"/>
  <c r="K134" i="9"/>
  <c r="L133" i="9"/>
  <c r="K133" i="9"/>
  <c r="L132" i="9"/>
  <c r="K132" i="9"/>
  <c r="L131" i="9"/>
  <c r="K131" i="9"/>
  <c r="L130" i="9"/>
  <c r="K130" i="9"/>
  <c r="L129" i="9"/>
  <c r="K129" i="9"/>
  <c r="L128" i="9"/>
  <c r="K128" i="9"/>
  <c r="L127" i="9"/>
  <c r="K127" i="9"/>
  <c r="L126" i="9"/>
  <c r="K126" i="9"/>
  <c r="L125" i="9"/>
  <c r="K125" i="9"/>
  <c r="L124" i="9"/>
  <c r="K124" i="9"/>
  <c r="L123" i="9"/>
  <c r="K123" i="9"/>
  <c r="L122" i="9"/>
  <c r="K122" i="9"/>
  <c r="L121" i="9"/>
  <c r="K121" i="9"/>
  <c r="L120" i="9"/>
  <c r="K120" i="9"/>
  <c r="L119" i="9"/>
  <c r="K119" i="9"/>
  <c r="L118" i="9"/>
  <c r="K118" i="9"/>
  <c r="L117" i="9"/>
  <c r="K117" i="9"/>
  <c r="L116" i="9"/>
  <c r="K116" i="9"/>
  <c r="L115" i="9"/>
  <c r="K115" i="9"/>
  <c r="L114" i="9"/>
  <c r="K114" i="9"/>
  <c r="L113" i="9"/>
  <c r="K113" i="9"/>
  <c r="L112" i="9"/>
  <c r="K112" i="9"/>
  <c r="L111" i="9"/>
  <c r="K111" i="9"/>
  <c r="L110" i="9"/>
  <c r="K110" i="9"/>
  <c r="L109" i="9"/>
  <c r="K109" i="9"/>
  <c r="L108" i="9"/>
  <c r="K108" i="9"/>
  <c r="L107" i="9"/>
  <c r="K107" i="9"/>
  <c r="L106" i="9"/>
  <c r="K106" i="9"/>
  <c r="L105" i="9"/>
  <c r="K105" i="9"/>
  <c r="L104" i="9"/>
  <c r="K104" i="9"/>
  <c r="L103" i="9"/>
  <c r="K103" i="9"/>
  <c r="L102" i="9"/>
  <c r="K102" i="9"/>
  <c r="L101" i="9"/>
  <c r="K101" i="9"/>
  <c r="L100" i="9"/>
  <c r="K100" i="9"/>
  <c r="L99" i="9"/>
  <c r="K99" i="9"/>
  <c r="L98" i="9"/>
  <c r="K98" i="9"/>
  <c r="L97" i="9"/>
  <c r="K97" i="9"/>
  <c r="L96" i="9"/>
  <c r="K96" i="9"/>
  <c r="L95" i="9"/>
  <c r="K95" i="9"/>
  <c r="L94" i="9"/>
  <c r="K94" i="9"/>
  <c r="L93" i="9"/>
  <c r="K93" i="9"/>
  <c r="L92" i="9"/>
  <c r="K92" i="9"/>
  <c r="L91" i="9"/>
  <c r="K91" i="9"/>
  <c r="L90" i="9"/>
  <c r="K90" i="9"/>
  <c r="L89" i="9"/>
  <c r="K89" i="9"/>
  <c r="L88" i="9"/>
  <c r="K88" i="9"/>
  <c r="L87" i="9"/>
  <c r="K87" i="9"/>
  <c r="L86" i="9"/>
  <c r="K86" i="9"/>
  <c r="L85" i="9"/>
  <c r="K85" i="9"/>
  <c r="L84" i="9"/>
  <c r="K84" i="9"/>
  <c r="L83" i="9"/>
  <c r="K83" i="9"/>
  <c r="L82" i="9"/>
  <c r="K82" i="9"/>
  <c r="L81" i="9"/>
  <c r="K81" i="9"/>
  <c r="L80" i="9"/>
  <c r="K80" i="9"/>
  <c r="L79" i="9"/>
  <c r="K79" i="9"/>
  <c r="L78" i="9"/>
  <c r="K78" i="9"/>
  <c r="L77" i="9"/>
  <c r="K77" i="9"/>
  <c r="L76" i="9"/>
  <c r="K76" i="9"/>
  <c r="L75" i="9"/>
  <c r="K75" i="9"/>
  <c r="L74" i="9"/>
  <c r="K74" i="9"/>
  <c r="L73" i="9"/>
  <c r="K73" i="9"/>
  <c r="L72" i="9"/>
  <c r="K72" i="9"/>
  <c r="L71" i="9"/>
  <c r="K71" i="9"/>
  <c r="L70" i="9"/>
  <c r="K70" i="9"/>
  <c r="L69" i="9"/>
  <c r="K69" i="9"/>
  <c r="L68" i="9"/>
  <c r="K68" i="9"/>
  <c r="L67" i="9"/>
  <c r="K67" i="9"/>
  <c r="L66" i="9"/>
  <c r="K66" i="9"/>
  <c r="L65" i="9"/>
  <c r="K65" i="9"/>
  <c r="L64" i="9"/>
  <c r="K64" i="9"/>
  <c r="L63" i="9"/>
  <c r="K63" i="9"/>
  <c r="L62" i="9"/>
  <c r="K62" i="9"/>
  <c r="L61" i="9"/>
  <c r="K61" i="9"/>
  <c r="L60" i="9"/>
  <c r="K60" i="9"/>
  <c r="L59" i="9"/>
  <c r="K59" i="9"/>
  <c r="L58" i="9"/>
  <c r="K58" i="9"/>
  <c r="L57" i="9"/>
  <c r="K57" i="9"/>
  <c r="L56" i="9"/>
  <c r="K56" i="9"/>
  <c r="L55" i="9"/>
  <c r="K55" i="9"/>
  <c r="L54" i="9"/>
  <c r="K54" i="9"/>
  <c r="L53" i="9"/>
  <c r="K53" i="9"/>
  <c r="L52" i="9"/>
  <c r="K52" i="9"/>
  <c r="L51" i="9"/>
  <c r="K51" i="9"/>
  <c r="L50" i="9"/>
  <c r="K50" i="9"/>
  <c r="L49" i="9"/>
  <c r="K49" i="9"/>
  <c r="L48" i="9"/>
  <c r="K48" i="9"/>
  <c r="L47" i="9"/>
  <c r="K47" i="9"/>
  <c r="L46" i="9"/>
  <c r="K46" i="9"/>
  <c r="L45" i="9"/>
  <c r="K45" i="9"/>
  <c r="L44" i="9"/>
  <c r="K44" i="9"/>
  <c r="L43" i="9"/>
  <c r="K43" i="9"/>
  <c r="L42" i="9"/>
  <c r="K42" i="9"/>
  <c r="L41" i="9"/>
  <c r="K41" i="9"/>
  <c r="L40" i="9"/>
  <c r="K40" i="9"/>
  <c r="L39" i="9"/>
  <c r="K39" i="9"/>
  <c r="L38" i="9"/>
  <c r="K38" i="9"/>
  <c r="L37" i="9"/>
  <c r="K37" i="9"/>
  <c r="L36" i="9"/>
  <c r="K36" i="9"/>
  <c r="L35" i="9"/>
  <c r="K35" i="9"/>
  <c r="L34" i="9"/>
  <c r="K34" i="9"/>
  <c r="L33" i="9"/>
  <c r="K33" i="9"/>
  <c r="L32" i="9"/>
  <c r="K32" i="9"/>
  <c r="L31" i="9"/>
  <c r="K31" i="9"/>
  <c r="L30" i="9"/>
  <c r="K30" i="9"/>
  <c r="L29" i="9"/>
  <c r="K29" i="9"/>
  <c r="L28" i="9"/>
  <c r="K28" i="9"/>
  <c r="L27" i="9"/>
  <c r="K27" i="9"/>
  <c r="L26" i="9"/>
  <c r="K26" i="9"/>
  <c r="L25" i="9"/>
  <c r="K25" i="9"/>
  <c r="L24" i="9"/>
  <c r="K24" i="9"/>
  <c r="L23" i="9"/>
  <c r="K23" i="9"/>
  <c r="L22" i="9"/>
  <c r="K22" i="9"/>
  <c r="L21" i="9"/>
  <c r="K21" i="9"/>
  <c r="L20" i="9"/>
  <c r="K20" i="9"/>
  <c r="L19" i="9"/>
  <c r="K19" i="9"/>
  <c r="L18" i="9"/>
  <c r="K18" i="9"/>
  <c r="L17" i="9"/>
  <c r="K17" i="9"/>
  <c r="L16" i="9"/>
  <c r="K16" i="9"/>
  <c r="L15" i="9"/>
  <c r="K15" i="9"/>
  <c r="L14" i="9"/>
  <c r="K14" i="9"/>
  <c r="L13" i="9"/>
  <c r="K13" i="9"/>
  <c r="L12" i="9"/>
  <c r="K12" i="9"/>
  <c r="L11" i="9"/>
  <c r="K11" i="9"/>
  <c r="L10" i="9"/>
  <c r="K10" i="9"/>
  <c r="L9" i="9"/>
  <c r="K9" i="9"/>
  <c r="L8" i="9"/>
  <c r="K8" i="9"/>
  <c r="L7" i="9"/>
  <c r="K7" i="9"/>
  <c r="L356" i="8"/>
  <c r="K356" i="8"/>
  <c r="L355" i="8"/>
  <c r="K355" i="8"/>
  <c r="L354" i="8"/>
  <c r="K354" i="8"/>
  <c r="L353" i="8"/>
  <c r="K353" i="8"/>
  <c r="L352" i="8"/>
  <c r="K352" i="8"/>
  <c r="L351" i="8"/>
  <c r="K351" i="8"/>
  <c r="L350" i="8"/>
  <c r="K350" i="8"/>
  <c r="L349" i="8"/>
  <c r="K349" i="8"/>
  <c r="L348" i="8"/>
  <c r="K348" i="8"/>
  <c r="L347" i="8"/>
  <c r="K347" i="8"/>
  <c r="L346" i="8"/>
  <c r="K346" i="8"/>
  <c r="L345" i="8"/>
  <c r="K345" i="8"/>
  <c r="L344" i="8"/>
  <c r="K344" i="8"/>
  <c r="L343" i="8"/>
  <c r="K343" i="8"/>
  <c r="L342" i="8"/>
  <c r="K342" i="8"/>
  <c r="L341" i="8"/>
  <c r="K341" i="8"/>
  <c r="L340" i="8"/>
  <c r="K340" i="8"/>
  <c r="L339" i="8"/>
  <c r="K339" i="8"/>
  <c r="L338" i="8"/>
  <c r="K338" i="8"/>
  <c r="L337" i="8"/>
  <c r="K337" i="8"/>
  <c r="L336" i="8"/>
  <c r="K336" i="8"/>
  <c r="L335" i="8"/>
  <c r="K335" i="8"/>
  <c r="L334" i="8"/>
  <c r="K334" i="8"/>
  <c r="L333" i="8"/>
  <c r="K333" i="8"/>
  <c r="L332" i="8"/>
  <c r="K332" i="8"/>
  <c r="L331" i="8"/>
  <c r="K331" i="8"/>
  <c r="L330" i="8"/>
  <c r="K330" i="8"/>
  <c r="L329" i="8"/>
  <c r="K329" i="8"/>
  <c r="L328" i="8"/>
  <c r="K328" i="8"/>
  <c r="L327" i="8"/>
  <c r="K327" i="8"/>
  <c r="L326" i="8"/>
  <c r="K326" i="8"/>
  <c r="L325" i="8"/>
  <c r="K325" i="8"/>
  <c r="L324" i="8"/>
  <c r="K324" i="8"/>
  <c r="L323" i="8"/>
  <c r="K323" i="8"/>
  <c r="L322" i="8"/>
  <c r="K322" i="8"/>
  <c r="L321" i="8"/>
  <c r="K321" i="8"/>
  <c r="L320" i="8"/>
  <c r="K320" i="8"/>
  <c r="L319" i="8"/>
  <c r="K319" i="8"/>
  <c r="L318" i="8"/>
  <c r="K318" i="8"/>
  <c r="L317" i="8"/>
  <c r="K317" i="8"/>
  <c r="L316" i="8"/>
  <c r="K316" i="8"/>
  <c r="L315" i="8"/>
  <c r="K315" i="8"/>
  <c r="L314" i="8"/>
  <c r="K314" i="8"/>
  <c r="L313" i="8"/>
  <c r="K313" i="8"/>
  <c r="L312" i="8"/>
  <c r="K312" i="8"/>
  <c r="L311" i="8"/>
  <c r="K311" i="8"/>
  <c r="L310" i="8"/>
  <c r="K310" i="8"/>
  <c r="L309" i="8"/>
  <c r="K309" i="8"/>
  <c r="L308" i="8"/>
  <c r="K308" i="8"/>
  <c r="L307" i="8"/>
  <c r="K307" i="8"/>
  <c r="L306" i="8"/>
  <c r="K306" i="8"/>
  <c r="L305" i="8"/>
  <c r="K305" i="8"/>
  <c r="L304" i="8"/>
  <c r="K304" i="8"/>
  <c r="L303" i="8"/>
  <c r="K303" i="8"/>
  <c r="L302" i="8"/>
  <c r="K302" i="8"/>
  <c r="L301" i="8"/>
  <c r="K301" i="8"/>
  <c r="L300" i="8"/>
  <c r="K300" i="8"/>
  <c r="L299" i="8"/>
  <c r="K299" i="8"/>
  <c r="L298" i="8"/>
  <c r="K298" i="8"/>
  <c r="L297" i="8"/>
  <c r="K297" i="8"/>
  <c r="L296" i="8"/>
  <c r="K296" i="8"/>
  <c r="L295" i="8"/>
  <c r="K295" i="8"/>
  <c r="L294" i="8"/>
  <c r="K294" i="8"/>
  <c r="L293" i="8"/>
  <c r="K293" i="8"/>
  <c r="L292" i="8"/>
  <c r="K292" i="8"/>
  <c r="L291" i="8"/>
  <c r="K291" i="8"/>
  <c r="L290" i="8"/>
  <c r="K290" i="8"/>
  <c r="L289" i="8"/>
  <c r="K289" i="8"/>
  <c r="L288" i="8"/>
  <c r="K288" i="8"/>
  <c r="L287" i="8"/>
  <c r="K287" i="8"/>
  <c r="L286" i="8"/>
  <c r="K286" i="8"/>
  <c r="L285" i="8"/>
  <c r="K285" i="8"/>
  <c r="L284" i="8"/>
  <c r="K284" i="8"/>
  <c r="L283" i="8"/>
  <c r="K283" i="8"/>
  <c r="L282" i="8"/>
  <c r="K282" i="8"/>
  <c r="L281" i="8"/>
  <c r="K281" i="8"/>
  <c r="L280" i="8"/>
  <c r="K280" i="8"/>
  <c r="L279" i="8"/>
  <c r="K279" i="8"/>
  <c r="L278" i="8"/>
  <c r="K278" i="8"/>
  <c r="L277" i="8"/>
  <c r="K277" i="8"/>
  <c r="L276" i="8"/>
  <c r="K276" i="8"/>
  <c r="L275" i="8"/>
  <c r="K275" i="8"/>
  <c r="L274" i="8"/>
  <c r="K274" i="8"/>
  <c r="L273" i="8"/>
  <c r="K273" i="8"/>
  <c r="L272" i="8"/>
  <c r="K272" i="8"/>
  <c r="L271" i="8"/>
  <c r="K271" i="8"/>
  <c r="L270" i="8"/>
  <c r="K270" i="8"/>
  <c r="L269" i="8"/>
  <c r="K269" i="8"/>
  <c r="L268" i="8"/>
  <c r="K268" i="8"/>
  <c r="L267" i="8"/>
  <c r="K267" i="8"/>
  <c r="L266" i="8"/>
  <c r="K266" i="8"/>
  <c r="L265" i="8"/>
  <c r="K265" i="8"/>
  <c r="L264" i="8"/>
  <c r="K264" i="8"/>
  <c r="L263" i="8"/>
  <c r="K263" i="8"/>
  <c r="L262" i="8"/>
  <c r="K262" i="8"/>
  <c r="L261" i="8"/>
  <c r="K261" i="8"/>
  <c r="L260" i="8"/>
  <c r="K260" i="8"/>
  <c r="L259" i="8"/>
  <c r="K259" i="8"/>
  <c r="L258" i="8"/>
  <c r="K258" i="8"/>
  <c r="L257" i="8"/>
  <c r="K257" i="8"/>
  <c r="L256" i="8"/>
  <c r="K256" i="8"/>
  <c r="L255" i="8"/>
  <c r="K255" i="8"/>
  <c r="L254" i="8"/>
  <c r="K254" i="8"/>
  <c r="L253" i="8"/>
  <c r="K253" i="8"/>
  <c r="L252" i="8"/>
  <c r="K252" i="8"/>
  <c r="L251" i="8"/>
  <c r="K251" i="8"/>
  <c r="L250" i="8"/>
  <c r="K250" i="8"/>
  <c r="L249" i="8"/>
  <c r="K249" i="8"/>
  <c r="L248" i="8"/>
  <c r="K248" i="8"/>
  <c r="L247" i="8"/>
  <c r="K247" i="8"/>
  <c r="L246" i="8"/>
  <c r="K246" i="8"/>
  <c r="L245" i="8"/>
  <c r="K245" i="8"/>
  <c r="L244" i="8"/>
  <c r="K244" i="8"/>
  <c r="L243" i="8"/>
  <c r="K243" i="8"/>
  <c r="L242" i="8"/>
  <c r="K242" i="8"/>
  <c r="L241" i="8"/>
  <c r="K241" i="8"/>
  <c r="L240" i="8"/>
  <c r="K240" i="8"/>
  <c r="L239" i="8"/>
  <c r="K239" i="8"/>
  <c r="L238" i="8"/>
  <c r="K238" i="8"/>
  <c r="L237" i="8"/>
  <c r="K237" i="8"/>
  <c r="L236" i="8"/>
  <c r="K236" i="8"/>
  <c r="L235" i="8"/>
  <c r="K235" i="8"/>
  <c r="L234" i="8"/>
  <c r="K234" i="8"/>
  <c r="L233" i="8"/>
  <c r="K233" i="8"/>
  <c r="L232" i="8"/>
  <c r="K232" i="8"/>
  <c r="L231" i="8"/>
  <c r="K231" i="8"/>
  <c r="L230" i="8"/>
  <c r="K230" i="8"/>
  <c r="L229" i="8"/>
  <c r="K229" i="8"/>
  <c r="L228" i="8"/>
  <c r="K228" i="8"/>
  <c r="L227" i="8"/>
  <c r="K227" i="8"/>
  <c r="L226" i="8"/>
  <c r="K226" i="8"/>
  <c r="L225" i="8"/>
  <c r="K225" i="8"/>
  <c r="L224" i="8"/>
  <c r="K224" i="8"/>
  <c r="L223" i="8"/>
  <c r="K223" i="8"/>
  <c r="L222" i="8"/>
  <c r="K222" i="8"/>
  <c r="L221" i="8"/>
  <c r="K221" i="8"/>
  <c r="L220" i="8"/>
  <c r="K220" i="8"/>
  <c r="L219" i="8"/>
  <c r="K219" i="8"/>
  <c r="L218" i="8"/>
  <c r="K218" i="8"/>
  <c r="L217" i="8"/>
  <c r="K217" i="8"/>
  <c r="L216" i="8"/>
  <c r="K216" i="8"/>
  <c r="L215" i="8"/>
  <c r="K215" i="8"/>
  <c r="L214" i="8"/>
  <c r="K214" i="8"/>
  <c r="L213" i="8"/>
  <c r="K213" i="8"/>
  <c r="L212" i="8"/>
  <c r="K212" i="8"/>
  <c r="L211" i="8"/>
  <c r="K211" i="8"/>
  <c r="L210" i="8"/>
  <c r="K210" i="8"/>
  <c r="L209" i="8"/>
  <c r="K209" i="8"/>
  <c r="L208" i="8"/>
  <c r="K208" i="8"/>
  <c r="L207" i="8"/>
  <c r="K207" i="8"/>
  <c r="L206" i="8"/>
  <c r="K206" i="8"/>
  <c r="L205" i="8"/>
  <c r="K205" i="8"/>
  <c r="L204" i="8"/>
  <c r="K204" i="8"/>
  <c r="L203" i="8"/>
  <c r="K203" i="8"/>
  <c r="L202" i="8"/>
  <c r="K202" i="8"/>
  <c r="L201" i="8"/>
  <c r="K201" i="8"/>
  <c r="L200" i="8"/>
  <c r="K200" i="8"/>
  <c r="L199" i="8"/>
  <c r="K199" i="8"/>
  <c r="L198" i="8"/>
  <c r="K198" i="8"/>
  <c r="L197" i="8"/>
  <c r="K197" i="8"/>
  <c r="L196" i="8"/>
  <c r="K196" i="8"/>
  <c r="L195" i="8"/>
  <c r="K195" i="8"/>
  <c r="L194" i="8"/>
  <c r="K194" i="8"/>
  <c r="L193" i="8"/>
  <c r="K193" i="8"/>
  <c r="L192" i="8"/>
  <c r="K192" i="8"/>
  <c r="L191" i="8"/>
  <c r="K191" i="8"/>
  <c r="L190" i="8"/>
  <c r="K190" i="8"/>
  <c r="L189" i="8"/>
  <c r="K189" i="8"/>
  <c r="L188" i="8"/>
  <c r="K188" i="8"/>
  <c r="L187" i="8"/>
  <c r="K187" i="8"/>
  <c r="L186" i="8"/>
  <c r="K186" i="8"/>
  <c r="L185" i="8"/>
  <c r="K185" i="8"/>
  <c r="L184" i="8"/>
  <c r="K184" i="8"/>
  <c r="L183" i="8"/>
  <c r="K183" i="8"/>
  <c r="L182" i="8"/>
  <c r="K182" i="8"/>
  <c r="L181" i="8"/>
  <c r="K181" i="8"/>
  <c r="L180" i="8"/>
  <c r="K180" i="8"/>
  <c r="L179" i="8"/>
  <c r="K179" i="8"/>
  <c r="L178" i="8"/>
  <c r="K178" i="8"/>
  <c r="L177" i="8"/>
  <c r="K177" i="8"/>
  <c r="L176" i="8"/>
  <c r="K176" i="8"/>
  <c r="L175" i="8"/>
  <c r="K175" i="8"/>
  <c r="L174" i="8"/>
  <c r="K174" i="8"/>
  <c r="L173" i="8"/>
  <c r="K173" i="8"/>
  <c r="L172" i="8"/>
  <c r="K172" i="8"/>
  <c r="L171" i="8"/>
  <c r="K171" i="8"/>
  <c r="L170" i="8"/>
  <c r="K170" i="8"/>
  <c r="L169" i="8"/>
  <c r="K169" i="8"/>
  <c r="L168" i="8"/>
  <c r="K168" i="8"/>
  <c r="L167" i="8"/>
  <c r="K167" i="8"/>
  <c r="L166" i="8"/>
  <c r="K166" i="8"/>
  <c r="L165" i="8"/>
  <c r="K165" i="8"/>
  <c r="L164" i="8"/>
  <c r="K164" i="8"/>
  <c r="L163" i="8"/>
  <c r="K163" i="8"/>
  <c r="L162" i="8"/>
  <c r="K162" i="8"/>
  <c r="L161" i="8"/>
  <c r="K161" i="8"/>
  <c r="L160" i="8"/>
  <c r="K160" i="8"/>
  <c r="L159" i="8"/>
  <c r="K159" i="8"/>
  <c r="L158" i="8"/>
  <c r="K158" i="8"/>
  <c r="L157" i="8"/>
  <c r="K157" i="8"/>
  <c r="L156" i="8"/>
  <c r="K156" i="8"/>
  <c r="L155" i="8"/>
  <c r="K155" i="8"/>
  <c r="L154" i="8"/>
  <c r="K154" i="8"/>
  <c r="L153" i="8"/>
  <c r="K153" i="8"/>
  <c r="L152" i="8"/>
  <c r="K152" i="8"/>
  <c r="L151" i="8"/>
  <c r="K151" i="8"/>
  <c r="L150" i="8"/>
  <c r="K150" i="8"/>
  <c r="L149" i="8"/>
  <c r="K149" i="8"/>
  <c r="L148" i="8"/>
  <c r="K148" i="8"/>
  <c r="L147" i="8"/>
  <c r="K147" i="8"/>
  <c r="L146" i="8"/>
  <c r="K146" i="8"/>
  <c r="L145" i="8"/>
  <c r="K145" i="8"/>
  <c r="L144" i="8"/>
  <c r="K144" i="8"/>
  <c r="L143" i="8"/>
  <c r="K143" i="8"/>
  <c r="L142" i="8"/>
  <c r="K142" i="8"/>
  <c r="L141" i="8"/>
  <c r="K141" i="8"/>
  <c r="L140" i="8"/>
  <c r="K140" i="8"/>
  <c r="L139" i="8"/>
  <c r="K139" i="8"/>
  <c r="L138" i="8"/>
  <c r="K138" i="8"/>
  <c r="L137" i="8"/>
  <c r="K137" i="8"/>
  <c r="L136" i="8"/>
  <c r="K136" i="8"/>
  <c r="L135" i="8"/>
  <c r="K135" i="8"/>
  <c r="L134" i="8"/>
  <c r="K134" i="8"/>
  <c r="L133" i="8"/>
  <c r="K133" i="8"/>
  <c r="L132" i="8"/>
  <c r="K132" i="8"/>
  <c r="L131" i="8"/>
  <c r="K131" i="8"/>
  <c r="L130" i="8"/>
  <c r="K130" i="8"/>
  <c r="L129" i="8"/>
  <c r="K129" i="8"/>
  <c r="L128" i="8"/>
  <c r="K128" i="8"/>
  <c r="L127" i="8"/>
  <c r="K127" i="8"/>
  <c r="L126" i="8"/>
  <c r="K126" i="8"/>
  <c r="L125" i="8"/>
  <c r="K125" i="8"/>
  <c r="L124" i="8"/>
  <c r="K124" i="8"/>
  <c r="L123" i="8"/>
  <c r="K123" i="8"/>
  <c r="L122" i="8"/>
  <c r="K122" i="8"/>
  <c r="L121" i="8"/>
  <c r="K121" i="8"/>
  <c r="L120" i="8"/>
  <c r="K120" i="8"/>
  <c r="L119" i="8"/>
  <c r="K119" i="8"/>
  <c r="L118" i="8"/>
  <c r="K118" i="8"/>
  <c r="L117" i="8"/>
  <c r="K117" i="8"/>
  <c r="L116" i="8"/>
  <c r="K116" i="8"/>
  <c r="L115" i="8"/>
  <c r="K115" i="8"/>
  <c r="L114" i="8"/>
  <c r="K114" i="8"/>
  <c r="L113" i="8"/>
  <c r="K113" i="8"/>
  <c r="L112" i="8"/>
  <c r="K112" i="8"/>
  <c r="L111" i="8"/>
  <c r="K111" i="8"/>
  <c r="L110" i="8"/>
  <c r="K110" i="8"/>
  <c r="L109" i="8"/>
  <c r="K109" i="8"/>
  <c r="L108" i="8"/>
  <c r="K108" i="8"/>
  <c r="L107" i="8"/>
  <c r="K107" i="8"/>
  <c r="L106" i="8"/>
  <c r="K106" i="8"/>
  <c r="L105" i="8"/>
  <c r="K105" i="8"/>
  <c r="L104" i="8"/>
  <c r="K104" i="8"/>
  <c r="L103" i="8"/>
  <c r="K103" i="8"/>
  <c r="L102" i="8"/>
  <c r="K102" i="8"/>
  <c r="L101" i="8"/>
  <c r="K101" i="8"/>
  <c r="L100" i="8"/>
  <c r="K100" i="8"/>
  <c r="L99" i="8"/>
  <c r="K99" i="8"/>
  <c r="L98" i="8"/>
  <c r="K98" i="8"/>
  <c r="L97" i="8"/>
  <c r="K97" i="8"/>
  <c r="L96" i="8"/>
  <c r="K96" i="8"/>
  <c r="L95" i="8"/>
  <c r="K95" i="8"/>
  <c r="L94" i="8"/>
  <c r="K94" i="8"/>
  <c r="L93" i="8"/>
  <c r="K93" i="8"/>
  <c r="L92" i="8"/>
  <c r="K92" i="8"/>
  <c r="L91" i="8"/>
  <c r="K91" i="8"/>
  <c r="L90" i="8"/>
  <c r="K90" i="8"/>
  <c r="L89" i="8"/>
  <c r="K89" i="8"/>
  <c r="L88" i="8"/>
  <c r="K88" i="8"/>
  <c r="L87" i="8"/>
  <c r="K87" i="8"/>
  <c r="L86" i="8"/>
  <c r="K86" i="8"/>
  <c r="L85" i="8"/>
  <c r="K85" i="8"/>
  <c r="L84" i="8"/>
  <c r="K84" i="8"/>
  <c r="L83" i="8"/>
  <c r="K83" i="8"/>
  <c r="L82" i="8"/>
  <c r="K82" i="8"/>
  <c r="L81" i="8"/>
  <c r="K81" i="8"/>
  <c r="L80" i="8"/>
  <c r="K80" i="8"/>
  <c r="L79" i="8"/>
  <c r="K79" i="8"/>
  <c r="L78" i="8"/>
  <c r="K78" i="8"/>
  <c r="L77" i="8"/>
  <c r="K77" i="8"/>
  <c r="L76" i="8"/>
  <c r="K76" i="8"/>
  <c r="L75" i="8"/>
  <c r="K75" i="8"/>
  <c r="L74" i="8"/>
  <c r="K74" i="8"/>
  <c r="L73" i="8"/>
  <c r="K73" i="8"/>
  <c r="L72" i="8"/>
  <c r="K72" i="8"/>
  <c r="L71" i="8"/>
  <c r="K71" i="8"/>
  <c r="L70" i="8"/>
  <c r="K70" i="8"/>
  <c r="L69" i="8"/>
  <c r="K69" i="8"/>
  <c r="L68" i="8"/>
  <c r="K68" i="8"/>
  <c r="L67" i="8"/>
  <c r="K67" i="8"/>
  <c r="L66" i="8"/>
  <c r="K66" i="8"/>
  <c r="L65" i="8"/>
  <c r="K65" i="8"/>
  <c r="L64" i="8"/>
  <c r="K64" i="8"/>
  <c r="L63" i="8"/>
  <c r="K63" i="8"/>
  <c r="L62" i="8"/>
  <c r="K62" i="8"/>
  <c r="L61" i="8"/>
  <c r="K61" i="8"/>
  <c r="L60" i="8"/>
  <c r="K60" i="8"/>
  <c r="L59" i="8"/>
  <c r="K59" i="8"/>
  <c r="L58" i="8"/>
  <c r="K58" i="8"/>
  <c r="L57" i="8"/>
  <c r="K57" i="8"/>
  <c r="L56" i="8"/>
  <c r="K56" i="8"/>
  <c r="L55" i="8"/>
  <c r="K55" i="8"/>
  <c r="L54" i="8"/>
  <c r="K54" i="8"/>
  <c r="L53" i="8"/>
  <c r="K53" i="8"/>
  <c r="L52" i="8"/>
  <c r="K52" i="8"/>
  <c r="L51" i="8"/>
  <c r="K51" i="8"/>
  <c r="L50" i="8"/>
  <c r="K50" i="8"/>
  <c r="L49" i="8"/>
  <c r="K49" i="8"/>
  <c r="L48" i="8"/>
  <c r="K48" i="8"/>
  <c r="L47" i="8"/>
  <c r="K47" i="8"/>
  <c r="L46" i="8"/>
  <c r="K46" i="8"/>
  <c r="L45" i="8"/>
  <c r="K45" i="8"/>
  <c r="L44" i="8"/>
  <c r="K44" i="8"/>
  <c r="L43" i="8"/>
  <c r="K43" i="8"/>
  <c r="L42" i="8"/>
  <c r="K42" i="8"/>
  <c r="L41" i="8"/>
  <c r="K41" i="8"/>
  <c r="L40" i="8"/>
  <c r="K40" i="8"/>
  <c r="L39" i="8"/>
  <c r="K39" i="8"/>
  <c r="L38" i="8"/>
  <c r="K38" i="8"/>
  <c r="L37" i="8"/>
  <c r="K37" i="8"/>
  <c r="L36" i="8"/>
  <c r="K36" i="8"/>
  <c r="L35" i="8"/>
  <c r="K35" i="8"/>
  <c r="L34" i="8"/>
  <c r="K34" i="8"/>
  <c r="L33" i="8"/>
  <c r="K33" i="8"/>
  <c r="L32" i="8"/>
  <c r="K32" i="8"/>
  <c r="L31" i="8"/>
  <c r="K31" i="8"/>
  <c r="L30" i="8"/>
  <c r="K30" i="8"/>
  <c r="L29" i="8"/>
  <c r="K29" i="8"/>
  <c r="L28" i="8"/>
  <c r="K28" i="8"/>
  <c r="L27" i="8"/>
  <c r="K27" i="8"/>
  <c r="L26" i="8"/>
  <c r="K26" i="8"/>
  <c r="L25" i="8"/>
  <c r="K25" i="8"/>
  <c r="L24" i="8"/>
  <c r="K24" i="8"/>
  <c r="L23" i="8"/>
  <c r="K23" i="8"/>
  <c r="L22" i="8"/>
  <c r="K22" i="8"/>
  <c r="L21" i="8"/>
  <c r="K21" i="8"/>
  <c r="L20" i="8"/>
  <c r="K20" i="8"/>
  <c r="L19" i="8"/>
  <c r="K19" i="8"/>
  <c r="L18" i="8"/>
  <c r="K18" i="8"/>
  <c r="L17" i="8"/>
  <c r="K17" i="8"/>
  <c r="L16" i="8"/>
  <c r="K16" i="8"/>
  <c r="L15" i="8"/>
  <c r="K15" i="8"/>
  <c r="L14" i="8"/>
  <c r="K14" i="8"/>
  <c r="L13" i="8"/>
  <c r="K13" i="8"/>
  <c r="L12" i="8"/>
  <c r="K12" i="8"/>
  <c r="L11" i="8"/>
  <c r="K11" i="8"/>
  <c r="L10" i="8"/>
  <c r="K10" i="8"/>
  <c r="L9" i="8"/>
  <c r="K9" i="8"/>
  <c r="L8" i="8"/>
  <c r="K8" i="8"/>
  <c r="L7" i="8"/>
  <c r="K7" i="8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L43" i="7"/>
  <c r="L44" i="7"/>
  <c r="L45" i="7"/>
  <c r="L46" i="7"/>
  <c r="L47" i="7"/>
  <c r="L48" i="7"/>
  <c r="L49" i="7"/>
  <c r="L50" i="7"/>
  <c r="L51" i="7"/>
  <c r="L52" i="7"/>
  <c r="L53" i="7"/>
  <c r="L54" i="7"/>
  <c r="L55" i="7"/>
  <c r="L56" i="7"/>
  <c r="L57" i="7"/>
  <c r="L58" i="7"/>
  <c r="L59" i="7"/>
  <c r="L60" i="7"/>
  <c r="L61" i="7"/>
  <c r="L62" i="7"/>
  <c r="L63" i="7"/>
  <c r="L64" i="7"/>
  <c r="L65" i="7"/>
  <c r="L66" i="7"/>
  <c r="L67" i="7"/>
  <c r="L68" i="7"/>
  <c r="L69" i="7"/>
  <c r="L70" i="7"/>
  <c r="L71" i="7"/>
  <c r="L72" i="7"/>
  <c r="L73" i="7"/>
  <c r="L74" i="7"/>
  <c r="L75" i="7"/>
  <c r="L76" i="7"/>
  <c r="L77" i="7"/>
  <c r="L78" i="7"/>
  <c r="L79" i="7"/>
  <c r="L80" i="7"/>
  <c r="L81" i="7"/>
  <c r="L82" i="7"/>
  <c r="L83" i="7"/>
  <c r="L84" i="7"/>
  <c r="L85" i="7"/>
  <c r="L86" i="7"/>
  <c r="L87" i="7"/>
  <c r="L88" i="7"/>
  <c r="L89" i="7"/>
  <c r="L90" i="7"/>
  <c r="L91" i="7"/>
  <c r="L92" i="7"/>
  <c r="L93" i="7"/>
  <c r="L94" i="7"/>
  <c r="L95" i="7"/>
  <c r="L96" i="7"/>
  <c r="L97" i="7"/>
  <c r="L98" i="7"/>
  <c r="L99" i="7"/>
  <c r="L100" i="7"/>
  <c r="L101" i="7"/>
  <c r="L102" i="7"/>
  <c r="L103" i="7"/>
  <c r="L104" i="7"/>
  <c r="L105" i="7"/>
  <c r="L106" i="7"/>
  <c r="L107" i="7"/>
  <c r="L108" i="7"/>
  <c r="L109" i="7"/>
  <c r="L110" i="7"/>
  <c r="L111" i="7"/>
  <c r="L112" i="7"/>
  <c r="L113" i="7"/>
  <c r="L114" i="7"/>
  <c r="L115" i="7"/>
  <c r="L116" i="7"/>
  <c r="L117" i="7"/>
  <c r="L118" i="7"/>
  <c r="L119" i="7"/>
  <c r="L120" i="7"/>
  <c r="L121" i="7"/>
  <c r="L122" i="7"/>
  <c r="L123" i="7"/>
  <c r="L124" i="7"/>
  <c r="L125" i="7"/>
  <c r="L126" i="7"/>
  <c r="L127" i="7"/>
  <c r="L128" i="7"/>
  <c r="L129" i="7"/>
  <c r="L130" i="7"/>
  <c r="L131" i="7"/>
  <c r="L132" i="7"/>
  <c r="L133" i="7"/>
  <c r="L134" i="7"/>
  <c r="L135" i="7"/>
  <c r="L136" i="7"/>
  <c r="L137" i="7"/>
  <c r="L138" i="7"/>
  <c r="L139" i="7"/>
  <c r="L140" i="7"/>
  <c r="L141" i="7"/>
  <c r="L142" i="7"/>
  <c r="L143" i="7"/>
  <c r="L144" i="7"/>
  <c r="L145" i="7"/>
  <c r="L146" i="7"/>
  <c r="L147" i="7"/>
  <c r="L148" i="7"/>
  <c r="L149" i="7"/>
  <c r="L150" i="7"/>
  <c r="L151" i="7"/>
  <c r="L152" i="7"/>
  <c r="L153" i="7"/>
  <c r="L154" i="7"/>
  <c r="L155" i="7"/>
  <c r="L156" i="7"/>
  <c r="L157" i="7"/>
  <c r="L158" i="7"/>
  <c r="L159" i="7"/>
  <c r="L160" i="7"/>
  <c r="L161" i="7"/>
  <c r="L162" i="7"/>
  <c r="L163" i="7"/>
  <c r="L164" i="7"/>
  <c r="L165" i="7"/>
  <c r="L166" i="7"/>
  <c r="L167" i="7"/>
  <c r="L168" i="7"/>
  <c r="L169" i="7"/>
  <c r="L170" i="7"/>
  <c r="L171" i="7"/>
  <c r="L172" i="7"/>
  <c r="L173" i="7"/>
  <c r="L174" i="7"/>
  <c r="L175" i="7"/>
  <c r="L176" i="7"/>
  <c r="L177" i="7"/>
  <c r="L178" i="7"/>
  <c r="L179" i="7"/>
  <c r="L180" i="7"/>
  <c r="L181" i="7"/>
  <c r="L182" i="7"/>
  <c r="L183" i="7"/>
  <c r="L184" i="7"/>
  <c r="L185" i="7"/>
  <c r="L186" i="7"/>
  <c r="L187" i="7"/>
  <c r="L188" i="7"/>
  <c r="L189" i="7"/>
  <c r="L190" i="7"/>
  <c r="L191" i="7"/>
  <c r="L192" i="7"/>
  <c r="L193" i="7"/>
  <c r="L194" i="7"/>
  <c r="L195" i="7"/>
  <c r="L196" i="7"/>
  <c r="L197" i="7"/>
  <c r="L198" i="7"/>
  <c r="L199" i="7"/>
  <c r="L200" i="7"/>
  <c r="L201" i="7"/>
  <c r="L202" i="7"/>
  <c r="L203" i="7"/>
  <c r="L204" i="7"/>
  <c r="L205" i="7"/>
  <c r="L206" i="7"/>
  <c r="L207" i="7"/>
  <c r="L208" i="7"/>
  <c r="L209" i="7"/>
  <c r="L210" i="7"/>
  <c r="L211" i="7"/>
  <c r="L212" i="7"/>
  <c r="L213" i="7"/>
  <c r="L214" i="7"/>
  <c r="L215" i="7"/>
  <c r="L216" i="7"/>
  <c r="L217" i="7"/>
  <c r="L218" i="7"/>
  <c r="L219" i="7"/>
  <c r="L220" i="7"/>
  <c r="L221" i="7"/>
  <c r="L222" i="7"/>
  <c r="L223" i="7"/>
  <c r="L224" i="7"/>
  <c r="L225" i="7"/>
  <c r="L226" i="7"/>
  <c r="L227" i="7"/>
  <c r="L228" i="7"/>
  <c r="L229" i="7"/>
  <c r="L230" i="7"/>
  <c r="L231" i="7"/>
  <c r="L232" i="7"/>
  <c r="L233" i="7"/>
  <c r="L234" i="7"/>
  <c r="L235" i="7"/>
  <c r="L236" i="7"/>
  <c r="L237" i="7"/>
  <c r="L238" i="7"/>
  <c r="L239" i="7"/>
  <c r="L240" i="7"/>
  <c r="L241" i="7"/>
  <c r="L242" i="7"/>
  <c r="L243" i="7"/>
  <c r="L244" i="7"/>
  <c r="L245" i="7"/>
  <c r="L246" i="7"/>
  <c r="L247" i="7"/>
  <c r="L248" i="7"/>
  <c r="L249" i="7"/>
  <c r="L250" i="7"/>
  <c r="L251" i="7"/>
  <c r="L252" i="7"/>
  <c r="L253" i="7"/>
  <c r="L254" i="7"/>
  <c r="L255" i="7"/>
  <c r="L256" i="7"/>
  <c r="L257" i="7"/>
  <c r="L258" i="7"/>
  <c r="L259" i="7"/>
  <c r="L260" i="7"/>
  <c r="L261" i="7"/>
  <c r="L262" i="7"/>
  <c r="L263" i="7"/>
  <c r="L264" i="7"/>
  <c r="L265" i="7"/>
  <c r="L266" i="7"/>
  <c r="L267" i="7"/>
  <c r="L268" i="7"/>
  <c r="L269" i="7"/>
  <c r="L270" i="7"/>
  <c r="L271" i="7"/>
  <c r="L272" i="7"/>
  <c r="L273" i="7"/>
  <c r="L274" i="7"/>
  <c r="L275" i="7"/>
  <c r="L276" i="7"/>
  <c r="L277" i="7"/>
  <c r="L278" i="7"/>
  <c r="L279" i="7"/>
  <c r="L280" i="7"/>
  <c r="L281" i="7"/>
  <c r="L282" i="7"/>
  <c r="L283" i="7"/>
  <c r="L284" i="7"/>
  <c r="L285" i="7"/>
  <c r="L286" i="7"/>
  <c r="L287" i="7"/>
  <c r="L288" i="7"/>
  <c r="L289" i="7"/>
  <c r="L290" i="7"/>
  <c r="L291" i="7"/>
  <c r="L292" i="7"/>
  <c r="L293" i="7"/>
  <c r="L294" i="7"/>
  <c r="L295" i="7"/>
  <c r="L296" i="7"/>
  <c r="L297" i="7"/>
  <c r="L298" i="7"/>
  <c r="L299" i="7"/>
  <c r="L300" i="7"/>
  <c r="L301" i="7"/>
  <c r="L302" i="7"/>
  <c r="L303" i="7"/>
  <c r="L304" i="7"/>
  <c r="L305" i="7"/>
  <c r="L306" i="7"/>
  <c r="L307" i="7"/>
  <c r="L308" i="7"/>
  <c r="L309" i="7"/>
  <c r="L310" i="7"/>
  <c r="L311" i="7"/>
  <c r="L312" i="7"/>
  <c r="L313" i="7"/>
  <c r="L314" i="7"/>
  <c r="L315" i="7"/>
  <c r="L316" i="7"/>
  <c r="L317" i="7"/>
  <c r="L318" i="7"/>
  <c r="L319" i="7"/>
  <c r="L320" i="7"/>
  <c r="L321" i="7"/>
  <c r="L322" i="7"/>
  <c r="L323" i="7"/>
  <c r="L324" i="7"/>
  <c r="L325" i="7"/>
  <c r="L326" i="7"/>
  <c r="L327" i="7"/>
  <c r="L328" i="7"/>
  <c r="L329" i="7"/>
  <c r="L330" i="7"/>
  <c r="L331" i="7"/>
  <c r="L332" i="7"/>
  <c r="L333" i="7"/>
  <c r="L334" i="7"/>
  <c r="L335" i="7"/>
  <c r="L336" i="7"/>
  <c r="L337" i="7"/>
  <c r="L338" i="7"/>
  <c r="L339" i="7"/>
  <c r="L340" i="7"/>
  <c r="L341" i="7"/>
  <c r="L342" i="7"/>
  <c r="L343" i="7"/>
  <c r="L344" i="7"/>
  <c r="L345" i="7"/>
  <c r="L346" i="7"/>
  <c r="L347" i="7"/>
  <c r="L348" i="7"/>
  <c r="L349" i="7"/>
  <c r="L350" i="7"/>
  <c r="L351" i="7"/>
  <c r="L352" i="7"/>
  <c r="L353" i="7"/>
  <c r="L354" i="7"/>
  <c r="L355" i="7"/>
  <c r="L356" i="7"/>
  <c r="L7" i="7"/>
  <c r="K356" i="7"/>
  <c r="K355" i="7"/>
  <c r="K354" i="7"/>
  <c r="K353" i="7"/>
  <c r="K352" i="7"/>
  <c r="K351" i="7"/>
  <c r="K350" i="7"/>
  <c r="K349" i="7"/>
  <c r="K348" i="7"/>
  <c r="K347" i="7"/>
  <c r="K346" i="7"/>
  <c r="K345" i="7"/>
  <c r="K344" i="7"/>
  <c r="K343" i="7"/>
  <c r="K342" i="7"/>
  <c r="K341" i="7"/>
  <c r="K340" i="7"/>
  <c r="K339" i="7"/>
  <c r="K338" i="7"/>
  <c r="K337" i="7"/>
  <c r="K336" i="7"/>
  <c r="K335" i="7"/>
  <c r="K334" i="7"/>
  <c r="K333" i="7"/>
  <c r="K332" i="7"/>
  <c r="K331" i="7"/>
  <c r="K330" i="7"/>
  <c r="K329" i="7"/>
  <c r="K328" i="7"/>
  <c r="K327" i="7"/>
  <c r="K326" i="7"/>
  <c r="K325" i="7"/>
  <c r="K324" i="7"/>
  <c r="K323" i="7"/>
  <c r="K322" i="7"/>
  <c r="K321" i="7"/>
  <c r="K320" i="7"/>
  <c r="K319" i="7"/>
  <c r="K318" i="7"/>
  <c r="K317" i="7"/>
  <c r="K316" i="7"/>
  <c r="K315" i="7"/>
  <c r="K314" i="7"/>
  <c r="K313" i="7"/>
  <c r="K312" i="7"/>
  <c r="K311" i="7"/>
  <c r="K310" i="7"/>
  <c r="K309" i="7"/>
  <c r="K308" i="7"/>
  <c r="K307" i="7"/>
  <c r="K306" i="7"/>
  <c r="K305" i="7"/>
  <c r="K304" i="7"/>
  <c r="K303" i="7"/>
  <c r="K302" i="7"/>
  <c r="K301" i="7"/>
  <c r="K300" i="7"/>
  <c r="K299" i="7"/>
  <c r="K298" i="7"/>
  <c r="K297" i="7"/>
  <c r="K296" i="7"/>
  <c r="K295" i="7"/>
  <c r="K294" i="7"/>
  <c r="K293" i="7"/>
  <c r="K292" i="7"/>
  <c r="K291" i="7"/>
  <c r="K290" i="7"/>
  <c r="K289" i="7"/>
  <c r="K288" i="7"/>
  <c r="K287" i="7"/>
  <c r="K286" i="7"/>
  <c r="K285" i="7"/>
  <c r="K284" i="7"/>
  <c r="K283" i="7"/>
  <c r="K282" i="7"/>
  <c r="K281" i="7"/>
  <c r="K280" i="7"/>
  <c r="K279" i="7"/>
  <c r="K278" i="7"/>
  <c r="K277" i="7"/>
  <c r="K276" i="7"/>
  <c r="K275" i="7"/>
  <c r="K274" i="7"/>
  <c r="K273" i="7"/>
  <c r="K272" i="7"/>
  <c r="K271" i="7"/>
  <c r="K270" i="7"/>
  <c r="K269" i="7"/>
  <c r="K268" i="7"/>
  <c r="K267" i="7"/>
  <c r="K266" i="7"/>
  <c r="K265" i="7"/>
  <c r="K264" i="7"/>
  <c r="K263" i="7"/>
  <c r="K262" i="7"/>
  <c r="K261" i="7"/>
  <c r="K260" i="7"/>
  <c r="K259" i="7"/>
  <c r="K258" i="7"/>
  <c r="K257" i="7"/>
  <c r="K256" i="7"/>
  <c r="K255" i="7"/>
  <c r="K254" i="7"/>
  <c r="K253" i="7"/>
  <c r="K252" i="7"/>
  <c r="K251" i="7"/>
  <c r="K250" i="7"/>
  <c r="K249" i="7"/>
  <c r="K248" i="7"/>
  <c r="K247" i="7"/>
  <c r="K246" i="7"/>
  <c r="K245" i="7"/>
  <c r="K244" i="7"/>
  <c r="K243" i="7"/>
  <c r="K242" i="7"/>
  <c r="K241" i="7"/>
  <c r="K240" i="7"/>
  <c r="K239" i="7"/>
  <c r="K238" i="7"/>
  <c r="K237" i="7"/>
  <c r="K236" i="7"/>
  <c r="K235" i="7"/>
  <c r="K234" i="7"/>
  <c r="K233" i="7"/>
  <c r="K232" i="7"/>
  <c r="K231" i="7"/>
  <c r="K230" i="7"/>
  <c r="K229" i="7"/>
  <c r="K228" i="7"/>
  <c r="K227" i="7"/>
  <c r="K226" i="7"/>
  <c r="K225" i="7"/>
  <c r="K224" i="7"/>
  <c r="K223" i="7"/>
  <c r="K222" i="7"/>
  <c r="K221" i="7"/>
  <c r="K220" i="7"/>
  <c r="K219" i="7"/>
  <c r="K218" i="7"/>
  <c r="K217" i="7"/>
  <c r="K216" i="7"/>
  <c r="K215" i="7"/>
  <c r="K214" i="7"/>
  <c r="K213" i="7"/>
  <c r="K212" i="7"/>
  <c r="K211" i="7"/>
  <c r="K210" i="7"/>
  <c r="K209" i="7"/>
  <c r="K208" i="7"/>
  <c r="K207" i="7"/>
  <c r="K206" i="7"/>
  <c r="K205" i="7"/>
  <c r="K204" i="7"/>
  <c r="K203" i="7"/>
  <c r="K202" i="7"/>
  <c r="K201" i="7"/>
  <c r="K200" i="7"/>
  <c r="K199" i="7"/>
  <c r="K198" i="7"/>
  <c r="K197" i="7"/>
  <c r="K196" i="7"/>
  <c r="K195" i="7"/>
  <c r="K194" i="7"/>
  <c r="K193" i="7"/>
  <c r="K192" i="7"/>
  <c r="K191" i="7"/>
  <c r="K190" i="7"/>
  <c r="K189" i="7"/>
  <c r="K188" i="7"/>
  <c r="K187" i="7"/>
  <c r="K186" i="7"/>
  <c r="K185" i="7"/>
  <c r="K184" i="7"/>
  <c r="K183" i="7"/>
  <c r="K182" i="7"/>
  <c r="K181" i="7"/>
  <c r="K180" i="7"/>
  <c r="K179" i="7"/>
  <c r="K178" i="7"/>
  <c r="K177" i="7"/>
  <c r="K176" i="7"/>
  <c r="K175" i="7"/>
  <c r="K174" i="7"/>
  <c r="K173" i="7"/>
  <c r="K172" i="7"/>
  <c r="K171" i="7"/>
  <c r="K170" i="7"/>
  <c r="K169" i="7"/>
  <c r="K168" i="7"/>
  <c r="K167" i="7"/>
  <c r="K166" i="7"/>
  <c r="K165" i="7"/>
  <c r="K164" i="7"/>
  <c r="K163" i="7"/>
  <c r="K162" i="7"/>
  <c r="K161" i="7"/>
  <c r="K160" i="7"/>
  <c r="K159" i="7"/>
  <c r="K158" i="7"/>
  <c r="K157" i="7"/>
  <c r="K156" i="7"/>
  <c r="K155" i="7"/>
  <c r="K154" i="7"/>
  <c r="K153" i="7"/>
  <c r="K152" i="7"/>
  <c r="K151" i="7"/>
  <c r="K150" i="7"/>
  <c r="K149" i="7"/>
  <c r="K148" i="7"/>
  <c r="K147" i="7"/>
  <c r="K146" i="7"/>
  <c r="K145" i="7"/>
  <c r="K144" i="7"/>
  <c r="K143" i="7"/>
  <c r="K142" i="7"/>
  <c r="K141" i="7"/>
  <c r="K140" i="7"/>
  <c r="K139" i="7"/>
  <c r="K138" i="7"/>
  <c r="K137" i="7"/>
  <c r="K136" i="7"/>
  <c r="K135" i="7"/>
  <c r="K134" i="7"/>
  <c r="K133" i="7"/>
  <c r="K132" i="7"/>
  <c r="K131" i="7"/>
  <c r="K130" i="7"/>
  <c r="K129" i="7"/>
  <c r="K128" i="7"/>
  <c r="K127" i="7"/>
  <c r="K126" i="7"/>
  <c r="K125" i="7"/>
  <c r="K124" i="7"/>
  <c r="K123" i="7"/>
  <c r="K122" i="7"/>
  <c r="K121" i="7"/>
  <c r="K120" i="7"/>
  <c r="K119" i="7"/>
  <c r="K118" i="7"/>
  <c r="K117" i="7"/>
  <c r="K116" i="7"/>
  <c r="K115" i="7"/>
  <c r="K114" i="7"/>
  <c r="K113" i="7"/>
  <c r="K112" i="7"/>
  <c r="K111" i="7"/>
  <c r="K110" i="7"/>
  <c r="K109" i="7"/>
  <c r="K108" i="7"/>
  <c r="K107" i="7"/>
  <c r="K106" i="7"/>
  <c r="K105" i="7"/>
  <c r="K104" i="7"/>
  <c r="K103" i="7"/>
  <c r="K102" i="7"/>
  <c r="K101" i="7"/>
  <c r="K100" i="7"/>
  <c r="K99" i="7"/>
  <c r="K98" i="7"/>
  <c r="K97" i="7"/>
  <c r="K96" i="7"/>
  <c r="K95" i="7"/>
  <c r="K94" i="7"/>
  <c r="K93" i="7"/>
  <c r="K92" i="7"/>
  <c r="K91" i="7"/>
  <c r="K90" i="7"/>
  <c r="K89" i="7"/>
  <c r="K88" i="7"/>
  <c r="K87" i="7"/>
  <c r="K86" i="7"/>
  <c r="K85" i="7"/>
  <c r="K84" i="7"/>
  <c r="K83" i="7"/>
  <c r="K82" i="7"/>
  <c r="K81" i="7"/>
  <c r="K80" i="7"/>
  <c r="K79" i="7"/>
  <c r="K78" i="7"/>
  <c r="K77" i="7"/>
  <c r="K76" i="7"/>
  <c r="K75" i="7"/>
  <c r="K74" i="7"/>
  <c r="K73" i="7"/>
  <c r="K72" i="7"/>
  <c r="K71" i="7"/>
  <c r="K70" i="7"/>
  <c r="K69" i="7"/>
  <c r="K68" i="7"/>
  <c r="K67" i="7"/>
  <c r="K66" i="7"/>
  <c r="K65" i="7"/>
  <c r="K64" i="7"/>
  <c r="K63" i="7"/>
  <c r="K62" i="7"/>
  <c r="K61" i="7"/>
  <c r="K60" i="7"/>
  <c r="K59" i="7"/>
  <c r="K58" i="7"/>
  <c r="K57" i="7"/>
  <c r="K56" i="7"/>
  <c r="K55" i="7"/>
  <c r="K54" i="7"/>
  <c r="K53" i="7"/>
  <c r="K52" i="7"/>
  <c r="K51" i="7"/>
  <c r="K50" i="7"/>
  <c r="K49" i="7"/>
  <c r="K48" i="7"/>
  <c r="K47" i="7"/>
  <c r="K46" i="7"/>
  <c r="K45" i="7"/>
  <c r="K44" i="7"/>
  <c r="K43" i="7"/>
  <c r="K42" i="7"/>
  <c r="K41" i="7"/>
  <c r="K40" i="7"/>
  <c r="K39" i="7"/>
  <c r="K38" i="7"/>
  <c r="K37" i="7"/>
  <c r="K36" i="7"/>
  <c r="K35" i="7"/>
  <c r="K34" i="7"/>
  <c r="K33" i="7"/>
  <c r="K32" i="7"/>
  <c r="K31" i="7"/>
  <c r="K30" i="7"/>
  <c r="K29" i="7"/>
  <c r="K28" i="7"/>
  <c r="K27" i="7"/>
  <c r="K26" i="7"/>
  <c r="K25" i="7"/>
  <c r="K24" i="7"/>
  <c r="K23" i="7"/>
  <c r="K22" i="7"/>
  <c r="K21" i="7"/>
  <c r="K20" i="7"/>
  <c r="K19" i="7"/>
  <c r="K18" i="7"/>
  <c r="K17" i="7"/>
  <c r="K16" i="7"/>
  <c r="K15" i="7"/>
  <c r="K14" i="7"/>
  <c r="K13" i="7"/>
  <c r="K12" i="7"/>
  <c r="K11" i="7"/>
  <c r="K10" i="7"/>
  <c r="K9" i="7"/>
  <c r="K8" i="7"/>
  <c r="K7" i="7"/>
  <c r="L356" i="6"/>
  <c r="L355" i="6"/>
  <c r="L354" i="6"/>
  <c r="L353" i="6"/>
  <c r="L352" i="6"/>
  <c r="L351" i="6"/>
  <c r="L350" i="6"/>
  <c r="L349" i="6"/>
  <c r="L348" i="6"/>
  <c r="L347" i="6"/>
  <c r="L346" i="6"/>
  <c r="L345" i="6"/>
  <c r="L344" i="6"/>
  <c r="L343" i="6"/>
  <c r="L342" i="6"/>
  <c r="L341" i="6"/>
  <c r="L340" i="6"/>
  <c r="L339" i="6"/>
  <c r="L338" i="6"/>
  <c r="L337" i="6"/>
  <c r="L336" i="6"/>
  <c r="L335" i="6"/>
  <c r="L334" i="6"/>
  <c r="L333" i="6"/>
  <c r="L332" i="6"/>
  <c r="L331" i="6"/>
  <c r="L330" i="6"/>
  <c r="L329" i="6"/>
  <c r="L328" i="6"/>
  <c r="L327" i="6"/>
  <c r="L326" i="6"/>
  <c r="L325" i="6"/>
  <c r="L324" i="6"/>
  <c r="L323" i="6"/>
  <c r="L322" i="6"/>
  <c r="L321" i="6"/>
  <c r="L320" i="6"/>
  <c r="L319" i="6"/>
  <c r="L318" i="6"/>
  <c r="L317" i="6"/>
  <c r="L316" i="6"/>
  <c r="L315" i="6"/>
  <c r="L314" i="6"/>
  <c r="L313" i="6"/>
  <c r="L312" i="6"/>
  <c r="L311" i="6"/>
  <c r="L310" i="6"/>
  <c r="L309" i="6"/>
  <c r="L308" i="6"/>
  <c r="L307" i="6"/>
  <c r="L306" i="6"/>
  <c r="L305" i="6"/>
  <c r="L304" i="6"/>
  <c r="L303" i="6"/>
  <c r="L302" i="6"/>
  <c r="L301" i="6"/>
  <c r="L300" i="6"/>
  <c r="L299" i="6"/>
  <c r="L298" i="6"/>
  <c r="L297" i="6"/>
  <c r="L296" i="6"/>
  <c r="L295" i="6"/>
  <c r="L294" i="6"/>
  <c r="L293" i="6"/>
  <c r="L292" i="6"/>
  <c r="L291" i="6"/>
  <c r="L290" i="6"/>
  <c r="L289" i="6"/>
  <c r="L288" i="6"/>
  <c r="L287" i="6"/>
  <c r="L286" i="6"/>
  <c r="L285" i="6"/>
  <c r="L284" i="6"/>
  <c r="L283" i="6"/>
  <c r="L282" i="6"/>
  <c r="L281" i="6"/>
  <c r="L280" i="6"/>
  <c r="L279" i="6"/>
  <c r="L278" i="6"/>
  <c r="L277" i="6"/>
  <c r="L276" i="6"/>
  <c r="L275" i="6"/>
  <c r="L274" i="6"/>
  <c r="L273" i="6"/>
  <c r="L272" i="6"/>
  <c r="L271" i="6"/>
  <c r="L270" i="6"/>
  <c r="L269" i="6"/>
  <c r="L268" i="6"/>
  <c r="L267" i="6"/>
  <c r="L266" i="6"/>
  <c r="L265" i="6"/>
  <c r="L264" i="6"/>
  <c r="L263" i="6"/>
  <c r="L262" i="6"/>
  <c r="L261" i="6"/>
  <c r="L260" i="6"/>
  <c r="L259" i="6"/>
  <c r="L258" i="6"/>
  <c r="L257" i="6"/>
  <c r="L256" i="6"/>
  <c r="L255" i="6"/>
  <c r="L254" i="6"/>
  <c r="L253" i="6"/>
  <c r="L252" i="6"/>
  <c r="L251" i="6"/>
  <c r="L250" i="6"/>
  <c r="L249" i="6"/>
  <c r="L248" i="6"/>
  <c r="L247" i="6"/>
  <c r="L246" i="6"/>
  <c r="L245" i="6"/>
  <c r="L244" i="6"/>
  <c r="L243" i="6"/>
  <c r="L242" i="6"/>
  <c r="L241" i="6"/>
  <c r="L240" i="6"/>
  <c r="L239" i="6"/>
  <c r="L238" i="6"/>
  <c r="L237" i="6"/>
  <c r="L236" i="6"/>
  <c r="L235" i="6"/>
  <c r="L234" i="6"/>
  <c r="L233" i="6"/>
  <c r="L232" i="6"/>
  <c r="L231" i="6"/>
  <c r="L230" i="6"/>
  <c r="L229" i="6"/>
  <c r="L228" i="6"/>
  <c r="L227" i="6"/>
  <c r="L226" i="6"/>
  <c r="L225" i="6"/>
  <c r="L224" i="6"/>
  <c r="L223" i="6"/>
  <c r="L222" i="6"/>
  <c r="L221" i="6"/>
  <c r="L220" i="6"/>
  <c r="L219" i="6"/>
  <c r="L218" i="6"/>
  <c r="L217" i="6"/>
  <c r="L216" i="6"/>
  <c r="L215" i="6"/>
  <c r="L214" i="6"/>
  <c r="L213" i="6"/>
  <c r="L212" i="6"/>
  <c r="L211" i="6"/>
  <c r="L210" i="6"/>
  <c r="L209" i="6"/>
  <c r="L208" i="6"/>
  <c r="L207" i="6"/>
  <c r="L206" i="6"/>
  <c r="L205" i="6"/>
  <c r="L204" i="6"/>
  <c r="L203" i="6"/>
  <c r="L202" i="6"/>
  <c r="L201" i="6"/>
  <c r="L200" i="6"/>
  <c r="L199" i="6"/>
  <c r="L198" i="6"/>
  <c r="L197" i="6"/>
  <c r="L196" i="6"/>
  <c r="L195" i="6"/>
  <c r="L194" i="6"/>
  <c r="L193" i="6"/>
  <c r="L192" i="6"/>
  <c r="L191" i="6"/>
  <c r="L190" i="6"/>
  <c r="L189" i="6"/>
  <c r="L188" i="6"/>
  <c r="L187" i="6"/>
  <c r="L186" i="6"/>
  <c r="L185" i="6"/>
  <c r="L184" i="6"/>
  <c r="L183" i="6"/>
  <c r="L182" i="6"/>
  <c r="L181" i="6"/>
  <c r="L180" i="6"/>
  <c r="L179" i="6"/>
  <c r="L178" i="6"/>
  <c r="L177" i="6"/>
  <c r="L176" i="6"/>
  <c r="L175" i="6"/>
  <c r="L174" i="6"/>
  <c r="L173" i="6"/>
  <c r="L172" i="6"/>
  <c r="L171" i="6"/>
  <c r="L170" i="6"/>
  <c r="L169" i="6"/>
  <c r="L168" i="6"/>
  <c r="L167" i="6"/>
  <c r="L166" i="6"/>
  <c r="L165" i="6"/>
  <c r="L164" i="6"/>
  <c r="L163" i="6"/>
  <c r="L162" i="6"/>
  <c r="L161" i="6"/>
  <c r="L160" i="6"/>
  <c r="L159" i="6"/>
  <c r="L158" i="6"/>
  <c r="L157" i="6"/>
  <c r="L156" i="6"/>
  <c r="L155" i="6"/>
  <c r="L154" i="6"/>
  <c r="L153" i="6"/>
  <c r="L152" i="6"/>
  <c r="L151" i="6"/>
  <c r="L150" i="6"/>
  <c r="L149" i="6"/>
  <c r="L148" i="6"/>
  <c r="L147" i="6"/>
  <c r="L146" i="6"/>
  <c r="L145" i="6"/>
  <c r="L144" i="6"/>
  <c r="L143" i="6"/>
  <c r="L142" i="6"/>
  <c r="L141" i="6"/>
  <c r="L140" i="6"/>
  <c r="L139" i="6"/>
  <c r="L138" i="6"/>
  <c r="L137" i="6"/>
  <c r="L136" i="6"/>
  <c r="L135" i="6"/>
  <c r="L134" i="6"/>
  <c r="L133" i="6"/>
  <c r="L132" i="6"/>
  <c r="L131" i="6"/>
  <c r="L130" i="6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L27" i="6"/>
  <c r="L26" i="6"/>
  <c r="L25" i="6"/>
  <c r="L24" i="6"/>
  <c r="L23" i="6"/>
  <c r="L22" i="6"/>
  <c r="L21" i="6"/>
  <c r="L20" i="6"/>
  <c r="L19" i="6"/>
  <c r="L18" i="6"/>
  <c r="L17" i="6"/>
  <c r="L16" i="6"/>
  <c r="L15" i="6"/>
  <c r="L14" i="6"/>
  <c r="L13" i="6"/>
  <c r="L12" i="6"/>
  <c r="L11" i="6"/>
  <c r="L10" i="6"/>
  <c r="L9" i="6"/>
  <c r="L8" i="6"/>
  <c r="L7" i="6"/>
  <c r="L356" i="5"/>
  <c r="L355" i="5"/>
  <c r="L354" i="5"/>
  <c r="L353" i="5"/>
  <c r="L352" i="5"/>
  <c r="L351" i="5"/>
  <c r="L350" i="5"/>
  <c r="L349" i="5"/>
  <c r="L348" i="5"/>
  <c r="L347" i="5"/>
  <c r="L346" i="5"/>
  <c r="L345" i="5"/>
  <c r="L344" i="5"/>
  <c r="L343" i="5"/>
  <c r="L342" i="5"/>
  <c r="L341" i="5"/>
  <c r="L340" i="5"/>
  <c r="L339" i="5"/>
  <c r="L338" i="5"/>
  <c r="L337" i="5"/>
  <c r="L336" i="5"/>
  <c r="L335" i="5"/>
  <c r="L334" i="5"/>
  <c r="L333" i="5"/>
  <c r="L332" i="5"/>
  <c r="L331" i="5"/>
  <c r="L330" i="5"/>
  <c r="L329" i="5"/>
  <c r="L328" i="5"/>
  <c r="L327" i="5"/>
  <c r="L326" i="5"/>
  <c r="L325" i="5"/>
  <c r="L324" i="5"/>
  <c r="L323" i="5"/>
  <c r="L322" i="5"/>
  <c r="L321" i="5"/>
  <c r="L320" i="5"/>
  <c r="L319" i="5"/>
  <c r="L318" i="5"/>
  <c r="L317" i="5"/>
  <c r="L316" i="5"/>
  <c r="L315" i="5"/>
  <c r="L314" i="5"/>
  <c r="L313" i="5"/>
  <c r="L312" i="5"/>
  <c r="L311" i="5"/>
  <c r="L310" i="5"/>
  <c r="L309" i="5"/>
  <c r="L308" i="5"/>
  <c r="L307" i="5"/>
  <c r="L306" i="5"/>
  <c r="L305" i="5"/>
  <c r="L304" i="5"/>
  <c r="L303" i="5"/>
  <c r="L302" i="5"/>
  <c r="L301" i="5"/>
  <c r="L300" i="5"/>
  <c r="L299" i="5"/>
  <c r="L298" i="5"/>
  <c r="L297" i="5"/>
  <c r="L296" i="5"/>
  <c r="L295" i="5"/>
  <c r="L294" i="5"/>
  <c r="L293" i="5"/>
  <c r="L292" i="5"/>
  <c r="L291" i="5"/>
  <c r="L290" i="5"/>
  <c r="L289" i="5"/>
  <c r="L288" i="5"/>
  <c r="L287" i="5"/>
  <c r="L286" i="5"/>
  <c r="L285" i="5"/>
  <c r="L284" i="5"/>
  <c r="L283" i="5"/>
  <c r="L282" i="5"/>
  <c r="L281" i="5"/>
  <c r="L280" i="5"/>
  <c r="L279" i="5"/>
  <c r="L278" i="5"/>
  <c r="L277" i="5"/>
  <c r="L276" i="5"/>
  <c r="L275" i="5"/>
  <c r="L274" i="5"/>
  <c r="L273" i="5"/>
  <c r="L272" i="5"/>
  <c r="L271" i="5"/>
  <c r="L270" i="5"/>
  <c r="L269" i="5"/>
  <c r="L268" i="5"/>
  <c r="L267" i="5"/>
  <c r="L266" i="5"/>
  <c r="L265" i="5"/>
  <c r="L264" i="5"/>
  <c r="L263" i="5"/>
  <c r="L262" i="5"/>
  <c r="L261" i="5"/>
  <c r="L260" i="5"/>
  <c r="L259" i="5"/>
  <c r="L258" i="5"/>
  <c r="L257" i="5"/>
  <c r="L256" i="5"/>
  <c r="L255" i="5"/>
  <c r="L254" i="5"/>
  <c r="L253" i="5"/>
  <c r="L252" i="5"/>
  <c r="L251" i="5"/>
  <c r="L250" i="5"/>
  <c r="L249" i="5"/>
  <c r="L248" i="5"/>
  <c r="L247" i="5"/>
  <c r="L246" i="5"/>
  <c r="L245" i="5"/>
  <c r="L244" i="5"/>
  <c r="L243" i="5"/>
  <c r="L242" i="5"/>
  <c r="L241" i="5"/>
  <c r="L240" i="5"/>
  <c r="L239" i="5"/>
  <c r="L238" i="5"/>
  <c r="L237" i="5"/>
  <c r="L236" i="5"/>
  <c r="L235" i="5"/>
  <c r="L234" i="5"/>
  <c r="L233" i="5"/>
  <c r="L232" i="5"/>
  <c r="L231" i="5"/>
  <c r="L230" i="5"/>
  <c r="L229" i="5"/>
  <c r="L228" i="5"/>
  <c r="L227" i="5"/>
  <c r="L226" i="5"/>
  <c r="L225" i="5"/>
  <c r="L224" i="5"/>
  <c r="L223" i="5"/>
  <c r="L222" i="5"/>
  <c r="L221" i="5"/>
  <c r="L220" i="5"/>
  <c r="L219" i="5"/>
  <c r="L218" i="5"/>
  <c r="L217" i="5"/>
  <c r="L216" i="5"/>
  <c r="L215" i="5"/>
  <c r="L214" i="5"/>
  <c r="L213" i="5"/>
  <c r="L212" i="5"/>
  <c r="L211" i="5"/>
  <c r="L210" i="5"/>
  <c r="L209" i="5"/>
  <c r="L208" i="5"/>
  <c r="L207" i="5"/>
  <c r="L206" i="5"/>
  <c r="L205" i="5"/>
  <c r="L204" i="5"/>
  <c r="L203" i="5"/>
  <c r="L202" i="5"/>
  <c r="L201" i="5"/>
  <c r="L200" i="5"/>
  <c r="L199" i="5"/>
  <c r="L198" i="5"/>
  <c r="L197" i="5"/>
  <c r="L196" i="5"/>
  <c r="L195" i="5"/>
  <c r="L194" i="5"/>
  <c r="L193" i="5"/>
  <c r="L192" i="5"/>
  <c r="L191" i="5"/>
  <c r="L190" i="5"/>
  <c r="L189" i="5"/>
  <c r="L188" i="5"/>
  <c r="L187" i="5"/>
  <c r="L186" i="5"/>
  <c r="L185" i="5"/>
  <c r="L184" i="5"/>
  <c r="L183" i="5"/>
  <c r="L182" i="5"/>
  <c r="L181" i="5"/>
  <c r="L180" i="5"/>
  <c r="L179" i="5"/>
  <c r="L178" i="5"/>
  <c r="L177" i="5"/>
  <c r="L176" i="5"/>
  <c r="L175" i="5"/>
  <c r="L174" i="5"/>
  <c r="L173" i="5"/>
  <c r="L172" i="5"/>
  <c r="L171" i="5"/>
  <c r="L170" i="5"/>
  <c r="L169" i="5"/>
  <c r="L168" i="5"/>
  <c r="L167" i="5"/>
  <c r="L166" i="5"/>
  <c r="L165" i="5"/>
  <c r="L164" i="5"/>
  <c r="L163" i="5"/>
  <c r="L162" i="5"/>
  <c r="L161" i="5"/>
  <c r="L160" i="5"/>
  <c r="L159" i="5"/>
  <c r="L158" i="5"/>
  <c r="L157" i="5"/>
  <c r="L156" i="5"/>
  <c r="L155" i="5"/>
  <c r="L154" i="5"/>
  <c r="L153" i="5"/>
  <c r="L152" i="5"/>
  <c r="L151" i="5"/>
  <c r="L150" i="5"/>
  <c r="L149" i="5"/>
  <c r="L148" i="5"/>
  <c r="L147" i="5"/>
  <c r="L146" i="5"/>
  <c r="L145" i="5"/>
  <c r="L144" i="5"/>
  <c r="L143" i="5"/>
  <c r="L142" i="5"/>
  <c r="L141" i="5"/>
  <c r="L140" i="5"/>
  <c r="L139" i="5"/>
  <c r="L138" i="5"/>
  <c r="L137" i="5"/>
  <c r="L136" i="5"/>
  <c r="L135" i="5"/>
  <c r="L134" i="5"/>
  <c r="L133" i="5"/>
  <c r="L132" i="5"/>
  <c r="L131" i="5"/>
  <c r="L130" i="5"/>
  <c r="L129" i="5"/>
  <c r="L128" i="5"/>
  <c r="L127" i="5"/>
  <c r="L126" i="5"/>
  <c r="L125" i="5"/>
  <c r="L124" i="5"/>
  <c r="L123" i="5"/>
  <c r="L122" i="5"/>
  <c r="L121" i="5"/>
  <c r="L120" i="5"/>
  <c r="L119" i="5"/>
  <c r="L118" i="5"/>
  <c r="L117" i="5"/>
  <c r="L116" i="5"/>
  <c r="L115" i="5"/>
  <c r="L114" i="5"/>
  <c r="L113" i="5"/>
  <c r="L112" i="5"/>
  <c r="L111" i="5"/>
  <c r="L110" i="5"/>
  <c r="L109" i="5"/>
  <c r="L108" i="5"/>
  <c r="L107" i="5"/>
  <c r="L106" i="5"/>
  <c r="L105" i="5"/>
  <c r="L104" i="5"/>
  <c r="L103" i="5"/>
  <c r="L102" i="5"/>
  <c r="L101" i="5"/>
  <c r="L100" i="5"/>
  <c r="L99" i="5"/>
  <c r="L98" i="5"/>
  <c r="L97" i="5"/>
  <c r="L96" i="5"/>
  <c r="L95" i="5"/>
  <c r="L94" i="5"/>
  <c r="L93" i="5"/>
  <c r="L92" i="5"/>
  <c r="L91" i="5"/>
  <c r="L90" i="5"/>
  <c r="L89" i="5"/>
  <c r="L88" i="5"/>
  <c r="L87" i="5"/>
  <c r="L86" i="5"/>
  <c r="L85" i="5"/>
  <c r="L84" i="5"/>
  <c r="L83" i="5"/>
  <c r="L82" i="5"/>
  <c r="L81" i="5"/>
  <c r="L80" i="5"/>
  <c r="L79" i="5"/>
  <c r="L78" i="5"/>
  <c r="L77" i="5"/>
  <c r="L76" i="5"/>
  <c r="L75" i="5"/>
  <c r="L74" i="5"/>
  <c r="L73" i="5"/>
  <c r="L72" i="5"/>
  <c r="L71" i="5"/>
  <c r="L70" i="5"/>
  <c r="L69" i="5"/>
  <c r="L68" i="5"/>
  <c r="L67" i="5"/>
  <c r="L66" i="5"/>
  <c r="L65" i="5"/>
  <c r="L64" i="5"/>
  <c r="L63" i="5"/>
  <c r="L62" i="5"/>
  <c r="L61" i="5"/>
  <c r="L60" i="5"/>
  <c r="L59" i="5"/>
  <c r="L58" i="5"/>
  <c r="L57" i="5"/>
  <c r="L56" i="5"/>
  <c r="L55" i="5"/>
  <c r="L54" i="5"/>
  <c r="L53" i="5"/>
  <c r="L52" i="5"/>
  <c r="L51" i="5"/>
  <c r="L50" i="5"/>
  <c r="L49" i="5"/>
  <c r="L48" i="5"/>
  <c r="L47" i="5"/>
  <c r="L46" i="5"/>
  <c r="L45" i="5"/>
  <c r="L44" i="5"/>
  <c r="L43" i="5"/>
  <c r="L42" i="5"/>
  <c r="L41" i="5"/>
  <c r="L40" i="5"/>
  <c r="L39" i="5"/>
  <c r="L38" i="5"/>
  <c r="L37" i="5"/>
  <c r="L36" i="5"/>
  <c r="L35" i="5"/>
  <c r="L34" i="5"/>
  <c r="L33" i="5"/>
  <c r="L32" i="5"/>
  <c r="L31" i="5"/>
  <c r="L30" i="5"/>
  <c r="L29" i="5"/>
  <c r="L28" i="5"/>
  <c r="L27" i="5"/>
  <c r="L26" i="5"/>
  <c r="L25" i="5"/>
  <c r="L24" i="5"/>
  <c r="L23" i="5"/>
  <c r="L22" i="5"/>
  <c r="L21" i="5"/>
  <c r="L20" i="5"/>
  <c r="L19" i="5"/>
  <c r="L18" i="5"/>
  <c r="L17" i="5"/>
  <c r="L16" i="5"/>
  <c r="L15" i="5"/>
  <c r="L14" i="5"/>
  <c r="L13" i="5"/>
  <c r="L12" i="5"/>
  <c r="L11" i="5"/>
  <c r="L10" i="5"/>
  <c r="M7" i="5" s="1"/>
  <c r="L9" i="5"/>
  <c r="L8" i="5"/>
  <c r="L7" i="5"/>
  <c r="O7" i="4"/>
  <c r="N7" i="4"/>
  <c r="O7" i="3"/>
  <c r="N7" i="3"/>
  <c r="P7" i="2"/>
  <c r="O7" i="2"/>
  <c r="N7" i="2"/>
  <c r="M7" i="2"/>
</calcChain>
</file>

<file path=xl/sharedStrings.xml><?xml version="1.0" encoding="utf-8"?>
<sst xmlns="http://schemas.openxmlformats.org/spreadsheetml/2006/main" count="19045" uniqueCount="426">
  <si>
    <t>Order ID</t>
  </si>
  <si>
    <t>Region</t>
  </si>
  <si>
    <t>Country</t>
  </si>
  <si>
    <t>Category</t>
  </si>
  <si>
    <t>Sales Channel</t>
  </si>
  <si>
    <t>Order Priority</t>
  </si>
  <si>
    <t>Order Date</t>
  </si>
  <si>
    <t>Units Sold</t>
  </si>
  <si>
    <t>Unit Price</t>
  </si>
  <si>
    <t>Unit Cost</t>
  </si>
  <si>
    <t>ORD0001</t>
  </si>
  <si>
    <t>East</t>
  </si>
  <si>
    <t>Germany</t>
  </si>
  <si>
    <t>Beverages</t>
  </si>
  <si>
    <t>Online</t>
  </si>
  <si>
    <t>High</t>
  </si>
  <si>
    <t>ORD0002</t>
  </si>
  <si>
    <t>West</t>
  </si>
  <si>
    <t>India</t>
  </si>
  <si>
    <t>Food</t>
  </si>
  <si>
    <t>Low</t>
  </si>
  <si>
    <t>ORD0003</t>
  </si>
  <si>
    <t>North</t>
  </si>
  <si>
    <t>Clothing</t>
  </si>
  <si>
    <t>Offline</t>
  </si>
  <si>
    <t>ORD0004</t>
  </si>
  <si>
    <t>USA</t>
  </si>
  <si>
    <t>Furniture</t>
  </si>
  <si>
    <t>Medium</t>
  </si>
  <si>
    <t>ORD0005</t>
  </si>
  <si>
    <t>ORD0006</t>
  </si>
  <si>
    <t>UK</t>
  </si>
  <si>
    <t>ORD0007</t>
  </si>
  <si>
    <t>ORD0008</t>
  </si>
  <si>
    <t>ORD0009</t>
  </si>
  <si>
    <t>ORD0010</t>
  </si>
  <si>
    <t>ORD0011</t>
  </si>
  <si>
    <t>ORD0012</t>
  </si>
  <si>
    <t>ORD0013</t>
  </si>
  <si>
    <t>ORD0014</t>
  </si>
  <si>
    <t>ORD0015</t>
  </si>
  <si>
    <t>ORD0016</t>
  </si>
  <si>
    <t>Electronics</t>
  </si>
  <si>
    <t>ORD0017</t>
  </si>
  <si>
    <t>ORD0018</t>
  </si>
  <si>
    <t>ORD0019</t>
  </si>
  <si>
    <t>ORD0020</t>
  </si>
  <si>
    <t>ORD0021</t>
  </si>
  <si>
    <t>South</t>
  </si>
  <si>
    <t>ORD0022</t>
  </si>
  <si>
    <t>Australia</t>
  </si>
  <si>
    <t>ORD0023</t>
  </si>
  <si>
    <t>ORD0024</t>
  </si>
  <si>
    <t>ORD0025</t>
  </si>
  <si>
    <t>ORD0026</t>
  </si>
  <si>
    <t>ORD0027</t>
  </si>
  <si>
    <t>ORD0028</t>
  </si>
  <si>
    <t>ORD0029</t>
  </si>
  <si>
    <t>ORD0030</t>
  </si>
  <si>
    <t>ORD0031</t>
  </si>
  <si>
    <t>ORD0032</t>
  </si>
  <si>
    <t>ORD0033</t>
  </si>
  <si>
    <t>ORD0034</t>
  </si>
  <si>
    <t>ORD0035</t>
  </si>
  <si>
    <t>ORD0036</t>
  </si>
  <si>
    <t>ORD0037</t>
  </si>
  <si>
    <t>ORD0038</t>
  </si>
  <si>
    <t>ORD0039</t>
  </si>
  <si>
    <t>ORD0040</t>
  </si>
  <si>
    <t>ORD0041</t>
  </si>
  <si>
    <t>ORD0042</t>
  </si>
  <si>
    <t>ORD0043</t>
  </si>
  <si>
    <t>ORD0044</t>
  </si>
  <si>
    <t>ORD0045</t>
  </si>
  <si>
    <t>ORD0046</t>
  </si>
  <si>
    <t>ORD0047</t>
  </si>
  <si>
    <t>ORD0048</t>
  </si>
  <si>
    <t>ORD0049</t>
  </si>
  <si>
    <t>ORD0050</t>
  </si>
  <si>
    <t>ORD0051</t>
  </si>
  <si>
    <t>ORD0052</t>
  </si>
  <si>
    <t>ORD0053</t>
  </si>
  <si>
    <t>ORD0054</t>
  </si>
  <si>
    <t>ORD0055</t>
  </si>
  <si>
    <t>ORD0056</t>
  </si>
  <si>
    <t>ORD0057</t>
  </si>
  <si>
    <t>ORD0058</t>
  </si>
  <si>
    <t>ORD0059</t>
  </si>
  <si>
    <t>ORD0060</t>
  </si>
  <si>
    <t>ORD0061</t>
  </si>
  <si>
    <t>ORD0062</t>
  </si>
  <si>
    <t>ORD0063</t>
  </si>
  <si>
    <t>ORD0064</t>
  </si>
  <si>
    <t>ORD0065</t>
  </si>
  <si>
    <t>ORD0066</t>
  </si>
  <si>
    <t>ORD0067</t>
  </si>
  <si>
    <t>ORD0068</t>
  </si>
  <si>
    <t>ORD0069</t>
  </si>
  <si>
    <t>ORD0070</t>
  </si>
  <si>
    <t>ORD0071</t>
  </si>
  <si>
    <t>ORD0072</t>
  </si>
  <si>
    <t>ORD0073</t>
  </si>
  <si>
    <t>ORD0074</t>
  </si>
  <si>
    <t>ORD0075</t>
  </si>
  <si>
    <t>ORD0076</t>
  </si>
  <si>
    <t>ORD0077</t>
  </si>
  <si>
    <t>ORD0078</t>
  </si>
  <si>
    <t>ORD0079</t>
  </si>
  <si>
    <t>ORD0080</t>
  </si>
  <si>
    <t>ORD0081</t>
  </si>
  <si>
    <t>ORD0082</t>
  </si>
  <si>
    <t>ORD0083</t>
  </si>
  <si>
    <t>ORD0084</t>
  </si>
  <si>
    <t>ORD0085</t>
  </si>
  <si>
    <t>ORD0086</t>
  </si>
  <si>
    <t>ORD0087</t>
  </si>
  <si>
    <t>ORD0088</t>
  </si>
  <si>
    <t>ORD0089</t>
  </si>
  <si>
    <t>ORD0090</t>
  </si>
  <si>
    <t>ORD0091</t>
  </si>
  <si>
    <t>ORD0092</t>
  </si>
  <si>
    <t>ORD0093</t>
  </si>
  <si>
    <t>ORD0094</t>
  </si>
  <si>
    <t>ORD0095</t>
  </si>
  <si>
    <t>ORD0096</t>
  </si>
  <si>
    <t>ORD0097</t>
  </si>
  <si>
    <t>ORD0098</t>
  </si>
  <si>
    <t>ORD0099</t>
  </si>
  <si>
    <t>ORD0100</t>
  </si>
  <si>
    <t>ORD0101</t>
  </si>
  <si>
    <t>ORD0102</t>
  </si>
  <si>
    <t>ORD0103</t>
  </si>
  <si>
    <t>ORD0104</t>
  </si>
  <si>
    <t>ORD0105</t>
  </si>
  <si>
    <t>ORD0106</t>
  </si>
  <si>
    <t>ORD0107</t>
  </si>
  <si>
    <t>ORD0108</t>
  </si>
  <si>
    <t>ORD0109</t>
  </si>
  <si>
    <t>ORD0110</t>
  </si>
  <si>
    <t>ORD0111</t>
  </si>
  <si>
    <t>ORD0112</t>
  </si>
  <si>
    <t>ORD0113</t>
  </si>
  <si>
    <t>ORD0114</t>
  </si>
  <si>
    <t>ORD0115</t>
  </si>
  <si>
    <t>ORD0116</t>
  </si>
  <si>
    <t>ORD0117</t>
  </si>
  <si>
    <t>ORD0118</t>
  </si>
  <si>
    <t>ORD0119</t>
  </si>
  <si>
    <t>ORD0120</t>
  </si>
  <si>
    <t>ORD0121</t>
  </si>
  <si>
    <t>ORD0122</t>
  </si>
  <si>
    <t>ORD0123</t>
  </si>
  <si>
    <t>ORD0124</t>
  </si>
  <si>
    <t>ORD0125</t>
  </si>
  <si>
    <t>ORD0126</t>
  </si>
  <si>
    <t>ORD0127</t>
  </si>
  <si>
    <t>ORD0128</t>
  </si>
  <si>
    <t>ORD0129</t>
  </si>
  <si>
    <t>ORD0130</t>
  </si>
  <si>
    <t>ORD0131</t>
  </si>
  <si>
    <t>ORD0132</t>
  </si>
  <si>
    <t>ORD0133</t>
  </si>
  <si>
    <t>ORD0134</t>
  </si>
  <si>
    <t>ORD0135</t>
  </si>
  <si>
    <t>ORD0136</t>
  </si>
  <si>
    <t>ORD0137</t>
  </si>
  <si>
    <t>ORD0138</t>
  </si>
  <si>
    <t>ORD0139</t>
  </si>
  <si>
    <t>ORD0140</t>
  </si>
  <si>
    <t>ORD0141</t>
  </si>
  <si>
    <t>ORD0142</t>
  </si>
  <si>
    <t>ORD0143</t>
  </si>
  <si>
    <t>ORD0144</t>
  </si>
  <si>
    <t>ORD0145</t>
  </si>
  <si>
    <t>ORD0146</t>
  </si>
  <si>
    <t>ORD0147</t>
  </si>
  <si>
    <t>ORD0148</t>
  </si>
  <si>
    <t>ORD0149</t>
  </si>
  <si>
    <t>ORD0150</t>
  </si>
  <si>
    <t>ORD0151</t>
  </si>
  <si>
    <t>ORD0152</t>
  </si>
  <si>
    <t>ORD0153</t>
  </si>
  <si>
    <t>ORD0154</t>
  </si>
  <si>
    <t>ORD0155</t>
  </si>
  <si>
    <t>ORD0156</t>
  </si>
  <si>
    <t>ORD0157</t>
  </si>
  <si>
    <t>ORD0158</t>
  </si>
  <si>
    <t>ORD0159</t>
  </si>
  <si>
    <t>ORD0160</t>
  </si>
  <si>
    <t>ORD0161</t>
  </si>
  <si>
    <t>ORD0162</t>
  </si>
  <si>
    <t>ORD0163</t>
  </si>
  <si>
    <t>ORD0164</t>
  </si>
  <si>
    <t>ORD0165</t>
  </si>
  <si>
    <t>ORD0166</t>
  </si>
  <si>
    <t>ORD0167</t>
  </si>
  <si>
    <t>ORD0168</t>
  </si>
  <si>
    <t>ORD0169</t>
  </si>
  <si>
    <t>ORD0170</t>
  </si>
  <si>
    <t>ORD0171</t>
  </si>
  <si>
    <t>ORD0172</t>
  </si>
  <si>
    <t>ORD0173</t>
  </si>
  <si>
    <t>ORD0174</t>
  </si>
  <si>
    <t>ORD0175</t>
  </si>
  <si>
    <t>ORD0176</t>
  </si>
  <si>
    <t>ORD0177</t>
  </si>
  <si>
    <t>ORD0178</t>
  </si>
  <si>
    <t>ORD0179</t>
  </si>
  <si>
    <t>ORD0180</t>
  </si>
  <si>
    <t>ORD0181</t>
  </si>
  <si>
    <t>ORD0182</t>
  </si>
  <si>
    <t>ORD0183</t>
  </si>
  <si>
    <t>ORD0184</t>
  </si>
  <si>
    <t>ORD0185</t>
  </si>
  <si>
    <t>ORD0186</t>
  </si>
  <si>
    <t>ORD0187</t>
  </si>
  <si>
    <t>ORD0188</t>
  </si>
  <si>
    <t>ORD0189</t>
  </si>
  <si>
    <t>ORD0190</t>
  </si>
  <si>
    <t>ORD0191</t>
  </si>
  <si>
    <t>ORD0192</t>
  </si>
  <si>
    <t>ORD0193</t>
  </si>
  <si>
    <t>ORD0194</t>
  </si>
  <si>
    <t>ORD0195</t>
  </si>
  <si>
    <t>ORD0196</t>
  </si>
  <si>
    <t>ORD0197</t>
  </si>
  <si>
    <t>ORD0198</t>
  </si>
  <si>
    <t>ORD0199</t>
  </si>
  <si>
    <t>ORD0200</t>
  </si>
  <si>
    <t>ORD0201</t>
  </si>
  <si>
    <t>ORD0202</t>
  </si>
  <si>
    <t>ORD0203</t>
  </si>
  <si>
    <t>ORD0204</t>
  </si>
  <si>
    <t>ORD0205</t>
  </si>
  <si>
    <t>ORD0206</t>
  </si>
  <si>
    <t>ORD0207</t>
  </si>
  <si>
    <t>ORD0208</t>
  </si>
  <si>
    <t>ORD0209</t>
  </si>
  <si>
    <t>ORD0210</t>
  </si>
  <si>
    <t>ORD0211</t>
  </si>
  <si>
    <t>ORD0212</t>
  </si>
  <si>
    <t>ORD0213</t>
  </si>
  <si>
    <t>ORD0214</t>
  </si>
  <si>
    <t>ORD0215</t>
  </si>
  <si>
    <t>ORD0216</t>
  </si>
  <si>
    <t>ORD0217</t>
  </si>
  <si>
    <t>ORD0218</t>
  </si>
  <si>
    <t>ORD0219</t>
  </si>
  <si>
    <t>ORD0220</t>
  </si>
  <si>
    <t>ORD0221</t>
  </si>
  <si>
    <t>ORD0222</t>
  </si>
  <si>
    <t>ORD0223</t>
  </si>
  <si>
    <t>ORD0224</t>
  </si>
  <si>
    <t>ORD0225</t>
  </si>
  <si>
    <t>ORD0226</t>
  </si>
  <si>
    <t>ORD0227</t>
  </si>
  <si>
    <t>ORD0228</t>
  </si>
  <si>
    <t>ORD0229</t>
  </si>
  <si>
    <t>ORD0230</t>
  </si>
  <si>
    <t>ORD0231</t>
  </si>
  <si>
    <t>ORD0232</t>
  </si>
  <si>
    <t>ORD0233</t>
  </si>
  <si>
    <t>ORD0234</t>
  </si>
  <si>
    <t>ORD0235</t>
  </si>
  <si>
    <t>ORD0236</t>
  </si>
  <si>
    <t>ORD0237</t>
  </si>
  <si>
    <t>ORD0238</t>
  </si>
  <si>
    <t>ORD0239</t>
  </si>
  <si>
    <t>ORD0240</t>
  </si>
  <si>
    <t>ORD0241</t>
  </si>
  <si>
    <t>ORD0242</t>
  </si>
  <si>
    <t>ORD0243</t>
  </si>
  <si>
    <t>ORD0244</t>
  </si>
  <si>
    <t>ORD0245</t>
  </si>
  <si>
    <t>ORD0246</t>
  </si>
  <si>
    <t>ORD0247</t>
  </si>
  <si>
    <t>ORD0248</t>
  </si>
  <si>
    <t>ORD0249</t>
  </si>
  <si>
    <t>ORD0250</t>
  </si>
  <si>
    <t>ORD0251</t>
  </si>
  <si>
    <t>ORD0252</t>
  </si>
  <si>
    <t>ORD0253</t>
  </si>
  <si>
    <t>ORD0254</t>
  </si>
  <si>
    <t>ORD0255</t>
  </si>
  <si>
    <t>ORD0256</t>
  </si>
  <si>
    <t>ORD0257</t>
  </si>
  <si>
    <t>ORD0258</t>
  </si>
  <si>
    <t>ORD0259</t>
  </si>
  <si>
    <t>ORD0260</t>
  </si>
  <si>
    <t>ORD0261</t>
  </si>
  <si>
    <t>ORD0262</t>
  </si>
  <si>
    <t>ORD0263</t>
  </si>
  <si>
    <t>ORD0264</t>
  </si>
  <si>
    <t>ORD0265</t>
  </si>
  <si>
    <t>ORD0266</t>
  </si>
  <si>
    <t>ORD0267</t>
  </si>
  <si>
    <t>ORD0268</t>
  </si>
  <si>
    <t>ORD0269</t>
  </si>
  <si>
    <t>ORD0270</t>
  </si>
  <si>
    <t>ORD0271</t>
  </si>
  <si>
    <t>ORD0272</t>
  </si>
  <si>
    <t>ORD0273</t>
  </si>
  <si>
    <t>ORD0274</t>
  </si>
  <si>
    <t>ORD0275</t>
  </si>
  <si>
    <t>ORD0276</t>
  </si>
  <si>
    <t>ORD0277</t>
  </si>
  <si>
    <t>ORD0278</t>
  </si>
  <si>
    <t>ORD0279</t>
  </si>
  <si>
    <t>ORD0280</t>
  </si>
  <si>
    <t>ORD0281</t>
  </si>
  <si>
    <t>ORD0282</t>
  </si>
  <si>
    <t>ORD0283</t>
  </si>
  <si>
    <t>ORD0284</t>
  </si>
  <si>
    <t>ORD0285</t>
  </si>
  <si>
    <t>ORD0286</t>
  </si>
  <si>
    <t>ORD0287</t>
  </si>
  <si>
    <t>ORD0288</t>
  </si>
  <si>
    <t>ORD0289</t>
  </si>
  <si>
    <t>ORD0290</t>
  </si>
  <si>
    <t>ORD0291</t>
  </si>
  <si>
    <t>ORD0292</t>
  </si>
  <si>
    <t>ORD0293</t>
  </si>
  <si>
    <t>ORD0294</t>
  </si>
  <si>
    <t>ORD0295</t>
  </si>
  <si>
    <t>ORD0296</t>
  </si>
  <si>
    <t>ORD0297</t>
  </si>
  <si>
    <t>ORD0298</t>
  </si>
  <si>
    <t>ORD0299</t>
  </si>
  <si>
    <t>ORD0300</t>
  </si>
  <si>
    <t>ORD0301</t>
  </si>
  <si>
    <t>ORD0302</t>
  </si>
  <si>
    <t>ORD0303</t>
  </si>
  <si>
    <t>ORD0304</t>
  </si>
  <si>
    <t>ORD0305</t>
  </si>
  <si>
    <t>ORD0306</t>
  </si>
  <si>
    <t>ORD0307</t>
  </si>
  <si>
    <t>ORD0308</t>
  </si>
  <si>
    <t>ORD0309</t>
  </si>
  <si>
    <t>ORD0310</t>
  </si>
  <si>
    <t>ORD0311</t>
  </si>
  <si>
    <t>ORD0312</t>
  </si>
  <si>
    <t>ORD0313</t>
  </si>
  <si>
    <t>ORD0314</t>
  </si>
  <si>
    <t>ORD0315</t>
  </si>
  <si>
    <t>ORD0316</t>
  </si>
  <si>
    <t>ORD0317</t>
  </si>
  <si>
    <t>ORD0318</t>
  </si>
  <si>
    <t>ORD0319</t>
  </si>
  <si>
    <t>ORD0320</t>
  </si>
  <si>
    <t>ORD0321</t>
  </si>
  <si>
    <t>ORD0322</t>
  </si>
  <si>
    <t>ORD0323</t>
  </si>
  <si>
    <t>ORD0324</t>
  </si>
  <si>
    <t>ORD0325</t>
  </si>
  <si>
    <t>ORD0326</t>
  </si>
  <si>
    <t>ORD0327</t>
  </si>
  <si>
    <t>ORD0328</t>
  </si>
  <si>
    <t>ORD0329</t>
  </si>
  <si>
    <t>ORD0330</t>
  </si>
  <si>
    <t>ORD0331</t>
  </si>
  <si>
    <t>ORD0332</t>
  </si>
  <si>
    <t>ORD0333</t>
  </si>
  <si>
    <t>ORD0334</t>
  </si>
  <si>
    <t>ORD0335</t>
  </si>
  <si>
    <t>ORD0336</t>
  </si>
  <si>
    <t>ORD0337</t>
  </si>
  <si>
    <t>ORD0338</t>
  </si>
  <si>
    <t>ORD0339</t>
  </si>
  <si>
    <t>ORD0340</t>
  </si>
  <si>
    <t>ORD0341</t>
  </si>
  <si>
    <t>ORD0342</t>
  </si>
  <si>
    <t>ORD0343</t>
  </si>
  <si>
    <t>ORD0344</t>
  </si>
  <si>
    <t>ORD0345</t>
  </si>
  <si>
    <t>ORD0346</t>
  </si>
  <si>
    <t>ORD0347</t>
  </si>
  <si>
    <t>ORD0348</t>
  </si>
  <si>
    <t>ORD0349</t>
  </si>
  <si>
    <t>ORD0350</t>
  </si>
  <si>
    <t>Q)</t>
  </si>
  <si>
    <t>Use Copilot to identify and summarize missing values in the dataset.</t>
  </si>
  <si>
    <t>ANS</t>
  </si>
  <si>
    <t>Use Copilot to fill missing values in the Region and Category Columns</t>
  </si>
  <si>
    <t>Fill missing numeric values in the Units Sold and Unit Price columns.</t>
  </si>
  <si>
    <t>Create a new calculated column Total Revenue</t>
  </si>
  <si>
    <t>Use Copilot to find the total price of Order ID = ‘ORD0123’.</t>
  </si>
  <si>
    <t xml:space="preserve"> Use Copilot to generate a summary chart of average profit by region.</t>
  </si>
  <si>
    <t>Create a pivot table summarizing total sales by category and region.</t>
  </si>
  <si>
    <t>Build a dashboard combining key KPIs and charts.</t>
  </si>
  <si>
    <t>Use Copilot to generate a summary report.</t>
  </si>
  <si>
    <t>Total Revenue</t>
  </si>
  <si>
    <t>countblank total revenue</t>
  </si>
  <si>
    <t>Profit</t>
  </si>
  <si>
    <t>Row Labels</t>
  </si>
  <si>
    <t>Grand Total</t>
  </si>
  <si>
    <t>Average of Profit</t>
  </si>
  <si>
    <t>Column Labels</t>
  </si>
  <si>
    <t>Sum of Total Revenue</t>
  </si>
  <si>
    <t>Kpi total revenue</t>
  </si>
  <si>
    <t>Kpi 2 total profit</t>
  </si>
  <si>
    <t>total orders</t>
  </si>
  <si>
    <t>kpi 4average profit</t>
  </si>
  <si>
    <t>Key Performance Indicators</t>
  </si>
  <si>
    <t xml:space="preserve">Total Revenue </t>
  </si>
  <si>
    <t>Total Profit</t>
  </si>
  <si>
    <t xml:space="preserve">Average Profit Margin(%) </t>
  </si>
  <si>
    <t>1.  Data Quality &amp; Preparation</t>
  </si>
  <si>
    <t>Missing Values:-</t>
  </si>
  <si>
    <t>All missing in the "Region" and "Category" columns have been successfully filled.</t>
  </si>
  <si>
    <t>Numeric missing values in "Units Sold" and "Unit Price" were filled using the median for each column, ensuring no missing data remain</t>
  </si>
  <si>
    <t>2.  Key Performance Indicators (KPIs)</t>
  </si>
  <si>
    <r>
      <t>Total Revenue:</t>
    </r>
    <r>
      <rPr>
        <sz val="11"/>
        <color rgb="FF000000"/>
        <rFont val="Calibri"/>
        <family val="2"/>
      </rPr>
      <t>- $22,456,363.45</t>
    </r>
  </si>
  <si>
    <r>
      <t>Total Profit:-</t>
    </r>
    <r>
      <rPr>
        <sz val="11"/>
        <color rgb="FF000000"/>
        <rFont val="Calibri"/>
        <family val="2"/>
      </rPr>
      <t xml:space="preserve"> $5,084,286.26</t>
    </r>
  </si>
  <si>
    <r>
      <t>Top Region by Average Profit:-</t>
    </r>
    <r>
      <rPr>
        <sz val="11"/>
        <color rgb="FF000000"/>
        <rFont val="Calibri"/>
        <family val="2"/>
      </rPr>
      <t xml:space="preserve"> South</t>
    </r>
  </si>
  <si>
    <t>3.  Sales &amp; Profit Analysis</t>
  </si>
  <si>
    <t>Average Profit by Region:-</t>
  </si>
  <si>
    <t>South region leads in average profit, followed by East and West, with North having the lowest.</t>
  </si>
  <si>
    <t>Category Performance:-</t>
  </si>
  <si>
    <t>Beverages is the top-selling category.</t>
  </si>
  <si>
    <t>Detailed comparison by category within each region is available in grouped bar charts.</t>
  </si>
  <si>
    <t>4.  Pivot Table Insights</t>
  </si>
  <si>
    <t>Total Sales by Category and Region:-</t>
  </si>
  <si>
    <t>A pivot table summarizes total revenue for each category across all regions, helping identify strong and weak areas in the business.</t>
  </si>
  <si>
    <r>
      <t>Top Category by sales:-</t>
    </r>
    <r>
      <rPr>
        <sz val="11"/>
        <color rgb="FF000000"/>
        <rFont val="Calibri"/>
        <family val="2"/>
      </rPr>
      <t xml:space="preserve"> Electronics</t>
    </r>
  </si>
  <si>
    <t>Average Pofiting Top Category</t>
  </si>
  <si>
    <t>Average Profiting Top Region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</si>
</sst>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6"/>
      <color rgb="FF000000"/>
      <name val="Calibri"/>
      <family val="2"/>
    </font>
    <font>
      <b/>
      <sz val="11"/>
      <color rgb="FF000000"/>
      <name val="Aptos Narrow"/>
      <family val="2"/>
    </font>
    <font>
      <b/>
      <sz val="14"/>
      <color rgb="FF000000"/>
      <name val="Calibri"/>
      <family val="2"/>
    </font>
    <font>
      <b/>
      <sz val="12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00"/>
        <bgColor rgb="FFFFFF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1" xfId="0" applyBorder="1"/>
    <xf numFmtId="22" fontId="0" fillId="0" borderId="1" xfId="0" applyNumberFormat="1" applyBorder="1"/>
    <xf numFmtId="0" fontId="1" fillId="0" borderId="1" xfId="0" applyFont="1" applyBorder="1"/>
    <xf numFmtId="0" fontId="2" fillId="0" borderId="0" xfId="0" applyFont="1"/>
    <xf numFmtId="0" fontId="3" fillId="2" borderId="2" xfId="0" applyFont="1" applyFill="1" applyBorder="1" applyAlignment="1">
      <alignment wrapText="1"/>
    </xf>
    <xf numFmtId="0" fontId="3" fillId="2" borderId="2" xfId="0" applyFont="1" applyFill="1" applyBorder="1" applyAlignment="1"/>
    <xf numFmtId="0" fontId="0" fillId="0" borderId="3" xfId="0" applyBorder="1"/>
    <xf numFmtId="0" fontId="3" fillId="3" borderId="1" xfId="0" applyFont="1" applyFill="1" applyBorder="1" applyAlignment="1">
      <alignment wrapText="1"/>
    </xf>
    <xf numFmtId="0" fontId="0" fillId="3" borderId="1" xfId="0" applyFill="1" applyBorder="1"/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1" fontId="0" fillId="0" borderId="0" xfId="0" applyNumberFormat="1"/>
    <xf numFmtId="0" fontId="8" fillId="0" borderId="4" xfId="0" applyFont="1" applyBorder="1" applyAlignment="1">
      <alignment horizontal="center" vertical="top"/>
    </xf>
    <xf numFmtId="1" fontId="0" fillId="0" borderId="1" xfId="0" applyNumberFormat="1" applyBorder="1"/>
    <xf numFmtId="1" fontId="0" fillId="0" borderId="1" xfId="0" applyNumberFormat="1" applyBorder="1" applyAlignment="1">
      <alignment horizontal="center"/>
    </xf>
    <xf numFmtId="0" fontId="0" fillId="0" borderId="1" xfId="0" pivotButton="1" applyBorder="1"/>
    <xf numFmtId="0" fontId="0" fillId="0" borderId="1" xfId="0" applyBorder="1" applyAlignment="1">
      <alignment horizontal="left"/>
    </xf>
    <xf numFmtId="0" fontId="0" fillId="0" borderId="1" xfId="0" pivotButton="1" applyBorder="1" applyAlignment="1">
      <alignment horizontal="center"/>
    </xf>
    <xf numFmtId="0" fontId="9" fillId="0" borderId="0" xfId="0" applyFont="1"/>
    <xf numFmtId="0" fontId="10" fillId="0" borderId="0" xfId="0" applyFont="1"/>
    <xf numFmtId="0" fontId="8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3" fillId="0" borderId="0" xfId="0" applyFont="1"/>
    <xf numFmtId="0" fontId="11" fillId="0" borderId="0" xfId="0" applyFont="1"/>
    <xf numFmtId="0" fontId="12" fillId="0" borderId="0" xfId="0" applyFont="1"/>
    <xf numFmtId="0" fontId="8" fillId="0" borderId="0" xfId="0" applyFont="1"/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9" fontId="3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5" fillId="0" borderId="1" xfId="0" applyFont="1" applyBorder="1"/>
    <xf numFmtId="0" fontId="6" fillId="0" borderId="1" xfId="0" applyFont="1" applyBorder="1"/>
    <xf numFmtId="0" fontId="7" fillId="0" borderId="1" xfId="0" applyFont="1" applyBorder="1"/>
  </cellXfs>
  <cellStyles count="1">
    <cellStyle name="Normal" xfId="0" builtinId="0"/>
  </cellStyles>
  <dxfs count="25">
    <dxf>
      <numFmt numFmtId="1" formatCode="0"/>
    </dxf>
    <dxf>
      <numFmt numFmtId="1" formatCode="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" formatCode="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With Copilot.xlsx]Q6!PivotTable3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'Q6'!$O$6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'Q6'!$N$7:$N$11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'Q6'!$O$7:$O$11</c:f>
              <c:numCache>
                <c:formatCode>0</c:formatCode>
                <c:ptCount val="4"/>
                <c:pt idx="0">
                  <c:v>12486.281627659577</c:v>
                </c:pt>
                <c:pt idx="1">
                  <c:v>15505.567185185186</c:v>
                </c:pt>
                <c:pt idx="2">
                  <c:v>18193.032434210538</c:v>
                </c:pt>
                <c:pt idx="3">
                  <c:v>12695.697707070705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9C-4A57-9C1B-44767937DC4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5972047"/>
        <c:axId val="395968207"/>
      </c:barChart>
      <c:catAx>
        <c:axId val="3959720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5968207"/>
        <c:crosses val="autoZero"/>
        <c:auto val="1"/>
        <c:lblAlgn val="ctr"/>
        <c:lblOffset val="100"/>
        <c:noMultiLvlLbl val="0"/>
      </c:catAx>
      <c:valAx>
        <c:axId val="3959682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5972047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With Copilot.xlsx]Q7!PivotTable5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diamond"/>
          <c:size val="6"/>
          <c:spPr>
            <a:solidFill>
              <a:schemeClr val="accent1"/>
            </a:solidFill>
            <a:ln w="9525">
              <a:solidFill>
                <a:schemeClr val="accen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square"/>
          <c:size val="6"/>
          <c:spPr>
            <a:solidFill>
              <a:schemeClr val="accent2"/>
            </a:solidFill>
            <a:ln w="9525">
              <a:solidFill>
                <a:schemeClr val="accen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triangle"/>
          <c:size val="6"/>
          <c:spPr>
            <a:solidFill>
              <a:schemeClr val="accent3"/>
            </a:solidFill>
            <a:ln w="9525">
              <a:solidFill>
                <a:schemeClr val="accent3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x"/>
          <c:size val="6"/>
          <c:spPr>
            <a:noFill/>
            <a:ln w="9525">
              <a:solidFill>
                <a:schemeClr val="accent4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'Q7'!$O$6:$O$7</c:f>
              <c:strCache>
                <c:ptCount val="1"/>
                <c:pt idx="0">
                  <c:v>East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'Q7'!$N$8:$N$13</c:f>
              <c:strCache>
                <c:ptCount val="5"/>
                <c:pt idx="0">
                  <c:v>Beverages</c:v>
                </c:pt>
                <c:pt idx="1">
                  <c:v>Clothing</c:v>
                </c:pt>
                <c:pt idx="2">
                  <c:v>Electronics</c:v>
                </c:pt>
                <c:pt idx="3">
                  <c:v>Food</c:v>
                </c:pt>
                <c:pt idx="4">
                  <c:v>Furniture</c:v>
                </c:pt>
              </c:strCache>
            </c:strRef>
          </c:cat>
          <c:val>
            <c:numRef>
              <c:f>'Q7'!$O$8:$O$13</c:f>
              <c:numCache>
                <c:formatCode>0</c:formatCode>
                <c:ptCount val="5"/>
                <c:pt idx="0">
                  <c:v>888153.51</c:v>
                </c:pt>
                <c:pt idx="1">
                  <c:v>1646703.6059999999</c:v>
                </c:pt>
                <c:pt idx="2">
                  <c:v>1039111.3090000002</c:v>
                </c:pt>
                <c:pt idx="3">
                  <c:v>886855.41499999992</c:v>
                </c:pt>
                <c:pt idx="4">
                  <c:v>2063371.7390000003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DF-4D60-ADED-281F797D8BE5}"/>
            </c:ext>
          </c:extLst>
        </c:ser>
        <c:ser>
          <c:idx val="1"/>
          <c:order val="1"/>
          <c:tx>
            <c:strRef>
              <c:f>'Q7'!$P$6:$P$7</c:f>
              <c:strCache>
                <c:ptCount val="1"/>
                <c:pt idx="0">
                  <c:v>North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'Q7'!$N$8:$N$13</c:f>
              <c:strCache>
                <c:ptCount val="5"/>
                <c:pt idx="0">
                  <c:v>Beverages</c:v>
                </c:pt>
                <c:pt idx="1">
                  <c:v>Clothing</c:v>
                </c:pt>
                <c:pt idx="2">
                  <c:v>Electronics</c:v>
                </c:pt>
                <c:pt idx="3">
                  <c:v>Food</c:v>
                </c:pt>
                <c:pt idx="4">
                  <c:v>Furniture</c:v>
                </c:pt>
              </c:strCache>
            </c:strRef>
          </c:cat>
          <c:val>
            <c:numRef>
              <c:f>'Q7'!$P$8:$P$13</c:f>
              <c:numCache>
                <c:formatCode>0</c:formatCode>
                <c:ptCount val="5"/>
                <c:pt idx="0">
                  <c:v>985999.03999999992</c:v>
                </c:pt>
                <c:pt idx="1">
                  <c:v>648088.13699999999</c:v>
                </c:pt>
                <c:pt idx="2">
                  <c:v>1272313.4800000002</c:v>
                </c:pt>
                <c:pt idx="3">
                  <c:v>1689022.196</c:v>
                </c:pt>
                <c:pt idx="4">
                  <c:v>731274.15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5DF-4D60-ADED-281F797D8BE5}"/>
            </c:ext>
          </c:extLst>
        </c:ser>
        <c:ser>
          <c:idx val="2"/>
          <c:order val="2"/>
          <c:tx>
            <c:strRef>
              <c:f>'Q7'!$Q$6:$Q$7</c:f>
              <c:strCache>
                <c:ptCount val="1"/>
                <c:pt idx="0">
                  <c:v>South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'Q7'!$N$8:$N$13</c:f>
              <c:strCache>
                <c:ptCount val="5"/>
                <c:pt idx="0">
                  <c:v>Beverages</c:v>
                </c:pt>
                <c:pt idx="1">
                  <c:v>Clothing</c:v>
                </c:pt>
                <c:pt idx="2">
                  <c:v>Electronics</c:v>
                </c:pt>
                <c:pt idx="3">
                  <c:v>Food</c:v>
                </c:pt>
                <c:pt idx="4">
                  <c:v>Furniture</c:v>
                </c:pt>
              </c:strCache>
            </c:strRef>
          </c:cat>
          <c:val>
            <c:numRef>
              <c:f>'Q7'!$Q$8:$Q$13</c:f>
              <c:numCache>
                <c:formatCode>0</c:formatCode>
                <c:ptCount val="5"/>
                <c:pt idx="0">
                  <c:v>1145872.8400000001</c:v>
                </c:pt>
                <c:pt idx="1">
                  <c:v>496502.89000000007</c:v>
                </c:pt>
                <c:pt idx="2">
                  <c:v>1068290.385</c:v>
                </c:pt>
                <c:pt idx="3">
                  <c:v>752659.973</c:v>
                </c:pt>
                <c:pt idx="4">
                  <c:v>832820.25000000012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5DF-4D60-ADED-281F797D8BE5}"/>
            </c:ext>
          </c:extLst>
        </c:ser>
        <c:ser>
          <c:idx val="3"/>
          <c:order val="3"/>
          <c:tx>
            <c:strRef>
              <c:f>'Q7'!$R$6:$R$7</c:f>
              <c:strCache>
                <c:ptCount val="1"/>
                <c:pt idx="0">
                  <c:v>West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'Q7'!$N$8:$N$13</c:f>
              <c:strCache>
                <c:ptCount val="5"/>
                <c:pt idx="0">
                  <c:v>Beverages</c:v>
                </c:pt>
                <c:pt idx="1">
                  <c:v>Clothing</c:v>
                </c:pt>
                <c:pt idx="2">
                  <c:v>Electronics</c:v>
                </c:pt>
                <c:pt idx="3">
                  <c:v>Food</c:v>
                </c:pt>
                <c:pt idx="4">
                  <c:v>Furniture</c:v>
                </c:pt>
              </c:strCache>
            </c:strRef>
          </c:cat>
          <c:val>
            <c:numRef>
              <c:f>'Q7'!$R$8:$R$13</c:f>
              <c:numCache>
                <c:formatCode>0</c:formatCode>
                <c:ptCount val="5"/>
                <c:pt idx="0">
                  <c:v>1886167.84</c:v>
                </c:pt>
                <c:pt idx="1">
                  <c:v>1115574.1399999999</c:v>
                </c:pt>
                <c:pt idx="2">
                  <c:v>1480418.2700000003</c:v>
                </c:pt>
                <c:pt idx="3">
                  <c:v>834923.32999999984</c:v>
                </c:pt>
                <c:pt idx="4">
                  <c:v>995333.49399999995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5DF-4D60-ADED-281F797D8BE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844747887"/>
        <c:axId val="844746447"/>
      </c:barChart>
      <c:catAx>
        <c:axId val="8447478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4746447"/>
        <c:crosses val="autoZero"/>
        <c:auto val="1"/>
        <c:lblAlgn val="ctr"/>
        <c:lblOffset val="100"/>
        <c:noMultiLvlLbl val="0"/>
      </c:catAx>
      <c:valAx>
        <c:axId val="844746447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8447478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With Copilot.xlsx]Q7!PivotTable5</c:name>
    <c:fmtId val="8"/>
  </c:pivotSource>
  <c:chart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</c:pivotFmt>
      <c:pivotFmt>
        <c:idx val="7"/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diamond"/>
          <c:size val="6"/>
          <c:spPr>
            <a:solidFill>
              <a:schemeClr val="accent1"/>
            </a:solidFill>
            <a:ln w="9525">
              <a:solidFill>
                <a:schemeClr val="accen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square"/>
          <c:size val="6"/>
          <c:spPr>
            <a:solidFill>
              <a:schemeClr val="accent2"/>
            </a:solidFill>
            <a:ln w="9525">
              <a:solidFill>
                <a:schemeClr val="accen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triangle"/>
          <c:size val="6"/>
          <c:spPr>
            <a:solidFill>
              <a:schemeClr val="accent3"/>
            </a:solidFill>
            <a:ln w="9525">
              <a:solidFill>
                <a:schemeClr val="accent3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x"/>
          <c:size val="6"/>
          <c:spPr>
            <a:noFill/>
            <a:ln w="9525">
              <a:solidFill>
                <a:schemeClr val="accent4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'Q7'!$O$6:$O$7</c:f>
              <c:strCache>
                <c:ptCount val="1"/>
                <c:pt idx="0">
                  <c:v>East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'Q7'!$N$8:$N$13</c:f>
              <c:strCache>
                <c:ptCount val="5"/>
                <c:pt idx="0">
                  <c:v>Beverages</c:v>
                </c:pt>
                <c:pt idx="1">
                  <c:v>Clothing</c:v>
                </c:pt>
                <c:pt idx="2">
                  <c:v>Electronics</c:v>
                </c:pt>
                <c:pt idx="3">
                  <c:v>Food</c:v>
                </c:pt>
                <c:pt idx="4">
                  <c:v>Furniture</c:v>
                </c:pt>
              </c:strCache>
            </c:strRef>
          </c:cat>
          <c:val>
            <c:numRef>
              <c:f>'Q7'!$O$8:$O$13</c:f>
              <c:numCache>
                <c:formatCode>0</c:formatCode>
                <c:ptCount val="5"/>
                <c:pt idx="0">
                  <c:v>888153.51</c:v>
                </c:pt>
                <c:pt idx="1">
                  <c:v>1646703.6059999999</c:v>
                </c:pt>
                <c:pt idx="2">
                  <c:v>1039111.3090000002</c:v>
                </c:pt>
                <c:pt idx="3">
                  <c:v>886855.41499999992</c:v>
                </c:pt>
                <c:pt idx="4">
                  <c:v>2063371.7390000003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83-4F57-8DD1-584C406A3B01}"/>
            </c:ext>
          </c:extLst>
        </c:ser>
        <c:ser>
          <c:idx val="1"/>
          <c:order val="1"/>
          <c:tx>
            <c:strRef>
              <c:f>'Q7'!$P$6:$P$7</c:f>
              <c:strCache>
                <c:ptCount val="1"/>
                <c:pt idx="0">
                  <c:v>North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'Q7'!$N$8:$N$13</c:f>
              <c:strCache>
                <c:ptCount val="5"/>
                <c:pt idx="0">
                  <c:v>Beverages</c:v>
                </c:pt>
                <c:pt idx="1">
                  <c:v>Clothing</c:v>
                </c:pt>
                <c:pt idx="2">
                  <c:v>Electronics</c:v>
                </c:pt>
                <c:pt idx="3">
                  <c:v>Food</c:v>
                </c:pt>
                <c:pt idx="4">
                  <c:v>Furniture</c:v>
                </c:pt>
              </c:strCache>
            </c:strRef>
          </c:cat>
          <c:val>
            <c:numRef>
              <c:f>'Q7'!$P$8:$P$13</c:f>
              <c:numCache>
                <c:formatCode>0</c:formatCode>
                <c:ptCount val="5"/>
                <c:pt idx="0">
                  <c:v>985999.03999999992</c:v>
                </c:pt>
                <c:pt idx="1">
                  <c:v>648088.13699999999</c:v>
                </c:pt>
                <c:pt idx="2">
                  <c:v>1272313.4800000002</c:v>
                </c:pt>
                <c:pt idx="3">
                  <c:v>1689022.196</c:v>
                </c:pt>
                <c:pt idx="4">
                  <c:v>731274.15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583-4F57-8DD1-584C406A3B01}"/>
            </c:ext>
          </c:extLst>
        </c:ser>
        <c:ser>
          <c:idx val="2"/>
          <c:order val="2"/>
          <c:tx>
            <c:strRef>
              <c:f>'Q7'!$Q$6:$Q$7</c:f>
              <c:strCache>
                <c:ptCount val="1"/>
                <c:pt idx="0">
                  <c:v>South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'Q7'!$N$8:$N$13</c:f>
              <c:strCache>
                <c:ptCount val="5"/>
                <c:pt idx="0">
                  <c:v>Beverages</c:v>
                </c:pt>
                <c:pt idx="1">
                  <c:v>Clothing</c:v>
                </c:pt>
                <c:pt idx="2">
                  <c:v>Electronics</c:v>
                </c:pt>
                <c:pt idx="3">
                  <c:v>Food</c:v>
                </c:pt>
                <c:pt idx="4">
                  <c:v>Furniture</c:v>
                </c:pt>
              </c:strCache>
            </c:strRef>
          </c:cat>
          <c:val>
            <c:numRef>
              <c:f>'Q7'!$Q$8:$Q$13</c:f>
              <c:numCache>
                <c:formatCode>0</c:formatCode>
                <c:ptCount val="5"/>
                <c:pt idx="0">
                  <c:v>1145872.8400000001</c:v>
                </c:pt>
                <c:pt idx="1">
                  <c:v>496502.89000000007</c:v>
                </c:pt>
                <c:pt idx="2">
                  <c:v>1068290.385</c:v>
                </c:pt>
                <c:pt idx="3">
                  <c:v>752659.973</c:v>
                </c:pt>
                <c:pt idx="4">
                  <c:v>832820.25000000012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583-4F57-8DD1-584C406A3B01}"/>
            </c:ext>
          </c:extLst>
        </c:ser>
        <c:ser>
          <c:idx val="3"/>
          <c:order val="3"/>
          <c:tx>
            <c:strRef>
              <c:f>'Q7'!$R$6:$R$7</c:f>
              <c:strCache>
                <c:ptCount val="1"/>
                <c:pt idx="0">
                  <c:v>West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'Q7'!$N$8:$N$13</c:f>
              <c:strCache>
                <c:ptCount val="5"/>
                <c:pt idx="0">
                  <c:v>Beverages</c:v>
                </c:pt>
                <c:pt idx="1">
                  <c:v>Clothing</c:v>
                </c:pt>
                <c:pt idx="2">
                  <c:v>Electronics</c:v>
                </c:pt>
                <c:pt idx="3">
                  <c:v>Food</c:v>
                </c:pt>
                <c:pt idx="4">
                  <c:v>Furniture</c:v>
                </c:pt>
              </c:strCache>
            </c:strRef>
          </c:cat>
          <c:val>
            <c:numRef>
              <c:f>'Q7'!$R$8:$R$13</c:f>
              <c:numCache>
                <c:formatCode>0</c:formatCode>
                <c:ptCount val="5"/>
                <c:pt idx="0">
                  <c:v>1886167.84</c:v>
                </c:pt>
                <c:pt idx="1">
                  <c:v>1115574.1399999999</c:v>
                </c:pt>
                <c:pt idx="2">
                  <c:v>1480418.2700000003</c:v>
                </c:pt>
                <c:pt idx="3">
                  <c:v>834923.32999999984</c:v>
                </c:pt>
                <c:pt idx="4">
                  <c:v>995333.49399999995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583-4F57-8DD1-584C406A3B0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844747887"/>
        <c:axId val="844746447"/>
      </c:barChart>
      <c:catAx>
        <c:axId val="8447478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4746447"/>
        <c:crosses val="autoZero"/>
        <c:auto val="1"/>
        <c:lblAlgn val="ctr"/>
        <c:lblOffset val="100"/>
        <c:noMultiLvlLbl val="0"/>
      </c:catAx>
      <c:valAx>
        <c:axId val="844746447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8447478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With Copilot.xlsx]Q6!PivotTable3</c:name>
    <c:fmtId val="1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'Q6'!$O$6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'Q6'!$N$7:$N$11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'Q6'!$O$7:$O$11</c:f>
              <c:numCache>
                <c:formatCode>0</c:formatCode>
                <c:ptCount val="4"/>
                <c:pt idx="0">
                  <c:v>12486.281627659577</c:v>
                </c:pt>
                <c:pt idx="1">
                  <c:v>15505.567185185186</c:v>
                </c:pt>
                <c:pt idx="2">
                  <c:v>18193.032434210538</c:v>
                </c:pt>
                <c:pt idx="3">
                  <c:v>12695.697707070705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F7-4EC8-A48C-8B347F3EC9A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5972047"/>
        <c:axId val="395968207"/>
      </c:barChart>
      <c:catAx>
        <c:axId val="3959720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5968207"/>
        <c:crosses val="autoZero"/>
        <c:auto val="1"/>
        <c:lblAlgn val="ctr"/>
        <c:lblOffset val="100"/>
        <c:noMultiLvlLbl val="0"/>
      </c:catAx>
      <c:valAx>
        <c:axId val="3959682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5972047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342900</xdr:colOff>
      <xdr:row>12</xdr:row>
      <xdr:rowOff>4762</xdr:rowOff>
    </xdr:from>
    <xdr:to>
      <xdr:col>19</xdr:col>
      <xdr:colOff>0</xdr:colOff>
      <xdr:row>26</xdr:row>
      <xdr:rowOff>80962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A7016F1-371E-6738-506C-EC01E7B339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590550</xdr:colOff>
      <xdr:row>14</xdr:row>
      <xdr:rowOff>14287</xdr:rowOff>
    </xdr:from>
    <xdr:to>
      <xdr:col>17</xdr:col>
      <xdr:colOff>495300</xdr:colOff>
      <xdr:row>28</xdr:row>
      <xdr:rowOff>90487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6DFB800-0A8F-A27D-B23A-5825FFACA0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8</xdr:row>
      <xdr:rowOff>180975</xdr:rowOff>
    </xdr:from>
    <xdr:to>
      <xdr:col>17</xdr:col>
      <xdr:colOff>304800</xdr:colOff>
      <xdr:row>23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9D097EC-9D74-4BE8-BE46-B885B5D729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723900</xdr:colOff>
      <xdr:row>9</xdr:row>
      <xdr:rowOff>9525</xdr:rowOff>
    </xdr:from>
    <xdr:to>
      <xdr:col>6</xdr:col>
      <xdr:colOff>238125</xdr:colOff>
      <xdr:row>23</xdr:row>
      <xdr:rowOff>85725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30E5FDE-346D-4C4A-98D3-261CA49356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16.832679282408" createdVersion="8" refreshedVersion="8" minRefreshableVersion="3" recordCount="350" xr:uid="{7862EF81-0A13-452A-BC61-FC760A6A8754}">
  <cacheSource type="worksheet">
    <worksheetSource ref="A6:L356" sheet="Q6"/>
  </cacheSource>
  <cacheFields count="12">
    <cacheField name="Order ID" numFmtId="0">
      <sharedItems/>
    </cacheField>
    <cacheField name="Region" numFmtId="0">
      <sharedItems count="4">
        <s v="East"/>
        <s v="West"/>
        <s v="North"/>
        <s v="South"/>
      </sharedItems>
    </cacheField>
    <cacheField name="Country" numFmtId="0">
      <sharedItems count="5">
        <s v="Germany"/>
        <s v="India"/>
        <s v="USA"/>
        <s v="UK"/>
        <s v="Australia"/>
      </sharedItems>
    </cacheField>
    <cacheField name="Category" numFmtId="0">
      <sharedItems count="5">
        <s v="Beverages"/>
        <s v="Food"/>
        <s v="Clothing"/>
        <s v="Furniture"/>
        <s v="Electronics"/>
      </sharedItems>
    </cacheField>
    <cacheField name="Sales Channel" numFmtId="0">
      <sharedItems/>
    </cacheField>
    <cacheField name="Order Priority" numFmtId="0">
      <sharedItems/>
    </cacheField>
    <cacheField name="Order Date" numFmtId="0">
      <sharedItems containsSemiMixedTypes="0" containsString="0" containsNumber="1" containsInteger="1" minValue="44927" maxValue="45276"/>
    </cacheField>
    <cacheField name="Units Sold" numFmtId="0">
      <sharedItems containsSemiMixedTypes="0" containsString="0" containsNumber="1" minValue="11" maxValue="498"/>
    </cacheField>
    <cacheField name="Unit Price" numFmtId="0">
      <sharedItems containsSemiMixedTypes="0" containsString="0" containsNumber="1" minValue="5.61" maxValue="497.76"/>
    </cacheField>
    <cacheField name="Unit Cost" numFmtId="0">
      <sharedItems containsSemiMixedTypes="0" containsString="0" containsNumber="1" minValue="2.13" maxValue="396.98"/>
    </cacheField>
    <cacheField name="Total Revenue" numFmtId="1">
      <sharedItems containsSemiMixedTypes="0" containsString="0" containsNumber="1" minValue="627.52" maxValue="239220.11"/>
    </cacheField>
    <cacheField name="Profit" numFmtId="0">
      <sharedItems containsSemiMixedTypes="0" containsString="0" containsNumber="1" minValue="-150825.24" maxValue="224464.59" count="350">
        <n v="-159.8000000000016"/>
        <n v="111875.28000000001"/>
        <n v="67447.199999999997"/>
        <n v="1973.8799999999994"/>
        <n v="29419.76000000002"/>
        <n v="9542.75"/>
        <n v="-4497.8599999999997"/>
        <n v="-4719.5999999999894"/>
        <n v="85793.44"/>
        <n v="-6413.8799999999992"/>
        <n v="38142.85"/>
        <n v="7479.5500000000056"/>
        <n v="-17618.509999999995"/>
        <n v="-54412.160000000003"/>
        <n v="2915.41"/>
        <n v="49532.260000000009"/>
        <n v="12155.000000000007"/>
        <n v="22498.939999999988"/>
        <n v="5237.3500000000004"/>
        <n v="2045.3400000000024"/>
        <n v="45057.930000000008"/>
        <n v="70084.31"/>
        <n v="2095.7600000000002"/>
        <n v="99511.75"/>
        <n v="38581.75"/>
        <n v="-17202"/>
        <n v="-1749.2099999999996"/>
        <n v="-61616.94"/>
        <n v="46201.000000000007"/>
        <n v="-18335.7"/>
        <n v="5241.0299999999979"/>
        <n v="2763.1099999999992"/>
        <n v="-25265"/>
        <n v="-9024.0899999999983"/>
        <n v="18567.060000000001"/>
        <n v="-52769.19999999999"/>
        <n v="-10221.320000000002"/>
        <n v="57064.799999999996"/>
        <n v="-74205.881999999998"/>
        <n v="9760.3999999999978"/>
        <n v="-2759.68"/>
        <n v="135555.09"/>
        <n v="6071.1"/>
        <n v="58942.92"/>
        <n v="72887.599999999991"/>
        <n v="54383.22"/>
        <n v="-11088.579999999994"/>
        <n v="56601.060000000005"/>
        <n v="12950.999999999995"/>
        <n v="-55404.959999999992"/>
        <n v="-51718.95"/>
        <n v="34074.269999999997"/>
        <n v="-4041.0099999999993"/>
        <n v="143127.56"/>
        <n v="21772.92"/>
        <n v="17291.72"/>
        <n v="-525.84000000000219"/>
        <n v="4800.66"/>
        <n v="-8798.7000000000007"/>
        <n v="58497"/>
        <n v="17957.159999999996"/>
        <n v="-25895.100000000002"/>
        <n v="16516.7"/>
        <n v="-7684.4700000000012"/>
        <n v="66638.05"/>
        <n v="28968"/>
        <n v="19620.96"/>
        <n v="97854.24"/>
        <n v="-20499.82"/>
        <n v="-1094.4000000000001"/>
        <n v="21108.3"/>
        <n v="-54668.2"/>
        <n v="-2294.4599999999991"/>
        <n v="14367.040000000006"/>
        <n v="51267.18"/>
        <n v="9536.4"/>
        <n v="-1207.3599999999999"/>
        <n v="111642.74999999999"/>
        <n v="-41698.410000000011"/>
        <n v="-15188.03"/>
        <n v="51864.240000000005"/>
        <n v="-137269.87999999998"/>
        <n v="22236.049999999996"/>
        <n v="1873.920000000001"/>
        <n v="24744.639999999992"/>
        <n v="-8082.6200000000008"/>
        <n v="-26473.45"/>
        <n v="98800.68"/>
        <n v="14564.100000000002"/>
        <n v="-18645.660000000003"/>
        <n v="61338.05999999999"/>
        <n v="4082.1899999999996"/>
        <n v="-27800.799999999996"/>
        <n v="-40887.720000000008"/>
        <n v="14518.230000000001"/>
        <n v="4433.4400000000005"/>
        <n v="2887.5"/>
        <n v="-10743.64"/>
        <n v="7567.66"/>
        <n v="-7093.02"/>
        <n v="-1842.8799999999999"/>
        <n v="69353.55"/>
        <n v="84510.64"/>
        <n v="121677.60000000002"/>
        <n v="14997.609999999999"/>
        <n v="148515.86000000002"/>
        <n v="7815.4199999999955"/>
        <n v="26748.480000000003"/>
        <n v="-14785.119999999999"/>
        <n v="144723.35"/>
        <n v="6302.2400000000007"/>
        <n v="-95902.56"/>
        <n v="-31695.84"/>
        <n v="5014.8600000000015"/>
        <n v="-50437.639999999992"/>
        <n v="-35483.570000000007"/>
        <n v="-144977.56999999998"/>
        <n v="-33465.839999999997"/>
        <n v="-37119.569999999985"/>
        <n v="20056.23"/>
        <n v="54709.759999999995"/>
        <n v="-4991.9100000000035"/>
        <n v="-1504.1999999999994"/>
        <n v="-150825.24"/>
        <n v="38038.979999999996"/>
        <n v="76565.45"/>
        <n v="-33085.429999999986"/>
        <n v="10151.320000000002"/>
        <n v="-24477.450000000015"/>
        <n v="-39103.289999999994"/>
        <n v="17726.192999999996"/>
        <n v="-20184.840000000004"/>
        <n v="-22202.460000000003"/>
        <n v="-423.28000000000003"/>
        <n v="2398.829999999999"/>
        <n v="77368.45"/>
        <n v="-109814.40000000001"/>
        <n v="21826.480000000003"/>
        <n v="-10942.309999999998"/>
        <n v="-19416.239999999998"/>
        <n v="3102.1699999999996"/>
        <n v="224464.59"/>
        <n v="-21621.690000000002"/>
        <n v="14937.989999999996"/>
        <n v="52973.55"/>
        <n v="40828.86"/>
        <n v="-500.49000000000007"/>
        <n v="-14455.04"/>
        <n v="76445.87999999999"/>
        <n v="52638.69"/>
        <n v="-1942.7899999999934"/>
        <n v="-85116.2"/>
        <n v="5130.6399999999885"/>
        <n v="64872.099999999991"/>
        <n v="62037.30000000001"/>
        <n v="142904.30000000002"/>
        <n v="462.23999999999978"/>
        <n v="98.799999999998704"/>
        <n v="105589.43999999999"/>
        <n v="280.13999999999947"/>
        <n v="7002.7099999999991"/>
        <n v="36705.119999999988"/>
        <n v="-17361.52"/>
        <n v="51195.499999999993"/>
        <n v="179384.88"/>
        <n v="-6079.3200000000043"/>
        <n v="-14593.940000000002"/>
        <n v="68040"/>
        <n v="-1562.4000000000003"/>
        <n v="108628.84000000001"/>
        <n v="155498.19"/>
        <n v="18611.999999999996"/>
        <n v="8687.7000000000025"/>
        <n v="1204.4500000000005"/>
        <n v="146617.68"/>
        <n v="11898.359999999999"/>
        <n v="99193.920000000013"/>
        <n v="71517.780000000013"/>
        <n v="-2087.0400000000009"/>
        <n v="-11757.199999999986"/>
        <n v="-16020.48"/>
        <n v="20456.519999999997"/>
        <n v="40259.980000000003"/>
        <n v="22217.159999999996"/>
        <n v="56087.01"/>
        <n v="10778.129999999997"/>
        <n v="36202.549999999996"/>
        <n v="22718.48"/>
        <n v="1907.5500000000054"/>
        <n v="-13431.060000000001"/>
        <n v="7081.9500000000007"/>
        <n v="-10572.12"/>
        <n v="-1742.0400000000016"/>
        <n v="22407.359999999993"/>
        <n v="18438.339999999997"/>
        <n v="104166.31000000001"/>
        <n v="19355"/>
        <n v="69644.39"/>
        <n v="33270.410000000003"/>
        <n v="14294.574000000004"/>
        <n v="-1378.5"/>
        <n v="-43608.240000000005"/>
        <n v="4975.9600000000046"/>
        <n v="13476.119999999997"/>
        <n v="-67998.87999999999"/>
        <n v="-9260.0099999999966"/>
        <n v="14349.449999999997"/>
        <n v="46927.92"/>
        <n v="151078.5"/>
        <n v="61737.06"/>
        <n v="43682.76"/>
        <n v="29017.940000000002"/>
        <n v="15552.71"/>
        <n v="-97810.16"/>
        <n v="186450.6"/>
        <n v="1303.6799999999998"/>
        <n v="26433.179999999997"/>
        <n v="-128722.61999999998"/>
        <n v="7881.0399999999991"/>
        <n v="12942.86"/>
        <n v="-14772.600000000004"/>
        <n v="41630.449999999997"/>
        <n v="-836.42999999999961"/>
        <n v="10986.059999999998"/>
        <n v="61487.999999999993"/>
        <n v="48675.270000000004"/>
        <n v="8288.64"/>
        <n v="2571.7949999999992"/>
        <n v="8867.880000000001"/>
        <n v="-65037.850000000013"/>
        <n v="151266.06000000003"/>
        <n v="53353.30000000001"/>
        <n v="4032.06"/>
        <n v="-82387.439999999988"/>
        <n v="2264.5700000000006"/>
        <n v="4230.16"/>
        <n v="-584.63999999999987"/>
        <n v="13170.51"/>
        <n v="2688.6299999999997"/>
        <n v="-34740.159999999996"/>
        <n v="132081.84"/>
        <n v="-29466.98"/>
        <n v="-127201.38000000002"/>
        <n v="70811.48000000001"/>
        <n v="-16319.099999999997"/>
        <n v="3770.9100000000003"/>
        <n v="-50638.25"/>
        <n v="-79079.58"/>
        <n v="-7413.1199999999881"/>
        <n v="-31511.900000000005"/>
        <n v="-8856.6990000000042"/>
        <n v="9396.24"/>
        <n v="4009.5"/>
        <n v="-49073.64"/>
        <n v="-19008.149999999998"/>
        <n v="69799.520000000004"/>
        <n v="-24663.720000000008"/>
        <n v="35717.850000000006"/>
        <n v="-17218.599999999999"/>
        <n v="35905.120000000003"/>
        <n v="22339.62"/>
        <n v="3028.8599999999997"/>
        <n v="4332.9999999999982"/>
        <n v="139916.07"/>
        <n v="148420.91999999998"/>
        <n v="-61267.119999999995"/>
        <n v="47298.299999999996"/>
        <n v="975.24000000000115"/>
        <n v="42608.65"/>
        <n v="129501.57999999999"/>
        <n v="13357.710000000003"/>
        <n v="45938.840000000004"/>
        <n v="-5022.3999999999996"/>
        <n v="-40743.46"/>
        <n v="-18758.900000000001"/>
        <n v="-14811.660000000002"/>
        <n v="79319.240000000005"/>
        <n v="11444.519999999999"/>
        <n v="17570.960000000021"/>
        <n v="3592.6799999999994"/>
        <n v="-41810.029999999992"/>
        <n v="-37368.75"/>
        <n v="6124.5600000000013"/>
        <n v="57471.750000000007"/>
        <n v="3851.54"/>
        <n v="-593.00000000000011"/>
        <n v="93725.4"/>
        <n v="-6585.6399999999967"/>
        <n v="-31997.735999999997"/>
        <n v="1935.8399999999997"/>
        <n v="94642.37999999999"/>
        <n v="-63546.469999999987"/>
        <n v="67385.400000000009"/>
        <n v="60599.679000000004"/>
        <n v="16057.08"/>
        <n v="2879.93"/>
        <n v="10201.499999999998"/>
        <n v="22041.599999999995"/>
        <n v="13578.75"/>
        <n v="-56309.68"/>
        <n v="186.44999999999925"/>
        <n v="-11828.310000000001"/>
        <n v="139518.47999999998"/>
        <n v="23620.6"/>
        <n v="-68945.47"/>
        <n v="11628.949999999999"/>
        <n v="6694.28"/>
        <n v="-3979.9500000000035"/>
        <n v="-9316.0000000000018"/>
        <n v="-38007.43"/>
        <n v="-28300.879999999994"/>
        <n v="-119429.25000000001"/>
        <n v="-13016.86"/>
        <n v="-8889.9660000000022"/>
        <n v="-2279.64"/>
        <n v="100612.98"/>
        <n v="-14013.083999999997"/>
        <n v="-15737.26"/>
        <n v="26752.399999999994"/>
        <n v="-97598.790000000008"/>
        <n v="46446.779999999992"/>
        <n v="502.23999999999785"/>
        <n v="44287.5"/>
        <n v="-41076"/>
        <n v="48106.8"/>
        <n v="6968.6399999999994"/>
        <n v="45882.060000000005"/>
        <n v="-48055.460999999996"/>
        <n v="-7831.0400000000009"/>
        <n v="11448.359999999999"/>
        <n v="-7856.1900000000014"/>
        <n v="-7710.6600000000017"/>
        <n v="6456.9599999999982"/>
        <n v="61595.95"/>
        <n v="-40138.449999999997"/>
        <n v="22033.919999999998"/>
        <n v="166348.41999999998"/>
        <n v="31654.34"/>
        <n v="90692.82"/>
        <n v="-1535.0400000000004"/>
        <n v="-9291"/>
        <n v="11872.6"/>
        <n v="32094.48"/>
        <n v="119249.13"/>
        <n v="2544.4799999999996"/>
        <n v="17373.810000000001"/>
        <n v="1623.6000000000001"/>
        <n v="-17847.999999999996"/>
        <n v="1357.2000000000021"/>
        <n v="-59988.749999999993"/>
      </sharedItems>
    </cacheField>
  </cacheFields>
  <extLst>
    <ext xmlns:x14="http://schemas.microsoft.com/office/spreadsheetml/2009/9/main" uri="{725AE2AE-9491-48be-B2B4-4EB974FC3084}">
      <x14:pivotCacheDefinition pivotCacheId="919101074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16.836897685185" createdVersion="8" refreshedVersion="8" minRefreshableVersion="3" recordCount="350" xr:uid="{9DFD7A46-1056-43AF-AC02-C4BCA3A601B5}">
  <cacheSource type="worksheet">
    <worksheetSource ref="A6:L356" sheet="Q7"/>
  </cacheSource>
  <cacheFields count="12">
    <cacheField name="Order ID" numFmtId="0">
      <sharedItems/>
    </cacheField>
    <cacheField name="Region" numFmtId="0">
      <sharedItems count="4">
        <s v="East"/>
        <s v="West"/>
        <s v="North"/>
        <s v="South"/>
      </sharedItems>
    </cacheField>
    <cacheField name="Country" numFmtId="0">
      <sharedItems/>
    </cacheField>
    <cacheField name="Category" numFmtId="0">
      <sharedItems count="5">
        <s v="Beverages"/>
        <s v="Food"/>
        <s v="Clothing"/>
        <s v="Furniture"/>
        <s v="Electronics"/>
      </sharedItems>
    </cacheField>
    <cacheField name="Sales Channel" numFmtId="0">
      <sharedItems/>
    </cacheField>
    <cacheField name="Order Priority" numFmtId="0">
      <sharedItems/>
    </cacheField>
    <cacheField name="Order Date" numFmtId="0">
      <sharedItems containsSemiMixedTypes="0" containsString="0" containsNumber="1" containsInteger="1" minValue="44927" maxValue="45276"/>
    </cacheField>
    <cacheField name="Units Sold" numFmtId="0">
      <sharedItems containsSemiMixedTypes="0" containsString="0" containsNumber="1" minValue="11" maxValue="498"/>
    </cacheField>
    <cacheField name="Unit Price" numFmtId="0">
      <sharedItems containsSemiMixedTypes="0" containsString="0" containsNumber="1" minValue="5.61" maxValue="497.76"/>
    </cacheField>
    <cacheField name="Unit Cost" numFmtId="0">
      <sharedItems containsSemiMixedTypes="0" containsString="0" containsNumber="1" minValue="2.13" maxValue="396.98"/>
    </cacheField>
    <cacheField name="Total Revenue" numFmtId="1">
      <sharedItems containsSemiMixedTypes="0" containsString="0" containsNumber="1" minValue="627.52" maxValue="239220.11"/>
    </cacheField>
    <cacheField name="Profit" numFmtId="0">
      <sharedItems containsSemiMixedTypes="0" containsString="0" containsNumber="1" minValue="-150825.24" maxValue="224464.5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0">
  <r>
    <s v="ORD0001"/>
    <x v="0"/>
    <x v="0"/>
    <x v="0"/>
    <s v="Online"/>
    <s v="High"/>
    <n v="44927"/>
    <n v="235"/>
    <n v="152.91999999999999"/>
    <n v="153.6"/>
    <n v="35936.199999999997"/>
    <x v="0"/>
  </r>
  <r>
    <s v="ORD0002"/>
    <x v="1"/>
    <x v="1"/>
    <x v="1"/>
    <s v="Online"/>
    <s v="Low"/>
    <n v="44928"/>
    <n v="341"/>
    <n v="467.92"/>
    <n v="139.84"/>
    <n v="159560.72"/>
    <x v="1"/>
  </r>
  <r>
    <s v="ORD0003"/>
    <x v="2"/>
    <x v="1"/>
    <x v="2"/>
    <s v="Offline"/>
    <s v="High"/>
    <n v="44929"/>
    <n v="179"/>
    <n v="473.94"/>
    <n v="97.14"/>
    <n v="84835.26"/>
    <x v="2"/>
  </r>
  <r>
    <s v="ORD0004"/>
    <x v="0"/>
    <x v="2"/>
    <x v="3"/>
    <s v="Offline"/>
    <s v="Medium"/>
    <n v="44930"/>
    <n v="18"/>
    <n v="314.52999999999997"/>
    <n v="204.87"/>
    <n v="5661.5399999999991"/>
    <x v="3"/>
  </r>
  <r>
    <s v="ORD0005"/>
    <x v="0"/>
    <x v="1"/>
    <x v="3"/>
    <s v="Offline"/>
    <s v="Medium"/>
    <n v="44931"/>
    <n v="472"/>
    <n v="392.79"/>
    <n v="330.46"/>
    <n v="185396.88"/>
    <x v="4"/>
  </r>
  <r>
    <s v="ORD0006"/>
    <x v="1"/>
    <x v="3"/>
    <x v="2"/>
    <s v="Online"/>
    <s v="High"/>
    <n v="44932"/>
    <n v="49"/>
    <n v="308.07"/>
    <n v="113.32"/>
    <n v="15095.43"/>
    <x v="5"/>
  </r>
  <r>
    <s v="ORD0007"/>
    <x v="2"/>
    <x v="0"/>
    <x v="2"/>
    <s v="Online"/>
    <s v="Low"/>
    <n v="44933"/>
    <n v="34"/>
    <n v="244.78"/>
    <n v="377.07"/>
    <n v="8322.52"/>
    <x v="6"/>
  </r>
  <r>
    <s v="ORD0008"/>
    <x v="2"/>
    <x v="1"/>
    <x v="0"/>
    <s v="Online"/>
    <s v="High"/>
    <n v="44934"/>
    <n v="270"/>
    <n v="332.11"/>
    <n v="349.59"/>
    <n v="89669.7"/>
    <x v="7"/>
  </r>
  <r>
    <s v="ORD0009"/>
    <x v="0"/>
    <x v="1"/>
    <x v="0"/>
    <s v="Online"/>
    <s v="Low"/>
    <n v="44935"/>
    <n v="404"/>
    <n v="278.74"/>
    <n v="66.38"/>
    <n v="112610.96"/>
    <x v="8"/>
  </r>
  <r>
    <s v="ORD0010"/>
    <x v="0"/>
    <x v="2"/>
    <x v="3"/>
    <s v="Online"/>
    <s v="Medium"/>
    <n v="44936"/>
    <n v="452"/>
    <n v="300.75"/>
    <n v="314.94"/>
    <n v="135939"/>
    <x v="9"/>
  </r>
  <r>
    <s v="ORD0011"/>
    <x v="0"/>
    <x v="2"/>
    <x v="1"/>
    <s v="Online"/>
    <s v="Low"/>
    <n v="44937"/>
    <n v="235"/>
    <n v="393"/>
    <n v="230.69"/>
    <n v="92355"/>
    <x v="10"/>
  </r>
  <r>
    <s v="ORD0012"/>
    <x v="0"/>
    <x v="3"/>
    <x v="3"/>
    <s v="Offline"/>
    <s v="Medium"/>
    <n v="44938"/>
    <n v="481"/>
    <n v="243.05"/>
    <n v="227.5"/>
    <n v="116907.05"/>
    <x v="11"/>
  </r>
  <r>
    <s v="ORD0013"/>
    <x v="0"/>
    <x v="0"/>
    <x v="1"/>
    <s v="Offline"/>
    <s v="Low"/>
    <n v="44939"/>
    <n v="133"/>
    <n v="25.17"/>
    <n v="157.63999999999999"/>
    <n v="3347.61"/>
    <x v="12"/>
  </r>
  <r>
    <s v="ORD0014"/>
    <x v="0"/>
    <x v="2"/>
    <x v="1"/>
    <s v="Offline"/>
    <s v="Low"/>
    <n v="44940"/>
    <n v="472"/>
    <n v="86.18"/>
    <n v="201.46"/>
    <n v="40676.960000000006"/>
    <x v="13"/>
  </r>
  <r>
    <s v="ORD0015"/>
    <x v="1"/>
    <x v="1"/>
    <x v="0"/>
    <s v="Offline"/>
    <s v="Low"/>
    <n v="44941"/>
    <n v="47"/>
    <n v="222.11"/>
    <n v="160.08000000000001"/>
    <n v="10439.17"/>
    <x v="14"/>
  </r>
  <r>
    <s v="ORD0016"/>
    <x v="2"/>
    <x v="0"/>
    <x v="4"/>
    <s v="Online"/>
    <s v="High"/>
    <n v="44942"/>
    <n v="337"/>
    <n v="363.79"/>
    <n v="216.81"/>
    <n v="122597.23000000001"/>
    <x v="15"/>
  </r>
  <r>
    <s v="ORD0017"/>
    <x v="1"/>
    <x v="0"/>
    <x v="4"/>
    <s v="Online"/>
    <s v="High"/>
    <n v="44943"/>
    <n v="260"/>
    <n v="298.67"/>
    <n v="251.92"/>
    <n v="77654.2"/>
    <x v="16"/>
  </r>
  <r>
    <s v="ORD0018"/>
    <x v="1"/>
    <x v="1"/>
    <x v="2"/>
    <s v="Offline"/>
    <s v="Medium"/>
    <n v="44944"/>
    <n v="398"/>
    <n v="326.89999999999998"/>
    <n v="270.37"/>
    <n v="130106.2"/>
    <x v="17"/>
  </r>
  <r>
    <s v="ORD0019"/>
    <x v="1"/>
    <x v="2"/>
    <x v="0"/>
    <s v="Online"/>
    <s v="Medium"/>
    <n v="44945"/>
    <n v="185"/>
    <n v="242.24"/>
    <n v="213.93"/>
    <n v="44814.400000000001"/>
    <x v="18"/>
  </r>
  <r>
    <s v="ORD0020"/>
    <x v="0"/>
    <x v="1"/>
    <x v="1"/>
    <s v="Offline"/>
    <s v="High"/>
    <n v="44946"/>
    <n v="99"/>
    <n v="309.79000000000002"/>
    <n v="289.13"/>
    <n v="30669.210000000003"/>
    <x v="19"/>
  </r>
  <r>
    <s v="ORD0021"/>
    <x v="3"/>
    <x v="0"/>
    <x v="4"/>
    <s v="Offline"/>
    <s v="Medium"/>
    <n v="44947"/>
    <n v="411"/>
    <n v="167.86"/>
    <n v="58.23"/>
    <n v="68990.460000000006"/>
    <x v="20"/>
  </r>
  <r>
    <s v="ORD0022"/>
    <x v="2"/>
    <x v="4"/>
    <x v="1"/>
    <s v="Offline"/>
    <s v="High"/>
    <n v="44948"/>
    <n v="463"/>
    <n v="237.74"/>
    <n v="86.37"/>
    <n v="110073.62000000001"/>
    <x v="21"/>
  </r>
  <r>
    <s v="ORD0023"/>
    <x v="3"/>
    <x v="4"/>
    <x v="4"/>
    <s v="Online"/>
    <s v="Low"/>
    <n v="44949"/>
    <n v="46"/>
    <n v="373.42"/>
    <n v="327.86"/>
    <n v="17177.32"/>
    <x v="22"/>
  </r>
  <r>
    <s v="ORD0024"/>
    <x v="1"/>
    <x v="3"/>
    <x v="4"/>
    <s v="Offline"/>
    <s v="Medium"/>
    <n v="44950"/>
    <n v="325"/>
    <n v="436.56"/>
    <n v="130.37"/>
    <n v="141882"/>
    <x v="23"/>
  </r>
  <r>
    <s v="ORD0025"/>
    <x v="1"/>
    <x v="1"/>
    <x v="4"/>
    <s v="Offline"/>
    <s v="Medium"/>
    <n v="44951"/>
    <n v="185"/>
    <n v="219.66"/>
    <n v="11.11"/>
    <n v="40637.1"/>
    <x v="24"/>
  </r>
  <r>
    <s v="ORD0026"/>
    <x v="3"/>
    <x v="1"/>
    <x v="0"/>
    <s v="Offline"/>
    <s v="High"/>
    <n v="44952"/>
    <n v="470"/>
    <n v="26.61"/>
    <n v="63.21"/>
    <n v="12506.699999999999"/>
    <x v="25"/>
  </r>
  <r>
    <s v="ORD0027"/>
    <x v="3"/>
    <x v="3"/>
    <x v="3"/>
    <s v="Online"/>
    <s v="Medium"/>
    <n v="44953"/>
    <n v="293"/>
    <n v="85.03"/>
    <n v="91"/>
    <n v="24913.79"/>
    <x v="26"/>
  </r>
  <r>
    <s v="ORD0028"/>
    <x v="3"/>
    <x v="3"/>
    <x v="1"/>
    <s v="Online"/>
    <s v="Medium"/>
    <n v="44954"/>
    <n v="462"/>
    <n v="249.64"/>
    <n v="383.01"/>
    <n v="115333.68"/>
    <x v="27"/>
  </r>
  <r>
    <s v="ORD0029"/>
    <x v="1"/>
    <x v="3"/>
    <x v="0"/>
    <s v="Offline"/>
    <s v="Low"/>
    <n v="44955"/>
    <n v="470"/>
    <n v="328.37"/>
    <n v="230.07"/>
    <n v="154333.9"/>
    <x v="28"/>
  </r>
  <r>
    <s v="ORD0030"/>
    <x v="1"/>
    <x v="0"/>
    <x v="0"/>
    <s v="Online"/>
    <s v="Medium"/>
    <n v="44956"/>
    <n v="90"/>
    <n v="169.5"/>
    <n v="373.23"/>
    <n v="15255"/>
    <x v="29"/>
  </r>
  <r>
    <s v="ORD0031"/>
    <x v="1"/>
    <x v="1"/>
    <x v="0"/>
    <s v="Online"/>
    <s v="Low"/>
    <n v="44957"/>
    <n v="123"/>
    <n v="273.52999999999997"/>
    <n v="230.92"/>
    <n v="33644.189999999995"/>
    <x v="30"/>
  </r>
  <r>
    <s v="ORD0032"/>
    <x v="2"/>
    <x v="0"/>
    <x v="0"/>
    <s v="Online"/>
    <s v="High"/>
    <n v="44958"/>
    <n v="49"/>
    <n v="249.17"/>
    <n v="192.78"/>
    <n v="12209.33"/>
    <x v="31"/>
  </r>
  <r>
    <s v="ORD0033"/>
    <x v="1"/>
    <x v="3"/>
    <x v="0"/>
    <s v="Online"/>
    <s v="Medium"/>
    <n v="44959"/>
    <n v="310"/>
    <n v="45.36"/>
    <n v="126.86"/>
    <n v="14061.6"/>
    <x v="32"/>
  </r>
  <r>
    <s v="ORD0034"/>
    <x v="3"/>
    <x v="1"/>
    <x v="2"/>
    <s v="Online"/>
    <s v="Low"/>
    <n v="44960"/>
    <n v="233"/>
    <n v="204.61"/>
    <n v="243.34"/>
    <n v="47674.130000000005"/>
    <x v="33"/>
  </r>
  <r>
    <s v="ORD0035"/>
    <x v="3"/>
    <x v="0"/>
    <x v="1"/>
    <s v="Online"/>
    <s v="High"/>
    <n v="44961"/>
    <n v="327"/>
    <n v="114.18"/>
    <n v="57.4"/>
    <n v="37336.86"/>
    <x v="34"/>
  </r>
  <r>
    <s v="ORD0036"/>
    <x v="2"/>
    <x v="0"/>
    <x v="0"/>
    <s v="Online"/>
    <s v="Medium"/>
    <n v="44962"/>
    <n v="358"/>
    <n v="212.11"/>
    <n v="359.51"/>
    <n v="75935.38"/>
    <x v="35"/>
  </r>
  <r>
    <s v="ORD0037"/>
    <x v="1"/>
    <x v="3"/>
    <x v="1"/>
    <s v="Online"/>
    <s v="High"/>
    <n v="44963"/>
    <n v="124"/>
    <n v="249.64"/>
    <n v="332.07"/>
    <n v="30955.359999999997"/>
    <x v="36"/>
  </r>
  <r>
    <s v="ORD0038"/>
    <x v="2"/>
    <x v="1"/>
    <x v="2"/>
    <s v="Online"/>
    <s v="Medium"/>
    <n v="44964"/>
    <n v="195"/>
    <n v="421.02"/>
    <n v="128.38"/>
    <n v="82098.899999999994"/>
    <x v="37"/>
  </r>
  <r>
    <s v="ORD0039"/>
    <x v="2"/>
    <x v="3"/>
    <x v="2"/>
    <s v="Online"/>
    <s v="High"/>
    <n v="44965"/>
    <n v="255.9"/>
    <n v="91.23"/>
    <n v="381.21"/>
    <n v="23345.757000000001"/>
    <x v="38"/>
  </r>
  <r>
    <s v="ORD0040"/>
    <x v="0"/>
    <x v="1"/>
    <x v="1"/>
    <s v="Offline"/>
    <s v="High"/>
    <n v="44966"/>
    <n v="65"/>
    <n v="480.59"/>
    <n v="330.43"/>
    <n v="31238.35"/>
    <x v="39"/>
  </r>
  <r>
    <s v="ORD0041"/>
    <x v="0"/>
    <x v="4"/>
    <x v="4"/>
    <s v="Offline"/>
    <s v="Low"/>
    <n v="44967"/>
    <n v="49"/>
    <n v="210.87"/>
    <n v="267.19"/>
    <n v="10332.630000000001"/>
    <x v="40"/>
  </r>
  <r>
    <s v="ORD0042"/>
    <x v="0"/>
    <x v="2"/>
    <x v="3"/>
    <s v="Online"/>
    <s v="High"/>
    <n v="44968"/>
    <n v="363"/>
    <n v="423.89"/>
    <n v="50.46"/>
    <n v="153872.07"/>
    <x v="41"/>
  </r>
  <r>
    <s v="ORD0043"/>
    <x v="3"/>
    <x v="2"/>
    <x v="4"/>
    <s v="Offline"/>
    <s v="Medium"/>
    <n v="44969"/>
    <n v="49"/>
    <n v="316.24"/>
    <n v="192.34"/>
    <n v="15495.76"/>
    <x v="42"/>
  </r>
  <r>
    <s v="ORD0044"/>
    <x v="1"/>
    <x v="2"/>
    <x v="4"/>
    <s v="Offline"/>
    <s v="Medium"/>
    <n v="44970"/>
    <n v="356"/>
    <n v="369"/>
    <n v="203.43"/>
    <n v="131364"/>
    <x v="43"/>
  </r>
  <r>
    <s v="ORD0045"/>
    <x v="1"/>
    <x v="3"/>
    <x v="4"/>
    <s v="Online"/>
    <s v="Low"/>
    <n v="44971"/>
    <n v="470"/>
    <n v="249.64"/>
    <n v="94.56"/>
    <n v="117330.79999999999"/>
    <x v="44"/>
  </r>
  <r>
    <s v="ORD0046"/>
    <x v="1"/>
    <x v="4"/>
    <x v="0"/>
    <s v="Online"/>
    <s v="Medium"/>
    <n v="44972"/>
    <n v="246"/>
    <n v="254.9"/>
    <n v="33.83"/>
    <n v="62705.4"/>
    <x v="45"/>
  </r>
  <r>
    <s v="ORD0047"/>
    <x v="1"/>
    <x v="1"/>
    <x v="2"/>
    <s v="Online"/>
    <s v="Medium"/>
    <n v="44973"/>
    <n v="298"/>
    <n v="273.93"/>
    <n v="311.14"/>
    <n v="81631.14"/>
    <x v="46"/>
  </r>
  <r>
    <s v="ORD0048"/>
    <x v="0"/>
    <x v="0"/>
    <x v="4"/>
    <s v="Offline"/>
    <s v="Medium"/>
    <n v="44974"/>
    <n v="271"/>
    <n v="259.43"/>
    <n v="50.57"/>
    <n v="70305.53"/>
    <x v="47"/>
  </r>
  <r>
    <s v="ORD0049"/>
    <x v="3"/>
    <x v="1"/>
    <x v="2"/>
    <s v="Offline"/>
    <s v="High"/>
    <n v="44975"/>
    <n v="225"/>
    <n v="296.08999999999997"/>
    <n v="238.53"/>
    <n v="66620.25"/>
    <x v="48"/>
  </r>
  <r>
    <s v="ORD0050"/>
    <x v="3"/>
    <x v="0"/>
    <x v="1"/>
    <s v="Online"/>
    <s v="High"/>
    <n v="44976"/>
    <n v="156"/>
    <n v="19.55"/>
    <n v="374.71"/>
    <n v="3049.8"/>
    <x v="49"/>
  </r>
  <r>
    <s v="ORD0051"/>
    <x v="0"/>
    <x v="1"/>
    <x v="3"/>
    <s v="Online"/>
    <s v="Medium"/>
    <n v="44977"/>
    <n v="345"/>
    <n v="200.78"/>
    <n v="350.69"/>
    <n v="69269.100000000006"/>
    <x v="50"/>
  </r>
  <r>
    <s v="ORD0052"/>
    <x v="3"/>
    <x v="4"/>
    <x v="1"/>
    <s v="Online"/>
    <s v="Low"/>
    <n v="44978"/>
    <n v="177"/>
    <n v="305.06"/>
    <n v="112.55"/>
    <n v="53995.62"/>
    <x v="51"/>
  </r>
  <r>
    <s v="ORD0053"/>
    <x v="0"/>
    <x v="0"/>
    <x v="1"/>
    <s v="Offline"/>
    <s v="High"/>
    <n v="44979"/>
    <n v="101"/>
    <n v="300.87"/>
    <n v="340.88"/>
    <n v="30387.87"/>
    <x v="52"/>
  </r>
  <r>
    <s v="ORD0054"/>
    <x v="1"/>
    <x v="3"/>
    <x v="0"/>
    <s v="Offline"/>
    <s v="Low"/>
    <n v="44980"/>
    <n v="362"/>
    <n v="397.51"/>
    <n v="2.13"/>
    <n v="143898.62"/>
    <x v="53"/>
  </r>
  <r>
    <s v="ORD0055"/>
    <x v="0"/>
    <x v="1"/>
    <x v="3"/>
    <s v="Offline"/>
    <s v="Medium"/>
    <n v="44981"/>
    <n v="68"/>
    <n v="329.23"/>
    <n v="9.0399999999999991"/>
    <n v="22387.64"/>
    <x v="54"/>
  </r>
  <r>
    <s v="ORD0056"/>
    <x v="1"/>
    <x v="1"/>
    <x v="1"/>
    <s v="Offline"/>
    <s v="Medium"/>
    <n v="44982"/>
    <n v="68"/>
    <n v="496.11"/>
    <n v="241.82"/>
    <n v="33735.480000000003"/>
    <x v="55"/>
  </r>
  <r>
    <s v="ORD0057"/>
    <x v="1"/>
    <x v="0"/>
    <x v="1"/>
    <s v="Online"/>
    <s v="High"/>
    <n v="44983"/>
    <n v="313"/>
    <n v="145.51"/>
    <n v="147.19"/>
    <n v="45544.63"/>
    <x v="56"/>
  </r>
  <r>
    <s v="ORD0058"/>
    <x v="2"/>
    <x v="3"/>
    <x v="3"/>
    <s v="Online"/>
    <s v="Medium"/>
    <n v="44984"/>
    <n v="178"/>
    <n v="182.78"/>
    <n v="155.81"/>
    <n v="32534.84"/>
    <x v="57"/>
  </r>
  <r>
    <s v="ORD0059"/>
    <x v="0"/>
    <x v="3"/>
    <x v="3"/>
    <s v="Online"/>
    <s v="High"/>
    <n v="44985"/>
    <n v="278"/>
    <n v="195"/>
    <n v="226.65"/>
    <n v="54210"/>
    <x v="58"/>
  </r>
  <r>
    <s v="ORD0060"/>
    <x v="2"/>
    <x v="4"/>
    <x v="1"/>
    <s v="Online"/>
    <s v="Medium"/>
    <n v="44986"/>
    <n v="372"/>
    <n v="235.58"/>
    <n v="78.33"/>
    <n v="87635.760000000009"/>
    <x v="59"/>
  </r>
  <r>
    <s v="ORD0061"/>
    <x v="0"/>
    <x v="3"/>
    <x v="3"/>
    <s v="Offline"/>
    <s v="Medium"/>
    <n v="44987"/>
    <n v="54"/>
    <n v="418.82"/>
    <n v="86.28"/>
    <n v="22616.28"/>
    <x v="60"/>
  </r>
  <r>
    <s v="ORD0062"/>
    <x v="0"/>
    <x v="3"/>
    <x v="1"/>
    <s v="Offline"/>
    <s v="High"/>
    <n v="44988"/>
    <n v="354"/>
    <n v="121.72"/>
    <n v="194.87"/>
    <n v="43088.88"/>
    <x v="61"/>
  </r>
  <r>
    <s v="ORD0063"/>
    <x v="2"/>
    <x v="3"/>
    <x v="1"/>
    <s v="Online"/>
    <s v="High"/>
    <n v="44989"/>
    <n v="190"/>
    <n v="389.12"/>
    <n v="302.19"/>
    <n v="73932.800000000003"/>
    <x v="62"/>
  </r>
  <r>
    <s v="ORD0064"/>
    <x v="2"/>
    <x v="2"/>
    <x v="0"/>
    <s v="Online"/>
    <s v="High"/>
    <n v="44990"/>
    <n v="179"/>
    <n v="205.63"/>
    <n v="248.56"/>
    <n v="36807.769999999997"/>
    <x v="63"/>
  </r>
  <r>
    <s v="ORD0065"/>
    <x v="0"/>
    <x v="4"/>
    <x v="4"/>
    <s v="Offline"/>
    <s v="Medium"/>
    <n v="44991"/>
    <n v="365"/>
    <n v="302.92"/>
    <n v="120.35"/>
    <n v="110565.8"/>
    <x v="64"/>
  </r>
  <r>
    <s v="ORD0066"/>
    <x v="3"/>
    <x v="1"/>
    <x v="1"/>
    <s v="Online"/>
    <s v="Medium"/>
    <n v="44992"/>
    <n v="200"/>
    <n v="318.11"/>
    <n v="173.27"/>
    <n v="63622"/>
    <x v="65"/>
  </r>
  <r>
    <s v="ORD0067"/>
    <x v="1"/>
    <x v="0"/>
    <x v="2"/>
    <s v="Offline"/>
    <s v="Low"/>
    <n v="44993"/>
    <n v="164"/>
    <n v="189.56"/>
    <n v="69.92"/>
    <n v="31087.84"/>
    <x v="66"/>
  </r>
  <r>
    <s v="ORD0068"/>
    <x v="2"/>
    <x v="1"/>
    <x v="4"/>
    <s v="Online"/>
    <s v="High"/>
    <n v="44994"/>
    <n v="431"/>
    <n v="258.74"/>
    <n v="31.7"/>
    <n v="111516.94"/>
    <x v="67"/>
  </r>
  <r>
    <s v="ORD0069"/>
    <x v="1"/>
    <x v="4"/>
    <x v="4"/>
    <s v="Online"/>
    <s v="Medium"/>
    <n v="44995"/>
    <n v="197"/>
    <n v="209.45"/>
    <n v="313.51"/>
    <n v="41261.649999999994"/>
    <x v="68"/>
  </r>
  <r>
    <s v="ORD0070"/>
    <x v="3"/>
    <x v="0"/>
    <x v="4"/>
    <s v="Online"/>
    <s v="Medium"/>
    <n v="44996"/>
    <n v="16"/>
    <n v="39.22"/>
    <n v="107.62"/>
    <n v="627.52"/>
    <x v="69"/>
  </r>
  <r>
    <s v="ORD0071"/>
    <x v="3"/>
    <x v="4"/>
    <x v="0"/>
    <s v="Online"/>
    <s v="High"/>
    <n v="44997"/>
    <n v="142"/>
    <n v="221.4"/>
    <n v="72.75"/>
    <n v="31438.799999999999"/>
    <x v="70"/>
  </r>
  <r>
    <s v="ORD0072"/>
    <x v="3"/>
    <x v="3"/>
    <x v="1"/>
    <s v="Online"/>
    <s v="Low"/>
    <n v="44998"/>
    <n v="244"/>
    <n v="53.21"/>
    <n v="277.26"/>
    <n v="12983.24"/>
    <x v="71"/>
  </r>
  <r>
    <s v="ORD0073"/>
    <x v="2"/>
    <x v="0"/>
    <x v="0"/>
    <s v="Online"/>
    <s v="High"/>
    <n v="44999"/>
    <n v="54"/>
    <n v="205.49"/>
    <n v="247.98"/>
    <n v="11096.460000000001"/>
    <x v="72"/>
  </r>
  <r>
    <s v="ORD0074"/>
    <x v="3"/>
    <x v="3"/>
    <x v="1"/>
    <s v="Online"/>
    <s v="Low"/>
    <n v="45000"/>
    <n v="323"/>
    <n v="298.49"/>
    <n v="254.01"/>
    <n v="96412.27"/>
    <x v="73"/>
  </r>
  <r>
    <s v="ORD0075"/>
    <x v="2"/>
    <x v="1"/>
    <x v="0"/>
    <s v="Offline"/>
    <s v="Medium"/>
    <n v="45001"/>
    <n v="258"/>
    <n v="291.81"/>
    <n v="93.1"/>
    <n v="75286.98"/>
    <x v="74"/>
  </r>
  <r>
    <s v="ORD0076"/>
    <x v="3"/>
    <x v="1"/>
    <x v="0"/>
    <s v="Offline"/>
    <s v="Low"/>
    <n v="45002"/>
    <n v="40"/>
    <n v="333"/>
    <n v="94.59"/>
    <n v="13320"/>
    <x v="75"/>
  </r>
  <r>
    <s v="ORD0077"/>
    <x v="1"/>
    <x v="0"/>
    <x v="2"/>
    <s v="Offline"/>
    <s v="Medium"/>
    <n v="45003"/>
    <n v="32"/>
    <n v="52.15"/>
    <n v="89.88"/>
    <n v="1668.8"/>
    <x v="76"/>
  </r>
  <r>
    <s v="ORD0078"/>
    <x v="1"/>
    <x v="0"/>
    <x v="0"/>
    <s v="Offline"/>
    <s v="High"/>
    <n v="45004"/>
    <n v="435"/>
    <n v="327.8"/>
    <n v="71.150000000000006"/>
    <n v="142593"/>
    <x v="77"/>
  </r>
  <r>
    <s v="ORD0079"/>
    <x v="0"/>
    <x v="4"/>
    <x v="3"/>
    <s v="Offline"/>
    <s v="High"/>
    <n v="45005"/>
    <n v="403"/>
    <n v="159.51"/>
    <n v="262.98"/>
    <n v="64282.53"/>
    <x v="78"/>
  </r>
  <r>
    <s v="ORD0080"/>
    <x v="1"/>
    <x v="4"/>
    <x v="2"/>
    <s v="Online"/>
    <s v="High"/>
    <n v="45006"/>
    <n v="169"/>
    <n v="249.64"/>
    <n v="339.51"/>
    <n v="42189.159999999996"/>
    <x v="79"/>
  </r>
  <r>
    <s v="ORD0081"/>
    <x v="0"/>
    <x v="3"/>
    <x v="0"/>
    <s v="Online"/>
    <s v="Low"/>
    <n v="45007"/>
    <n v="372"/>
    <n v="429.7"/>
    <n v="290.27999999999997"/>
    <n v="159848.4"/>
    <x v="80"/>
  </r>
  <r>
    <s v="ORD0082"/>
    <x v="1"/>
    <x v="0"/>
    <x v="4"/>
    <s v="Offline"/>
    <s v="Medium"/>
    <n v="45008"/>
    <n v="446"/>
    <n v="9.4700000000000006"/>
    <n v="317.25"/>
    <n v="4223.62"/>
    <x v="81"/>
  </r>
  <r>
    <s v="ORD0083"/>
    <x v="2"/>
    <x v="1"/>
    <x v="3"/>
    <s v="Online"/>
    <s v="High"/>
    <n v="45009"/>
    <n v="167"/>
    <n v="296.26"/>
    <n v="163.11000000000001"/>
    <n v="49475.42"/>
    <x v="82"/>
  </r>
  <r>
    <s v="ORD0084"/>
    <x v="1"/>
    <x v="4"/>
    <x v="3"/>
    <s v="Offline"/>
    <s v="High"/>
    <n v="45010"/>
    <n v="48"/>
    <n v="301.36"/>
    <n v="262.32"/>
    <n v="14465.28"/>
    <x v="83"/>
  </r>
  <r>
    <s v="ORD0085"/>
    <x v="0"/>
    <x v="4"/>
    <x v="3"/>
    <s v="Offline"/>
    <s v="Medium"/>
    <n v="45011"/>
    <n v="424"/>
    <n v="201.35"/>
    <n v="142.99"/>
    <n v="85372.4"/>
    <x v="84"/>
  </r>
  <r>
    <s v="ORD0086"/>
    <x v="0"/>
    <x v="1"/>
    <x v="2"/>
    <s v="Online"/>
    <s v="High"/>
    <n v="45012"/>
    <n v="91"/>
    <n v="122.33"/>
    <n v="211.15"/>
    <n v="11132.03"/>
    <x v="85"/>
  </r>
  <r>
    <s v="ORD0087"/>
    <x v="3"/>
    <x v="4"/>
    <x v="0"/>
    <s v="Online"/>
    <s v="Medium"/>
    <n v="45013"/>
    <n v="365"/>
    <n v="121.16"/>
    <n v="193.69"/>
    <n v="44223.4"/>
    <x v="86"/>
  </r>
  <r>
    <s v="ORD0088"/>
    <x v="2"/>
    <x v="3"/>
    <x v="0"/>
    <s v="Online"/>
    <s v="Medium"/>
    <n v="45014"/>
    <n v="267"/>
    <n v="442.44"/>
    <n v="72.400000000000006"/>
    <n v="118131.48"/>
    <x v="87"/>
  </r>
  <r>
    <s v="ORD0089"/>
    <x v="1"/>
    <x v="0"/>
    <x v="4"/>
    <s v="Offline"/>
    <s v="Medium"/>
    <n v="45015"/>
    <n v="215"/>
    <n v="223.8"/>
    <n v="156.06"/>
    <n v="48117"/>
    <x v="88"/>
  </r>
  <r>
    <s v="ORD0090"/>
    <x v="3"/>
    <x v="1"/>
    <x v="4"/>
    <s v="Online"/>
    <s v="Medium"/>
    <n v="45016"/>
    <n v="86"/>
    <n v="168.79"/>
    <n v="385.6"/>
    <n v="14515.939999999999"/>
    <x v="89"/>
  </r>
  <r>
    <s v="ORD0091"/>
    <x v="1"/>
    <x v="0"/>
    <x v="3"/>
    <s v="Offline"/>
    <s v="Medium"/>
    <n v="45017"/>
    <n v="486"/>
    <n v="227.14"/>
    <n v="100.93"/>
    <n v="110390.04"/>
    <x v="90"/>
  </r>
  <r>
    <s v="ORD0092"/>
    <x v="1"/>
    <x v="4"/>
    <x v="4"/>
    <s v="Offline"/>
    <s v="Low"/>
    <n v="45018"/>
    <n v="21"/>
    <n v="249.64"/>
    <n v="55.25"/>
    <n v="5242.4399999999996"/>
    <x v="91"/>
  </r>
  <r>
    <s v="ORD0093"/>
    <x v="3"/>
    <x v="4"/>
    <x v="2"/>
    <s v="Offline"/>
    <s v="High"/>
    <n v="45019"/>
    <n v="304"/>
    <n v="77.150000000000006"/>
    <n v="168.6"/>
    <n v="23453.600000000002"/>
    <x v="92"/>
  </r>
  <r>
    <s v="ORD0094"/>
    <x v="3"/>
    <x v="1"/>
    <x v="0"/>
    <s v="Online"/>
    <s v="Low"/>
    <n v="45020"/>
    <n v="459"/>
    <n v="227.47"/>
    <n v="316.55"/>
    <n v="104408.73"/>
    <x v="93"/>
  </r>
  <r>
    <s v="ORD0095"/>
    <x v="3"/>
    <x v="3"/>
    <x v="3"/>
    <s v="Online"/>
    <s v="High"/>
    <n v="45021"/>
    <n v="233"/>
    <n v="296"/>
    <n v="233.69"/>
    <n v="68968"/>
    <x v="94"/>
  </r>
  <r>
    <s v="ORD0096"/>
    <x v="3"/>
    <x v="2"/>
    <x v="4"/>
    <s v="Offline"/>
    <s v="Low"/>
    <n v="45022"/>
    <n v="22"/>
    <n v="474.55"/>
    <n v="273.02999999999997"/>
    <n v="10440.1"/>
    <x v="95"/>
  </r>
  <r>
    <s v="ORD0097"/>
    <x v="3"/>
    <x v="1"/>
    <x v="2"/>
    <s v="Online"/>
    <s v="Medium"/>
    <n v="45023"/>
    <n v="55"/>
    <n v="130"/>
    <n v="77.5"/>
    <n v="7150"/>
    <x v="96"/>
  </r>
  <r>
    <s v="ORD0098"/>
    <x v="1"/>
    <x v="2"/>
    <x v="2"/>
    <s v="Online"/>
    <s v="High"/>
    <n v="45024"/>
    <n v="164"/>
    <n v="182.83"/>
    <n v="248.34"/>
    <n v="29984.120000000003"/>
    <x v="97"/>
  </r>
  <r>
    <s v="ORD0099"/>
    <x v="3"/>
    <x v="2"/>
    <x v="4"/>
    <s v="Online"/>
    <s v="High"/>
    <n v="45025"/>
    <n v="122"/>
    <n v="192.78"/>
    <n v="130.75"/>
    <n v="23519.16"/>
    <x v="98"/>
  </r>
  <r>
    <s v="ORD0100"/>
    <x v="2"/>
    <x v="3"/>
    <x v="0"/>
    <s v="Offline"/>
    <s v="Low"/>
    <n v="45026"/>
    <n v="242"/>
    <n v="304.74"/>
    <n v="334.05"/>
    <n v="73747.08"/>
    <x v="99"/>
  </r>
  <r>
    <s v="ORD0101"/>
    <x v="0"/>
    <x v="2"/>
    <x v="4"/>
    <s v="Offline"/>
    <s v="Low"/>
    <n v="45027"/>
    <n v="26"/>
    <n v="181.58"/>
    <n v="252.46"/>
    <n v="4721.08"/>
    <x v="100"/>
  </r>
  <r>
    <s v="ORD0102"/>
    <x v="3"/>
    <x v="2"/>
    <x v="3"/>
    <s v="Online"/>
    <s v="High"/>
    <n v="45028"/>
    <n v="369"/>
    <n v="269.08999999999997"/>
    <n v="81.14"/>
    <n v="99294.209999999992"/>
    <x v="101"/>
  </r>
  <r>
    <s v="ORD0103"/>
    <x v="3"/>
    <x v="3"/>
    <x v="4"/>
    <s v="Offline"/>
    <s v="Low"/>
    <n v="45029"/>
    <n v="232"/>
    <n v="391.99"/>
    <n v="27.72"/>
    <n v="90941.680000000008"/>
    <x v="102"/>
  </r>
  <r>
    <s v="ORD0104"/>
    <x v="1"/>
    <x v="2"/>
    <x v="2"/>
    <s v="Online"/>
    <s v="Low"/>
    <n v="45030"/>
    <n v="363"/>
    <n v="354.17"/>
    <n v="18.97"/>
    <n v="128563.71"/>
    <x v="103"/>
  </r>
  <r>
    <s v="ORD0105"/>
    <x v="3"/>
    <x v="2"/>
    <x v="4"/>
    <s v="Online"/>
    <s v="Low"/>
    <n v="45031"/>
    <n v="197"/>
    <n v="225.95"/>
    <n v="149.82"/>
    <n v="44512.149999999994"/>
    <x v="104"/>
  </r>
  <r>
    <s v="ORD0106"/>
    <x v="3"/>
    <x v="2"/>
    <x v="0"/>
    <s v="Online"/>
    <s v="Medium"/>
    <n v="45032"/>
    <n v="457"/>
    <n v="432.79"/>
    <n v="107.81"/>
    <n v="197785.03"/>
    <x v="105"/>
  </r>
  <r>
    <s v="ORD0107"/>
    <x v="3"/>
    <x v="1"/>
    <x v="1"/>
    <s v="Online"/>
    <s v="Medium"/>
    <n v="45033"/>
    <n v="353"/>
    <n v="281.27999999999997"/>
    <n v="259.14"/>
    <n v="99291.839999999997"/>
    <x v="106"/>
  </r>
  <r>
    <s v="ORD0108"/>
    <x v="1"/>
    <x v="1"/>
    <x v="4"/>
    <s v="Offline"/>
    <s v="Low"/>
    <n v="45034"/>
    <n v="374"/>
    <n v="272.25"/>
    <n v="200.73"/>
    <n v="101821.5"/>
    <x v="107"/>
  </r>
  <r>
    <s v="ORD0109"/>
    <x v="3"/>
    <x v="1"/>
    <x v="0"/>
    <s v="Offline"/>
    <s v="Low"/>
    <n v="45035"/>
    <n v="172"/>
    <n v="21.92"/>
    <n v="107.88"/>
    <n v="3770.2400000000002"/>
    <x v="108"/>
  </r>
  <r>
    <s v="ORD0110"/>
    <x v="0"/>
    <x v="3"/>
    <x v="0"/>
    <s v="Offline"/>
    <s v="Medium"/>
    <n v="45036"/>
    <n v="335"/>
    <n v="493.41"/>
    <n v="61.4"/>
    <n v="165292.35"/>
    <x v="109"/>
  </r>
  <r>
    <s v="ORD0111"/>
    <x v="1"/>
    <x v="4"/>
    <x v="2"/>
    <s v="Online"/>
    <s v="Medium"/>
    <n v="45037"/>
    <n v="476"/>
    <n v="65.87"/>
    <n v="52.63"/>
    <n v="31354.120000000003"/>
    <x v="110"/>
  </r>
  <r>
    <s v="ORD0112"/>
    <x v="0"/>
    <x v="2"/>
    <x v="0"/>
    <s v="Online"/>
    <s v="High"/>
    <n v="45038"/>
    <n v="423"/>
    <n v="119.41"/>
    <n v="346.13"/>
    <n v="50510.43"/>
    <x v="111"/>
  </r>
  <r>
    <s v="ORD0113"/>
    <x v="1"/>
    <x v="2"/>
    <x v="0"/>
    <s v="Online"/>
    <s v="High"/>
    <n v="45039"/>
    <n v="464"/>
    <n v="30.59"/>
    <n v="98.9"/>
    <n v="14193.76"/>
    <x v="112"/>
  </r>
  <r>
    <s v="ORD0114"/>
    <x v="3"/>
    <x v="3"/>
    <x v="0"/>
    <s v="Offline"/>
    <s v="Medium"/>
    <n v="45040"/>
    <n v="83"/>
    <n v="321.8"/>
    <n v="261.38"/>
    <n v="26709.4"/>
    <x v="113"/>
  </r>
  <r>
    <s v="ORD0115"/>
    <x v="0"/>
    <x v="2"/>
    <x v="0"/>
    <s v="Online"/>
    <s v="Low"/>
    <n v="45041"/>
    <n v="242"/>
    <n v="116.23"/>
    <n v="324.64999999999998"/>
    <n v="28127.66"/>
    <x v="114"/>
  </r>
  <r>
    <s v="ORD0116"/>
    <x v="1"/>
    <x v="1"/>
    <x v="3"/>
    <s v="Offline"/>
    <s v="Low"/>
    <n v="45042"/>
    <n v="233"/>
    <n v="94.11"/>
    <n v="246.4"/>
    <n v="21927.63"/>
    <x v="115"/>
  </r>
  <r>
    <s v="ORD0117"/>
    <x v="2"/>
    <x v="4"/>
    <x v="3"/>
    <s v="Offline"/>
    <s v="Low"/>
    <n v="45043"/>
    <n v="491"/>
    <n v="48.84"/>
    <n v="344.11"/>
    <n v="23980.440000000002"/>
    <x v="116"/>
  </r>
  <r>
    <s v="ORD0118"/>
    <x v="2"/>
    <x v="0"/>
    <x v="2"/>
    <s v="Offline"/>
    <s v="Low"/>
    <n v="45044"/>
    <n v="328"/>
    <n v="56.14"/>
    <n v="158.16999999999999"/>
    <n v="18413.920000000002"/>
    <x v="117"/>
  </r>
  <r>
    <s v="ORD0119"/>
    <x v="1"/>
    <x v="2"/>
    <x v="4"/>
    <s v="Offline"/>
    <s v="High"/>
    <n v="45045"/>
    <n v="421"/>
    <n v="294.41000000000003"/>
    <n v="382.58"/>
    <n v="123946.61000000002"/>
    <x v="118"/>
  </r>
  <r>
    <s v="ORD0120"/>
    <x v="2"/>
    <x v="1"/>
    <x v="0"/>
    <s v="Offline"/>
    <s v="Medium"/>
    <n v="45046"/>
    <n v="69"/>
    <n v="345.66"/>
    <n v="54.99"/>
    <n v="23850.54"/>
    <x v="119"/>
  </r>
  <r>
    <s v="ORD0121"/>
    <x v="1"/>
    <x v="0"/>
    <x v="4"/>
    <s v="Offline"/>
    <s v="Low"/>
    <n v="45047"/>
    <n v="344"/>
    <n v="201.7"/>
    <n v="42.66"/>
    <n v="69384.800000000003"/>
    <x v="120"/>
  </r>
  <r>
    <s v="ORD0122"/>
    <x v="1"/>
    <x v="4"/>
    <x v="4"/>
    <s v="Online"/>
    <s v="High"/>
    <n v="45048"/>
    <n v="231"/>
    <n v="242.55"/>
    <n v="264.16000000000003"/>
    <n v="56029.05"/>
    <x v="121"/>
  </r>
  <r>
    <s v="ORD0123"/>
    <x v="3"/>
    <x v="0"/>
    <x v="2"/>
    <s v="Online"/>
    <s v="Low"/>
    <n v="45049"/>
    <n v="46"/>
    <n v="344.55"/>
    <n v="377.25"/>
    <n v="15849.300000000001"/>
    <x v="122"/>
  </r>
  <r>
    <s v="ORD0124"/>
    <x v="0"/>
    <x v="1"/>
    <x v="0"/>
    <s v="Offline"/>
    <s v="Medium"/>
    <n v="45050"/>
    <n v="486"/>
    <n v="13.6"/>
    <n v="323.94"/>
    <n v="6609.5999999999995"/>
    <x v="123"/>
  </r>
  <r>
    <s v="ORD0125"/>
    <x v="2"/>
    <x v="0"/>
    <x v="0"/>
    <s v="Offline"/>
    <s v="High"/>
    <n v="45051"/>
    <n v="287"/>
    <n v="164.95"/>
    <n v="32.409999999999997"/>
    <n v="47340.649999999994"/>
    <x v="124"/>
  </r>
  <r>
    <s v="ORD0126"/>
    <x v="1"/>
    <x v="3"/>
    <x v="1"/>
    <s v="Online"/>
    <s v="Medium"/>
    <n v="45052"/>
    <n v="205"/>
    <n v="486.68"/>
    <n v="113.19"/>
    <n v="99769.4"/>
    <x v="125"/>
  </r>
  <r>
    <s v="ORD0127"/>
    <x v="3"/>
    <x v="0"/>
    <x v="4"/>
    <s v="Offline"/>
    <s v="Medium"/>
    <n v="45053"/>
    <n v="413"/>
    <n v="292.16000000000003"/>
    <n v="372.27"/>
    <n v="120662.08000000002"/>
    <x v="126"/>
  </r>
  <r>
    <s v="ORD0128"/>
    <x v="2"/>
    <x v="2"/>
    <x v="4"/>
    <s v="Offline"/>
    <s v="High"/>
    <n v="45054"/>
    <n v="361"/>
    <n v="130.84"/>
    <n v="102.72"/>
    <n v="47233.24"/>
    <x v="127"/>
  </r>
  <r>
    <s v="ORD0129"/>
    <x v="1"/>
    <x v="2"/>
    <x v="3"/>
    <s v="Online"/>
    <s v="High"/>
    <n v="45055"/>
    <n v="493"/>
    <n v="263.26"/>
    <n v="312.91000000000003"/>
    <n v="129787.18"/>
    <x v="128"/>
  </r>
  <r>
    <s v="ORD0130"/>
    <x v="1"/>
    <x v="3"/>
    <x v="1"/>
    <s v="Offline"/>
    <s v="High"/>
    <n v="45056"/>
    <n v="251"/>
    <n v="174.61"/>
    <n v="330.4"/>
    <n v="43827.11"/>
    <x v="129"/>
  </r>
  <r>
    <s v="ORD0131"/>
    <x v="1"/>
    <x v="1"/>
    <x v="3"/>
    <s v="Offline"/>
    <s v="High"/>
    <n v="45057"/>
    <n v="255.9"/>
    <n v="268.45999999999998"/>
    <n v="199.19"/>
    <n v="68698.91399999999"/>
    <x v="130"/>
  </r>
  <r>
    <s v="ORD0132"/>
    <x v="2"/>
    <x v="2"/>
    <x v="3"/>
    <s v="Offline"/>
    <s v="High"/>
    <n v="45058"/>
    <n v="228"/>
    <n v="67.239999999999995"/>
    <n v="155.77000000000001"/>
    <n v="15330.72"/>
    <x v="131"/>
  </r>
  <r>
    <s v="ORD0133"/>
    <x v="2"/>
    <x v="4"/>
    <x v="3"/>
    <s v="Online"/>
    <s v="High"/>
    <n v="45059"/>
    <n v="201"/>
    <n v="70.69"/>
    <n v="181.15"/>
    <n v="14208.689999999999"/>
    <x v="132"/>
  </r>
  <r>
    <s v="ORD0134"/>
    <x v="2"/>
    <x v="2"/>
    <x v="2"/>
    <s v="Online"/>
    <s v="High"/>
    <n v="45060"/>
    <n v="26"/>
    <n v="76.05"/>
    <n v="92.33"/>
    <n v="1977.3"/>
    <x v="133"/>
  </r>
  <r>
    <s v="ORD0135"/>
    <x v="0"/>
    <x v="2"/>
    <x v="2"/>
    <s v="Online"/>
    <s v="Low"/>
    <n v="45061"/>
    <n v="21"/>
    <n v="470.21"/>
    <n v="355.98"/>
    <n v="9874.41"/>
    <x v="134"/>
  </r>
  <r>
    <s v="ORD0136"/>
    <x v="2"/>
    <x v="1"/>
    <x v="3"/>
    <s v="Offline"/>
    <s v="Medium"/>
    <n v="45062"/>
    <n v="415"/>
    <n v="367.78"/>
    <n v="181.35"/>
    <n v="152628.69999999998"/>
    <x v="135"/>
  </r>
  <r>
    <s v="ORD0137"/>
    <x v="2"/>
    <x v="0"/>
    <x v="1"/>
    <s v="Offline"/>
    <s v="High"/>
    <n v="45063"/>
    <n v="410"/>
    <n v="85.38"/>
    <n v="353.22"/>
    <n v="35005.799999999996"/>
    <x v="136"/>
  </r>
  <r>
    <s v="ORD0138"/>
    <x v="2"/>
    <x v="2"/>
    <x v="4"/>
    <s v="Online"/>
    <s v="Low"/>
    <n v="45064"/>
    <n v="403"/>
    <n v="98.23"/>
    <n v="44.07"/>
    <n v="39586.69"/>
    <x v="137"/>
  </r>
  <r>
    <s v="ORD0139"/>
    <x v="0"/>
    <x v="3"/>
    <x v="1"/>
    <s v="Offline"/>
    <s v="Low"/>
    <n v="45065"/>
    <n v="383"/>
    <n v="366.76"/>
    <n v="395.33"/>
    <n v="140469.07999999999"/>
    <x v="138"/>
  </r>
  <r>
    <s v="ORD0140"/>
    <x v="2"/>
    <x v="0"/>
    <x v="0"/>
    <s v="Offline"/>
    <s v="Low"/>
    <n v="45066"/>
    <n v="202"/>
    <n v="82.3"/>
    <n v="178.42"/>
    <n v="16624.599999999999"/>
    <x v="139"/>
  </r>
  <r>
    <s v="ORD0141"/>
    <x v="1"/>
    <x v="4"/>
    <x v="2"/>
    <s v="Offline"/>
    <s v="Medium"/>
    <n v="45067"/>
    <n v="31"/>
    <n v="121.11"/>
    <n v="21.04"/>
    <n v="3754.41"/>
    <x v="140"/>
  </r>
  <r>
    <s v="ORD0142"/>
    <x v="2"/>
    <x v="1"/>
    <x v="4"/>
    <s v="Offline"/>
    <s v="High"/>
    <n v="45068"/>
    <n v="483"/>
    <n v="481.86"/>
    <n v="17.13"/>
    <n v="232738.38"/>
    <x v="141"/>
  </r>
  <r>
    <s v="ORD0143"/>
    <x v="1"/>
    <x v="4"/>
    <x v="4"/>
    <s v="Offline"/>
    <s v="Low"/>
    <n v="45069"/>
    <n v="129"/>
    <n v="131.38"/>
    <n v="298.99"/>
    <n v="16948.02"/>
    <x v="142"/>
  </r>
  <r>
    <s v="ORD0144"/>
    <x v="1"/>
    <x v="0"/>
    <x v="0"/>
    <s v="Online"/>
    <s v="Medium"/>
    <n v="45070"/>
    <n v="219"/>
    <n v="332.51"/>
    <n v="264.3"/>
    <n v="72819.69"/>
    <x v="143"/>
  </r>
  <r>
    <s v="ORD0145"/>
    <x v="1"/>
    <x v="0"/>
    <x v="0"/>
    <s v="Offline"/>
    <s v="Medium"/>
    <n v="45071"/>
    <n v="315"/>
    <n v="489.42"/>
    <n v="321.25"/>
    <n v="154167.30000000002"/>
    <x v="144"/>
  </r>
  <r>
    <s v="ORD0146"/>
    <x v="0"/>
    <x v="0"/>
    <x v="3"/>
    <s v="Online"/>
    <s v="Medium"/>
    <n v="45072"/>
    <n v="279"/>
    <n v="190.28"/>
    <n v="43.94"/>
    <n v="53088.12"/>
    <x v="145"/>
  </r>
  <r>
    <s v="ORD0147"/>
    <x v="0"/>
    <x v="4"/>
    <x v="2"/>
    <s v="Offline"/>
    <s v="Low"/>
    <n v="45073"/>
    <n v="201"/>
    <n v="13.67"/>
    <n v="16.16"/>
    <n v="2747.67"/>
    <x v="146"/>
  </r>
  <r>
    <s v="ORD0148"/>
    <x v="0"/>
    <x v="0"/>
    <x v="2"/>
    <s v="Online"/>
    <s v="High"/>
    <n v="45074"/>
    <n v="184"/>
    <n v="125.85"/>
    <n v="204.41"/>
    <n v="23156.399999999998"/>
    <x v="147"/>
  </r>
  <r>
    <s v="ORD0149"/>
    <x v="2"/>
    <x v="4"/>
    <x v="1"/>
    <s v="Offline"/>
    <s v="Low"/>
    <n v="45075"/>
    <n v="294"/>
    <n v="416.28"/>
    <n v="156.26"/>
    <n v="122386.31999999999"/>
    <x v="148"/>
  </r>
  <r>
    <s v="ORD0150"/>
    <x v="1"/>
    <x v="0"/>
    <x v="3"/>
    <s v="Online"/>
    <s v="Low"/>
    <n v="45076"/>
    <n v="213"/>
    <n v="432.98"/>
    <n v="185.85"/>
    <n v="92224.74"/>
    <x v="149"/>
  </r>
  <r>
    <s v="ORD0151"/>
    <x v="0"/>
    <x v="3"/>
    <x v="3"/>
    <s v="Offline"/>
    <s v="High"/>
    <n v="45077"/>
    <n v="173"/>
    <n v="385.42"/>
    <n v="396.65"/>
    <n v="66677.66"/>
    <x v="150"/>
  </r>
  <r>
    <s v="ORD0152"/>
    <x v="0"/>
    <x v="0"/>
    <x v="3"/>
    <s v="Online"/>
    <s v="High"/>
    <n v="45078"/>
    <n v="260"/>
    <n v="60.99"/>
    <n v="388.36"/>
    <n v="15857.4"/>
    <x v="151"/>
  </r>
  <r>
    <s v="ORD0153"/>
    <x v="2"/>
    <x v="4"/>
    <x v="3"/>
    <s v="Offline"/>
    <s v="High"/>
    <n v="45079"/>
    <n v="236"/>
    <n v="398.78"/>
    <n v="377.04"/>
    <n v="94112.079999999987"/>
    <x v="152"/>
  </r>
  <r>
    <s v="ORD0154"/>
    <x v="0"/>
    <x v="2"/>
    <x v="2"/>
    <s v="Online"/>
    <s v="Medium"/>
    <n v="45080"/>
    <n v="445"/>
    <n v="459.75"/>
    <n v="313.97000000000003"/>
    <n v="204588.75"/>
    <x v="153"/>
  </r>
  <r>
    <s v="ORD0155"/>
    <x v="2"/>
    <x v="0"/>
    <x v="2"/>
    <s v="Offline"/>
    <s v="High"/>
    <n v="45081"/>
    <n v="390"/>
    <n v="302.3"/>
    <n v="143.22999999999999"/>
    <n v="117897"/>
    <x v="154"/>
  </r>
  <r>
    <s v="ORD0156"/>
    <x v="3"/>
    <x v="2"/>
    <x v="3"/>
    <s v="Online"/>
    <s v="Low"/>
    <n v="45082"/>
    <n v="469"/>
    <n v="470.73"/>
    <n v="166.03"/>
    <n v="220772.37"/>
    <x v="155"/>
  </r>
  <r>
    <s v="ORD0157"/>
    <x v="0"/>
    <x v="3"/>
    <x v="1"/>
    <s v="Online"/>
    <s v="High"/>
    <n v="45083"/>
    <n v="16"/>
    <n v="249.64"/>
    <n v="220.75"/>
    <n v="3994.24"/>
    <x v="156"/>
  </r>
  <r>
    <s v="ORD0158"/>
    <x v="3"/>
    <x v="1"/>
    <x v="4"/>
    <s v="Offline"/>
    <s v="Low"/>
    <n v="45084"/>
    <n v="38"/>
    <n v="335.15"/>
    <n v="332.55"/>
    <n v="12735.699999999999"/>
    <x v="157"/>
  </r>
  <r>
    <s v="ORD0159"/>
    <x v="2"/>
    <x v="3"/>
    <x v="4"/>
    <s v="Offline"/>
    <s v="Medium"/>
    <n v="45085"/>
    <n v="404"/>
    <n v="290.70999999999998"/>
    <n v="29.35"/>
    <n v="117446.84"/>
    <x v="158"/>
  </r>
  <r>
    <s v="ORD0160"/>
    <x v="1"/>
    <x v="0"/>
    <x v="1"/>
    <s v="Online"/>
    <s v="Low"/>
    <n v="45086"/>
    <n v="42"/>
    <n v="177.54"/>
    <n v="170.87"/>
    <n v="7456.6799999999994"/>
    <x v="159"/>
  </r>
  <r>
    <s v="ORD0161"/>
    <x v="0"/>
    <x v="2"/>
    <x v="3"/>
    <s v="Offline"/>
    <s v="Low"/>
    <n v="45087"/>
    <n v="143"/>
    <n v="83.85"/>
    <n v="34.880000000000003"/>
    <n v="11990.55"/>
    <x v="160"/>
  </r>
  <r>
    <s v="ORD0162"/>
    <x v="2"/>
    <x v="2"/>
    <x v="2"/>
    <s v="Online"/>
    <s v="High"/>
    <n v="45088"/>
    <n v="376"/>
    <n v="304.45"/>
    <n v="206.83"/>
    <n v="114473.2"/>
    <x v="161"/>
  </r>
  <r>
    <s v="ORD0163"/>
    <x v="1"/>
    <x v="4"/>
    <x v="4"/>
    <s v="Online"/>
    <s v="High"/>
    <n v="45089"/>
    <n v="88"/>
    <n v="162.47"/>
    <n v="359.76"/>
    <n v="14297.36"/>
    <x v="162"/>
  </r>
  <r>
    <s v="ORD0164"/>
    <x v="1"/>
    <x v="2"/>
    <x v="0"/>
    <s v="Online"/>
    <s v="Low"/>
    <n v="45090"/>
    <n v="425"/>
    <n v="433.89"/>
    <n v="313.43"/>
    <n v="184403.25"/>
    <x v="163"/>
  </r>
  <r>
    <s v="ORD0165"/>
    <x v="3"/>
    <x v="4"/>
    <x v="0"/>
    <s v="Offline"/>
    <s v="High"/>
    <n v="45091"/>
    <n v="444"/>
    <n v="496.7"/>
    <n v="92.68"/>
    <n v="220534.8"/>
    <x v="164"/>
  </r>
  <r>
    <s v="ORD0166"/>
    <x v="2"/>
    <x v="1"/>
    <x v="1"/>
    <s v="Online"/>
    <s v="Medium"/>
    <n v="45092"/>
    <n v="468"/>
    <n v="377.45"/>
    <n v="390.44"/>
    <n v="176646.6"/>
    <x v="165"/>
  </r>
  <r>
    <s v="ORD0167"/>
    <x v="1"/>
    <x v="0"/>
    <x v="3"/>
    <s v="Online"/>
    <s v="Medium"/>
    <n v="45093"/>
    <n v="67"/>
    <n v="49.79"/>
    <n v="267.61"/>
    <n v="3335.93"/>
    <x v="166"/>
  </r>
  <r>
    <s v="ORD0168"/>
    <x v="0"/>
    <x v="4"/>
    <x v="4"/>
    <s v="Offline"/>
    <s v="High"/>
    <n v="45094"/>
    <n v="480"/>
    <n v="147.9"/>
    <n v="6.15"/>
    <n v="70992"/>
    <x v="167"/>
  </r>
  <r>
    <s v="ORD0169"/>
    <x v="0"/>
    <x v="1"/>
    <x v="3"/>
    <s v="Offline"/>
    <s v="Medium"/>
    <n v="45095"/>
    <n v="35"/>
    <n v="59.01"/>
    <n v="103.65"/>
    <n v="2065.35"/>
    <x v="168"/>
  </r>
  <r>
    <s v="ORD0170"/>
    <x v="3"/>
    <x v="2"/>
    <x v="4"/>
    <s v="Offline"/>
    <s v="High"/>
    <n v="45096"/>
    <n v="491"/>
    <n v="327"/>
    <n v="105.76"/>
    <n v="160557"/>
    <x v="169"/>
  </r>
  <r>
    <s v="ORD0171"/>
    <x v="1"/>
    <x v="2"/>
    <x v="1"/>
    <s v="Offline"/>
    <s v="Low"/>
    <n v="45097"/>
    <n v="439"/>
    <n v="383.77"/>
    <n v="29.56"/>
    <n v="168475.03"/>
    <x v="170"/>
  </r>
  <r>
    <s v="ORD0172"/>
    <x v="2"/>
    <x v="1"/>
    <x v="1"/>
    <s v="Online"/>
    <s v="Low"/>
    <n v="45098"/>
    <n v="235"/>
    <n v="463.21"/>
    <n v="384.01"/>
    <n v="108854.34999999999"/>
    <x v="171"/>
  </r>
  <r>
    <s v="ORD0173"/>
    <x v="0"/>
    <x v="2"/>
    <x v="0"/>
    <s v="Online"/>
    <s v="Medium"/>
    <n v="45099"/>
    <n v="294"/>
    <n v="221.9"/>
    <n v="192.35"/>
    <n v="65238.6"/>
    <x v="172"/>
  </r>
  <r>
    <s v="ORD0174"/>
    <x v="1"/>
    <x v="1"/>
    <x v="3"/>
    <s v="Online"/>
    <s v="High"/>
    <n v="45100"/>
    <n v="13"/>
    <n v="451.18"/>
    <n v="358.53"/>
    <n v="5865.34"/>
    <x v="173"/>
  </r>
  <r>
    <s v="ORD0175"/>
    <x v="1"/>
    <x v="4"/>
    <x v="0"/>
    <s v="Online"/>
    <s v="High"/>
    <n v="45101"/>
    <n v="474"/>
    <n v="439.56"/>
    <n v="130.24"/>
    <n v="208351.44"/>
    <x v="174"/>
  </r>
  <r>
    <s v="ORD0176"/>
    <x v="3"/>
    <x v="4"/>
    <x v="3"/>
    <s v="Offline"/>
    <s v="Medium"/>
    <n v="45102"/>
    <n v="108"/>
    <n v="162.01"/>
    <n v="51.84"/>
    <n v="17497.079999999998"/>
    <x v="175"/>
  </r>
  <r>
    <s v="ORD0177"/>
    <x v="0"/>
    <x v="1"/>
    <x v="0"/>
    <s v="Online"/>
    <s v="Low"/>
    <n v="45103"/>
    <n v="406"/>
    <n v="435.11"/>
    <n v="190.79"/>
    <n v="176654.66"/>
    <x v="176"/>
  </r>
  <r>
    <s v="ORD0178"/>
    <x v="0"/>
    <x v="4"/>
    <x v="2"/>
    <s v="Online"/>
    <s v="Medium"/>
    <n v="45104"/>
    <n v="498"/>
    <n v="190.96"/>
    <n v="47.35"/>
    <n v="95098.08"/>
    <x v="177"/>
  </r>
  <r>
    <s v="ORD0179"/>
    <x v="2"/>
    <x v="4"/>
    <x v="2"/>
    <s v="Offline"/>
    <s v="Low"/>
    <n v="45105"/>
    <n v="48"/>
    <n v="151.94999999999999"/>
    <n v="195.43"/>
    <n v="7293.5999999999995"/>
    <x v="178"/>
  </r>
  <r>
    <s v="ORD0180"/>
    <x v="0"/>
    <x v="4"/>
    <x v="2"/>
    <s v="Online"/>
    <s v="High"/>
    <n v="45106"/>
    <n v="280"/>
    <n v="326.29000000000002"/>
    <n v="368.28"/>
    <n v="91361.200000000012"/>
    <x v="179"/>
  </r>
  <r>
    <s v="ORD0181"/>
    <x v="2"/>
    <x v="3"/>
    <x v="2"/>
    <s v="Online"/>
    <s v="Low"/>
    <n v="45107"/>
    <n v="384"/>
    <n v="167.55"/>
    <n v="209.27"/>
    <n v="64339.200000000004"/>
    <x v="180"/>
  </r>
  <r>
    <s v="ORD0182"/>
    <x v="0"/>
    <x v="0"/>
    <x v="4"/>
    <s v="Online"/>
    <s v="Medium"/>
    <n v="45108"/>
    <n v="294"/>
    <n v="316.95"/>
    <n v="247.37"/>
    <n v="93183.3"/>
    <x v="181"/>
  </r>
  <r>
    <s v="ORD0183"/>
    <x v="3"/>
    <x v="2"/>
    <x v="2"/>
    <s v="Online"/>
    <s v="High"/>
    <n v="45109"/>
    <n v="166"/>
    <n v="306.87"/>
    <n v="64.34"/>
    <n v="50940.42"/>
    <x v="182"/>
  </r>
  <r>
    <s v="ORD0184"/>
    <x v="0"/>
    <x v="3"/>
    <x v="1"/>
    <s v="Online"/>
    <s v="Medium"/>
    <n v="45110"/>
    <n v="84"/>
    <n v="283.89999999999998"/>
    <n v="19.41"/>
    <n v="23847.599999999999"/>
    <x v="183"/>
  </r>
  <r>
    <s v="ORD0185"/>
    <x v="2"/>
    <x v="4"/>
    <x v="1"/>
    <s v="Online"/>
    <s v="Medium"/>
    <n v="45111"/>
    <n v="381"/>
    <n v="193.31"/>
    <n v="46.1"/>
    <n v="73651.11"/>
    <x v="184"/>
  </r>
  <r>
    <s v="ORD0186"/>
    <x v="2"/>
    <x v="1"/>
    <x v="4"/>
    <s v="Offline"/>
    <s v="Low"/>
    <n v="45112"/>
    <n v="297"/>
    <n v="276.51"/>
    <n v="240.22"/>
    <n v="82123.47"/>
    <x v="185"/>
  </r>
  <r>
    <s v="ORD0187"/>
    <x v="3"/>
    <x v="4"/>
    <x v="2"/>
    <s v="Offline"/>
    <s v="Medium"/>
    <n v="45113"/>
    <n v="139"/>
    <n v="300.26"/>
    <n v="39.81"/>
    <n v="41736.14"/>
    <x v="186"/>
  </r>
  <r>
    <s v="ORD0188"/>
    <x v="0"/>
    <x v="0"/>
    <x v="2"/>
    <s v="Online"/>
    <s v="Low"/>
    <n v="45114"/>
    <n v="184"/>
    <n v="275.12"/>
    <n v="151.65"/>
    <n v="50622.080000000002"/>
    <x v="187"/>
  </r>
  <r>
    <s v="ORD0189"/>
    <x v="0"/>
    <x v="4"/>
    <x v="2"/>
    <s v="Online"/>
    <s v="High"/>
    <n v="45115"/>
    <n v="471"/>
    <n v="224.99"/>
    <n v="220.94"/>
    <n v="105970.29000000001"/>
    <x v="188"/>
  </r>
  <r>
    <s v="ORD0190"/>
    <x v="3"/>
    <x v="1"/>
    <x v="0"/>
    <s v="Offline"/>
    <s v="Low"/>
    <n v="45116"/>
    <n v="93"/>
    <n v="12.26"/>
    <n v="156.68"/>
    <n v="1140.18"/>
    <x v="189"/>
  </r>
  <r>
    <s v="ORD0191"/>
    <x v="0"/>
    <x v="0"/>
    <x v="3"/>
    <s v="Online"/>
    <s v="High"/>
    <n v="45117"/>
    <n v="31"/>
    <n v="295.60000000000002"/>
    <n v="67.150000000000006"/>
    <n v="9163.6"/>
    <x v="190"/>
  </r>
  <r>
    <s v="ORD0192"/>
    <x v="0"/>
    <x v="4"/>
    <x v="0"/>
    <s v="Online"/>
    <s v="Low"/>
    <n v="45118"/>
    <n v="468"/>
    <n v="88.38"/>
    <n v="110.97"/>
    <n v="41361.839999999997"/>
    <x v="191"/>
  </r>
  <r>
    <s v="ORD0193"/>
    <x v="2"/>
    <x v="0"/>
    <x v="3"/>
    <s v="Online"/>
    <s v="Medium"/>
    <n v="45119"/>
    <n v="36"/>
    <n v="323.08"/>
    <n v="371.47"/>
    <n v="11630.88"/>
    <x v="192"/>
  </r>
  <r>
    <s v="ORD0194"/>
    <x v="0"/>
    <x v="2"/>
    <x v="2"/>
    <s v="Offline"/>
    <s v="Low"/>
    <n v="45120"/>
    <n v="204"/>
    <n v="380.88"/>
    <n v="271.04000000000002"/>
    <n v="77699.520000000004"/>
    <x v="193"/>
  </r>
  <r>
    <s v="ORD0195"/>
    <x v="0"/>
    <x v="2"/>
    <x v="2"/>
    <s v="Online"/>
    <s v="Low"/>
    <n v="45121"/>
    <n v="346"/>
    <n v="252.72"/>
    <n v="199.43"/>
    <n v="87441.12"/>
    <x v="194"/>
  </r>
  <r>
    <s v="ORD0196"/>
    <x v="3"/>
    <x v="4"/>
    <x v="0"/>
    <s v="Offline"/>
    <s v="High"/>
    <n v="45122"/>
    <n v="391"/>
    <n v="273.47000000000003"/>
    <n v="7.06"/>
    <n v="106926.77"/>
    <x v="195"/>
  </r>
  <r>
    <s v="ORD0197"/>
    <x v="3"/>
    <x v="0"/>
    <x v="0"/>
    <s v="Online"/>
    <s v="Medium"/>
    <n v="45123"/>
    <n v="245"/>
    <n v="475.98"/>
    <n v="396.98"/>
    <n v="116615.1"/>
    <x v="196"/>
  </r>
  <r>
    <s v="ORD0198"/>
    <x v="1"/>
    <x v="1"/>
    <x v="3"/>
    <s v="Offline"/>
    <s v="Low"/>
    <n v="45124"/>
    <n v="449"/>
    <n v="424.35"/>
    <n v="269.24"/>
    <n v="190533.15000000002"/>
    <x v="197"/>
  </r>
  <r>
    <s v="ORD0199"/>
    <x v="2"/>
    <x v="4"/>
    <x v="1"/>
    <s v="Offline"/>
    <s v="Medium"/>
    <n v="45125"/>
    <n v="101"/>
    <n v="457.55"/>
    <n v="128.13999999999999"/>
    <n v="46212.55"/>
    <x v="198"/>
  </r>
  <r>
    <s v="ORD0200"/>
    <x v="0"/>
    <x v="2"/>
    <x v="3"/>
    <s v="Online"/>
    <s v="Low"/>
    <n v="45126"/>
    <n v="255.9"/>
    <n v="407.81"/>
    <n v="351.95"/>
    <n v="104358.579"/>
    <x v="199"/>
  </r>
  <r>
    <s v="ORD0201"/>
    <x v="0"/>
    <x v="2"/>
    <x v="0"/>
    <s v="Offline"/>
    <s v="Low"/>
    <n v="45127"/>
    <n v="30"/>
    <n v="58.91"/>
    <n v="104.86"/>
    <n v="1767.3"/>
    <x v="200"/>
  </r>
  <r>
    <s v="ORD0202"/>
    <x v="1"/>
    <x v="4"/>
    <x v="0"/>
    <s v="Online"/>
    <s v="Medium"/>
    <n v="45128"/>
    <n v="312"/>
    <n v="78.75"/>
    <n v="218.52"/>
    <n v="24570"/>
    <x v="201"/>
  </r>
  <r>
    <s v="ORD0203"/>
    <x v="0"/>
    <x v="0"/>
    <x v="4"/>
    <s v="Offline"/>
    <s v="Low"/>
    <n v="45129"/>
    <n v="473"/>
    <n v="265.68"/>
    <n v="255.16"/>
    <n v="125666.64"/>
    <x v="202"/>
  </r>
  <r>
    <s v="ORD0204"/>
    <x v="2"/>
    <x v="2"/>
    <x v="0"/>
    <s v="Online"/>
    <s v="Medium"/>
    <n v="45130"/>
    <n v="366"/>
    <n v="126.8"/>
    <n v="89.98"/>
    <n v="46408.799999999996"/>
    <x v="203"/>
  </r>
  <r>
    <s v="ORD0205"/>
    <x v="1"/>
    <x v="0"/>
    <x v="4"/>
    <s v="Online"/>
    <s v="Low"/>
    <n v="45131"/>
    <n v="452"/>
    <n v="240.96"/>
    <n v="391.4"/>
    <n v="108913.92"/>
    <x v="204"/>
  </r>
  <r>
    <s v="ORD0206"/>
    <x v="2"/>
    <x v="2"/>
    <x v="1"/>
    <s v="Offline"/>
    <s v="High"/>
    <n v="45132"/>
    <n v="93"/>
    <n v="200.21"/>
    <n v="299.77999999999997"/>
    <n v="18619.530000000002"/>
    <x v="205"/>
  </r>
  <r>
    <s v="ORD0207"/>
    <x v="1"/>
    <x v="2"/>
    <x v="3"/>
    <s v="Online"/>
    <s v="Medium"/>
    <n v="45133"/>
    <n v="271"/>
    <n v="276.95999999999998"/>
    <n v="224.01"/>
    <n v="75056.159999999989"/>
    <x v="206"/>
  </r>
  <r>
    <s v="ORD0208"/>
    <x v="1"/>
    <x v="3"/>
    <x v="3"/>
    <s v="Online"/>
    <s v="Low"/>
    <n v="45134"/>
    <n v="156"/>
    <n v="374.7"/>
    <n v="73.88"/>
    <n v="58453.2"/>
    <x v="207"/>
  </r>
  <r>
    <s v="ORD0209"/>
    <x v="3"/>
    <x v="2"/>
    <x v="4"/>
    <s v="Offline"/>
    <s v="Low"/>
    <n v="45135"/>
    <n v="450"/>
    <n v="359.17"/>
    <n v="23.44"/>
    <n v="161626.5"/>
    <x v="208"/>
  </r>
  <r>
    <s v="ORD0210"/>
    <x v="2"/>
    <x v="1"/>
    <x v="3"/>
    <s v="Online"/>
    <s v="High"/>
    <n v="45136"/>
    <n v="462"/>
    <n v="263.01"/>
    <n v="129.38"/>
    <n v="121510.62"/>
    <x v="209"/>
  </r>
  <r>
    <s v="ORD0211"/>
    <x v="0"/>
    <x v="4"/>
    <x v="3"/>
    <s v="Online"/>
    <s v="Medium"/>
    <n v="45137"/>
    <n v="396"/>
    <n v="412.08"/>
    <n v="301.77"/>
    <n v="163183.67999999999"/>
    <x v="210"/>
  </r>
  <r>
    <s v="ORD0212"/>
    <x v="0"/>
    <x v="4"/>
    <x v="2"/>
    <s v="Offline"/>
    <s v="Low"/>
    <n v="45138"/>
    <n v="266"/>
    <n v="218.28"/>
    <n v="109.19"/>
    <n v="58062.48"/>
    <x v="211"/>
  </r>
  <r>
    <s v="ORD0213"/>
    <x v="2"/>
    <x v="0"/>
    <x v="4"/>
    <s v="Offline"/>
    <s v="High"/>
    <n v="45139"/>
    <n v="67"/>
    <n v="448.87"/>
    <n v="216.74"/>
    <n v="30074.29"/>
    <x v="212"/>
  </r>
  <r>
    <s v="ORD0214"/>
    <x v="0"/>
    <x v="2"/>
    <x v="3"/>
    <s v="Online"/>
    <s v="Low"/>
    <n v="45140"/>
    <n v="389"/>
    <n v="40.28"/>
    <n v="291.72000000000003"/>
    <n v="15668.92"/>
    <x v="213"/>
  </r>
  <r>
    <s v="ORD0215"/>
    <x v="0"/>
    <x v="1"/>
    <x v="4"/>
    <s v="Online"/>
    <s v="Medium"/>
    <n v="45141"/>
    <n v="431"/>
    <n v="477.56"/>
    <n v="44.96"/>
    <n v="205828.36000000002"/>
    <x v="214"/>
  </r>
  <r>
    <s v="ORD0216"/>
    <x v="2"/>
    <x v="0"/>
    <x v="4"/>
    <s v="Offline"/>
    <s v="Low"/>
    <n v="45142"/>
    <n v="24"/>
    <n v="329.07"/>
    <n v="274.75"/>
    <n v="7897.68"/>
    <x v="215"/>
  </r>
  <r>
    <s v="ORD0217"/>
    <x v="1"/>
    <x v="3"/>
    <x v="2"/>
    <s v="Offline"/>
    <s v="Low"/>
    <n v="45143"/>
    <n v="171"/>
    <n v="193.14"/>
    <n v="38.56"/>
    <n v="33026.939999999995"/>
    <x v="216"/>
  </r>
  <r>
    <s v="ORD0218"/>
    <x v="2"/>
    <x v="0"/>
    <x v="0"/>
    <s v="Online"/>
    <s v="Low"/>
    <n v="45144"/>
    <n v="454"/>
    <n v="102.59"/>
    <n v="386.12"/>
    <n v="46575.86"/>
    <x v="217"/>
  </r>
  <r>
    <s v="ORD0219"/>
    <x v="1"/>
    <x v="0"/>
    <x v="4"/>
    <s v="Offline"/>
    <s v="Low"/>
    <n v="45145"/>
    <n v="172"/>
    <n v="242.2"/>
    <n v="196.38"/>
    <n v="41658.400000000001"/>
    <x v="218"/>
  </r>
  <r>
    <s v="ORD0220"/>
    <x v="0"/>
    <x v="2"/>
    <x v="3"/>
    <s v="Online"/>
    <s v="High"/>
    <n v="45146"/>
    <n v="329"/>
    <n v="101.31"/>
    <n v="61.97"/>
    <n v="33330.99"/>
    <x v="219"/>
  </r>
  <r>
    <s v="ORD0221"/>
    <x v="0"/>
    <x v="3"/>
    <x v="1"/>
    <s v="Online"/>
    <s v="High"/>
    <n v="45147"/>
    <n v="290"/>
    <n v="87.33"/>
    <n v="138.27000000000001"/>
    <n v="25325.7"/>
    <x v="220"/>
  </r>
  <r>
    <s v="ORD0222"/>
    <x v="0"/>
    <x v="0"/>
    <x v="4"/>
    <s v="Online"/>
    <s v="Medium"/>
    <n v="45148"/>
    <n v="289"/>
    <n v="310.58999999999997"/>
    <n v="166.54"/>
    <n v="89760.51"/>
    <x v="221"/>
  </r>
  <r>
    <s v="ORD0223"/>
    <x v="3"/>
    <x v="1"/>
    <x v="4"/>
    <s v="Online"/>
    <s v="High"/>
    <n v="45149"/>
    <n v="21"/>
    <n v="263.93"/>
    <n v="303.76"/>
    <n v="5542.53"/>
    <x v="222"/>
  </r>
  <r>
    <s v="ORD0224"/>
    <x v="1"/>
    <x v="1"/>
    <x v="2"/>
    <s v="Online"/>
    <s v="High"/>
    <n v="45150"/>
    <n v="283"/>
    <n v="336.7"/>
    <n v="297.88"/>
    <n v="95286.099999999991"/>
    <x v="223"/>
  </r>
  <r>
    <s v="ORD0225"/>
    <x v="3"/>
    <x v="4"/>
    <x v="0"/>
    <s v="Offline"/>
    <s v="Medium"/>
    <n v="45151"/>
    <n v="280"/>
    <n v="465.15"/>
    <n v="245.55"/>
    <n v="130242"/>
    <x v="224"/>
  </r>
  <r>
    <s v="ORD0226"/>
    <x v="3"/>
    <x v="3"/>
    <x v="1"/>
    <s v="Offline"/>
    <s v="High"/>
    <n v="45152"/>
    <n v="217"/>
    <n v="268.47000000000003"/>
    <n v="44.16"/>
    <n v="58257.990000000005"/>
    <x v="225"/>
  </r>
  <r>
    <s v="ORD0227"/>
    <x v="2"/>
    <x v="3"/>
    <x v="3"/>
    <s v="Offline"/>
    <s v="High"/>
    <n v="45153"/>
    <n v="36"/>
    <n v="292.56"/>
    <n v="62.32"/>
    <n v="10532.16"/>
    <x v="226"/>
  </r>
  <r>
    <s v="ORD0228"/>
    <x v="3"/>
    <x v="4"/>
    <x v="1"/>
    <s v="Offline"/>
    <s v="Medium"/>
    <n v="45154"/>
    <n v="255.9"/>
    <n v="49.37"/>
    <n v="39.32"/>
    <n v="12633.782999999999"/>
    <x v="227"/>
  </r>
  <r>
    <s v="ORD0229"/>
    <x v="2"/>
    <x v="0"/>
    <x v="3"/>
    <s v="Online"/>
    <s v="Medium"/>
    <n v="45155"/>
    <n v="69"/>
    <n v="360.23"/>
    <n v="231.71"/>
    <n v="24855.870000000003"/>
    <x v="228"/>
  </r>
  <r>
    <s v="ORD0230"/>
    <x v="2"/>
    <x v="3"/>
    <x v="0"/>
    <s v="Online"/>
    <s v="Medium"/>
    <n v="45156"/>
    <n v="439"/>
    <n v="202.95"/>
    <n v="351.1"/>
    <n v="89095.049999999988"/>
    <x v="229"/>
  </r>
  <r>
    <s v="ORD0231"/>
    <x v="3"/>
    <x v="1"/>
    <x v="3"/>
    <s v="Online"/>
    <s v="Low"/>
    <n v="45157"/>
    <n v="482"/>
    <n v="488.48"/>
    <n v="174.65"/>
    <n v="235447.36000000002"/>
    <x v="230"/>
  </r>
  <r>
    <s v="ORD0232"/>
    <x v="1"/>
    <x v="1"/>
    <x v="2"/>
    <s v="Online"/>
    <s v="Low"/>
    <n v="45158"/>
    <n v="154"/>
    <n v="412.47"/>
    <n v="66.02"/>
    <n v="63520.380000000005"/>
    <x v="231"/>
  </r>
  <r>
    <s v="ORD0233"/>
    <x v="1"/>
    <x v="2"/>
    <x v="2"/>
    <s v="Offline"/>
    <s v="Medium"/>
    <n v="45159"/>
    <n v="102"/>
    <n v="263.63"/>
    <n v="224.1"/>
    <n v="26890.26"/>
    <x v="232"/>
  </r>
  <r>
    <s v="ORD0234"/>
    <x v="1"/>
    <x v="3"/>
    <x v="2"/>
    <s v="Online"/>
    <s v="Medium"/>
    <n v="45160"/>
    <n v="318"/>
    <n v="66"/>
    <n v="325.08"/>
    <n v="20988"/>
    <x v="233"/>
  </r>
  <r>
    <s v="ORD0235"/>
    <x v="1"/>
    <x v="0"/>
    <x v="2"/>
    <s v="Online"/>
    <s v="Medium"/>
    <n v="45161"/>
    <n v="17"/>
    <n v="430.41"/>
    <n v="297.2"/>
    <n v="7316.97"/>
    <x v="234"/>
  </r>
  <r>
    <s v="ORD0236"/>
    <x v="1"/>
    <x v="4"/>
    <x v="1"/>
    <s v="Offline"/>
    <s v="Low"/>
    <n v="45162"/>
    <n v="88"/>
    <n v="400.89"/>
    <n v="352.82"/>
    <n v="35278.32"/>
    <x v="235"/>
  </r>
  <r>
    <s v="ORD0237"/>
    <x v="3"/>
    <x v="4"/>
    <x v="0"/>
    <s v="Offline"/>
    <s v="Low"/>
    <n v="45163"/>
    <n v="36"/>
    <n v="96.37"/>
    <n v="112.61"/>
    <n v="3469.32"/>
    <x v="236"/>
  </r>
  <r>
    <s v="ORD0238"/>
    <x v="3"/>
    <x v="0"/>
    <x v="3"/>
    <s v="Offline"/>
    <s v="High"/>
    <n v="45164"/>
    <n v="183"/>
    <n v="151.16"/>
    <n v="79.19"/>
    <n v="27662.28"/>
    <x v="237"/>
  </r>
  <r>
    <s v="ORD0239"/>
    <x v="0"/>
    <x v="2"/>
    <x v="3"/>
    <s v="Offline"/>
    <s v="High"/>
    <n v="45165"/>
    <n v="59"/>
    <n v="397.74"/>
    <n v="352.17"/>
    <n v="23466.66"/>
    <x v="238"/>
  </r>
  <r>
    <s v="ORD0240"/>
    <x v="1"/>
    <x v="4"/>
    <x v="2"/>
    <s v="Online"/>
    <s v="Medium"/>
    <n v="45166"/>
    <n v="208"/>
    <n v="96.69"/>
    <n v="263.70999999999998"/>
    <n v="20111.52"/>
    <x v="239"/>
  </r>
  <r>
    <s v="ORD0241"/>
    <x v="3"/>
    <x v="3"/>
    <x v="2"/>
    <s v="Online"/>
    <s v="Low"/>
    <n v="45167"/>
    <n v="396"/>
    <n v="459.29"/>
    <n v="125.75"/>
    <n v="181878.84"/>
    <x v="240"/>
  </r>
  <r>
    <s v="ORD0242"/>
    <x v="0"/>
    <x v="2"/>
    <x v="4"/>
    <s v="Offline"/>
    <s v="Low"/>
    <n v="45168"/>
    <n v="358"/>
    <n v="215.14"/>
    <n v="297.45"/>
    <n v="77020.12"/>
    <x v="241"/>
  </r>
  <r>
    <s v="ORD0243"/>
    <x v="1"/>
    <x v="3"/>
    <x v="0"/>
    <s v="Online"/>
    <s v="Low"/>
    <n v="45169"/>
    <n v="457"/>
    <n v="48.08"/>
    <n v="326.42"/>
    <n v="21972.559999999998"/>
    <x v="242"/>
  </r>
  <r>
    <s v="ORD0244"/>
    <x v="2"/>
    <x v="1"/>
    <x v="1"/>
    <s v="Online"/>
    <s v="Medium"/>
    <n v="45170"/>
    <n v="437"/>
    <n v="408.8"/>
    <n v="246.76"/>
    <n v="178645.6"/>
    <x v="243"/>
  </r>
  <r>
    <s v="ORD0245"/>
    <x v="0"/>
    <x v="2"/>
    <x v="3"/>
    <s v="Online"/>
    <s v="High"/>
    <n v="45171"/>
    <n v="190"/>
    <n v="189.89"/>
    <n v="275.77999999999997"/>
    <n v="36079.1"/>
    <x v="244"/>
  </r>
  <r>
    <s v="ORD0246"/>
    <x v="3"/>
    <x v="4"/>
    <x v="4"/>
    <s v="Offline"/>
    <s v="Medium"/>
    <n v="45172"/>
    <n v="33"/>
    <n v="265.62"/>
    <n v="151.35"/>
    <n v="8765.4600000000009"/>
    <x v="245"/>
  </r>
  <r>
    <s v="ORD0247"/>
    <x v="2"/>
    <x v="2"/>
    <x v="4"/>
    <s v="Online"/>
    <s v="High"/>
    <n v="45173"/>
    <n v="325"/>
    <n v="60.59"/>
    <n v="216.4"/>
    <n v="19691.75"/>
    <x v="246"/>
  </r>
  <r>
    <s v="ORD0248"/>
    <x v="2"/>
    <x v="2"/>
    <x v="3"/>
    <s v="Offline"/>
    <s v="High"/>
    <n v="45174"/>
    <n v="387"/>
    <n v="6.28"/>
    <n v="210.62"/>
    <n v="2430.36"/>
    <x v="247"/>
  </r>
  <r>
    <s v="ORD0249"/>
    <x v="2"/>
    <x v="2"/>
    <x v="1"/>
    <s v="Online"/>
    <s v="Medium"/>
    <n v="45175"/>
    <n v="396"/>
    <n v="320.8"/>
    <n v="339.52"/>
    <n v="127036.8"/>
    <x v="248"/>
  </r>
  <r>
    <s v="ORD0250"/>
    <x v="0"/>
    <x v="2"/>
    <x v="4"/>
    <s v="Online"/>
    <s v="High"/>
    <n v="45176"/>
    <n v="413"/>
    <n v="260.01"/>
    <n v="336.31"/>
    <n v="107384.12999999999"/>
    <x v="249"/>
  </r>
  <r>
    <s v="ORD0251"/>
    <x v="3"/>
    <x v="3"/>
    <x v="4"/>
    <s v="Online"/>
    <s v="High"/>
    <n v="45177"/>
    <n v="255.9"/>
    <n v="298.8"/>
    <n v="333.41"/>
    <n v="76462.92"/>
    <x v="250"/>
  </r>
  <r>
    <s v="ORD0252"/>
    <x v="2"/>
    <x v="1"/>
    <x v="0"/>
    <s v="Offline"/>
    <s v="Low"/>
    <n v="45178"/>
    <n v="24"/>
    <n v="397.9"/>
    <n v="6.39"/>
    <n v="9549.5999999999985"/>
    <x v="251"/>
  </r>
  <r>
    <s v="ORD0253"/>
    <x v="1"/>
    <x v="0"/>
    <x v="0"/>
    <s v="Online"/>
    <s v="High"/>
    <n v="45179"/>
    <n v="162"/>
    <n v="325.07"/>
    <n v="300.32"/>
    <n v="52661.34"/>
    <x v="252"/>
  </r>
  <r>
    <s v="ORD0254"/>
    <x v="2"/>
    <x v="2"/>
    <x v="4"/>
    <s v="Offline"/>
    <s v="Medium"/>
    <n v="45180"/>
    <n v="231"/>
    <n v="91.51"/>
    <n v="303.95"/>
    <n v="21138.81"/>
    <x v="253"/>
  </r>
  <r>
    <s v="ORD0255"/>
    <x v="2"/>
    <x v="4"/>
    <x v="1"/>
    <s v="Offline"/>
    <s v="Medium"/>
    <n v="45181"/>
    <n v="215"/>
    <n v="183.58"/>
    <n v="271.99"/>
    <n v="39469.700000000004"/>
    <x v="254"/>
  </r>
  <r>
    <s v="ORD0256"/>
    <x v="0"/>
    <x v="2"/>
    <x v="3"/>
    <s v="Offline"/>
    <s v="High"/>
    <n v="45182"/>
    <n v="464"/>
    <n v="453.42"/>
    <n v="302.99"/>
    <n v="210386.88"/>
    <x v="255"/>
  </r>
  <r>
    <s v="ORD0257"/>
    <x v="0"/>
    <x v="4"/>
    <x v="2"/>
    <s v="Online"/>
    <s v="Low"/>
    <n v="45183"/>
    <n v="282"/>
    <n v="249.64"/>
    <n v="337.1"/>
    <n v="70398.48"/>
    <x v="256"/>
  </r>
  <r>
    <s v="ORD0258"/>
    <x v="3"/>
    <x v="3"/>
    <x v="4"/>
    <s v="Online"/>
    <s v="Low"/>
    <n v="45184"/>
    <n v="391"/>
    <n v="280.54000000000002"/>
    <n v="189.19"/>
    <n v="109691.14000000001"/>
    <x v="257"/>
  </r>
  <r>
    <s v="ORD0259"/>
    <x v="1"/>
    <x v="4"/>
    <x v="0"/>
    <s v="Online"/>
    <s v="High"/>
    <n v="45185"/>
    <n v="245"/>
    <n v="131.54"/>
    <n v="201.82"/>
    <n v="32227.3"/>
    <x v="258"/>
  </r>
  <r>
    <s v="ORD0260"/>
    <x v="0"/>
    <x v="0"/>
    <x v="3"/>
    <s v="Online"/>
    <s v="High"/>
    <n v="45186"/>
    <n v="349"/>
    <n v="154.52000000000001"/>
    <n v="51.64"/>
    <n v="53927.48"/>
    <x v="259"/>
  </r>
  <r>
    <s v="ORD0261"/>
    <x v="2"/>
    <x v="1"/>
    <x v="1"/>
    <s v="Offline"/>
    <s v="Medium"/>
    <n v="45187"/>
    <n v="237"/>
    <n v="249.64"/>
    <n v="155.38"/>
    <n v="59164.68"/>
    <x v="260"/>
  </r>
  <r>
    <s v="ORD0262"/>
    <x v="3"/>
    <x v="4"/>
    <x v="3"/>
    <s v="Offline"/>
    <s v="High"/>
    <n v="45188"/>
    <n v="18"/>
    <n v="426.33"/>
    <n v="258.06"/>
    <n v="7673.94"/>
    <x v="261"/>
  </r>
  <r>
    <s v="ORD0263"/>
    <x v="2"/>
    <x v="4"/>
    <x v="4"/>
    <s v="Offline"/>
    <s v="Low"/>
    <n v="45189"/>
    <n v="175"/>
    <n v="337.36"/>
    <n v="312.60000000000002"/>
    <n v="59038"/>
    <x v="262"/>
  </r>
  <r>
    <s v="ORD0264"/>
    <x v="2"/>
    <x v="1"/>
    <x v="4"/>
    <s v="Online"/>
    <s v="High"/>
    <n v="45190"/>
    <n v="441"/>
    <n v="405.72"/>
    <n v="88.45"/>
    <n v="178922.52000000002"/>
    <x v="263"/>
  </r>
  <r>
    <s v="ORD0265"/>
    <x v="0"/>
    <x v="0"/>
    <x v="2"/>
    <s v="Offline"/>
    <s v="Medium"/>
    <n v="45191"/>
    <n v="453"/>
    <n v="384.49"/>
    <n v="56.85"/>
    <n v="174173.97"/>
    <x v="264"/>
  </r>
  <r>
    <s v="ORD0266"/>
    <x v="3"/>
    <x v="2"/>
    <x v="3"/>
    <s v="Online"/>
    <s v="Medium"/>
    <n v="45192"/>
    <n v="328"/>
    <n v="79.099999999999994"/>
    <n v="265.89"/>
    <n v="25944.799999999999"/>
    <x v="265"/>
  </r>
  <r>
    <s v="ORD0267"/>
    <x v="1"/>
    <x v="4"/>
    <x v="4"/>
    <s v="Offline"/>
    <s v="Medium"/>
    <n v="45193"/>
    <n v="223"/>
    <n v="214.85"/>
    <n v="2.75"/>
    <n v="47911.549999999996"/>
    <x v="266"/>
  </r>
  <r>
    <s v="ORD0268"/>
    <x v="1"/>
    <x v="1"/>
    <x v="0"/>
    <s v="Online"/>
    <s v="Medium"/>
    <n v="45194"/>
    <n v="126"/>
    <n v="80.73"/>
    <n v="72.989999999999995"/>
    <n v="10171.980000000001"/>
    <x v="267"/>
  </r>
  <r>
    <s v="ORD0269"/>
    <x v="0"/>
    <x v="3"/>
    <x v="1"/>
    <s v="Online"/>
    <s v="Medium"/>
    <n v="45195"/>
    <n v="395"/>
    <n v="121.44"/>
    <n v="13.57"/>
    <n v="47968.799999999996"/>
    <x v="268"/>
  </r>
  <r>
    <s v="ORD0270"/>
    <x v="0"/>
    <x v="1"/>
    <x v="3"/>
    <s v="Offline"/>
    <s v="High"/>
    <n v="45196"/>
    <n v="353"/>
    <n v="435.28"/>
    <n v="68.42"/>
    <n v="153653.84"/>
    <x v="269"/>
  </r>
  <r>
    <s v="ORD0271"/>
    <x v="3"/>
    <x v="3"/>
    <x v="3"/>
    <s v="Offline"/>
    <s v="High"/>
    <n v="45197"/>
    <n v="81"/>
    <n v="239.08"/>
    <n v="74.17"/>
    <n v="19365.48"/>
    <x v="270"/>
  </r>
  <r>
    <s v="ORD0272"/>
    <x v="1"/>
    <x v="0"/>
    <x v="2"/>
    <s v="Offline"/>
    <s v="High"/>
    <n v="45198"/>
    <n v="404"/>
    <n v="270"/>
    <n v="156.29"/>
    <n v="109080"/>
    <x v="271"/>
  </r>
  <r>
    <s v="ORD0273"/>
    <x v="1"/>
    <x v="2"/>
    <x v="2"/>
    <s v="Offline"/>
    <s v="High"/>
    <n v="45199"/>
    <n v="73"/>
    <n v="93.33"/>
    <n v="162.13"/>
    <n v="6813.09"/>
    <x v="272"/>
  </r>
  <r>
    <s v="ORD0274"/>
    <x v="1"/>
    <x v="1"/>
    <x v="0"/>
    <s v="Online"/>
    <s v="Medium"/>
    <n v="45200"/>
    <n v="214"/>
    <n v="159.57"/>
    <n v="349.96"/>
    <n v="34147.979999999996"/>
    <x v="273"/>
  </r>
  <r>
    <s v="ORD0275"/>
    <x v="2"/>
    <x v="4"/>
    <x v="0"/>
    <s v="Offline"/>
    <s v="Low"/>
    <n v="45201"/>
    <n v="218"/>
    <n v="118.97"/>
    <n v="205.02"/>
    <n v="25935.46"/>
    <x v="274"/>
  </r>
  <r>
    <s v="ORD0276"/>
    <x v="1"/>
    <x v="0"/>
    <x v="4"/>
    <s v="Offline"/>
    <s v="High"/>
    <n v="45202"/>
    <n v="81"/>
    <n v="107.06"/>
    <n v="289.92"/>
    <n v="8671.86"/>
    <x v="275"/>
  </r>
  <r>
    <s v="ORD0277"/>
    <x v="2"/>
    <x v="1"/>
    <x v="4"/>
    <s v="Offline"/>
    <s v="Low"/>
    <n v="45203"/>
    <n v="286"/>
    <n v="320.79000000000002"/>
    <n v="43.45"/>
    <n v="91745.94"/>
    <x v="276"/>
  </r>
  <r>
    <s v="ORD0278"/>
    <x v="3"/>
    <x v="4"/>
    <x v="0"/>
    <s v="Online"/>
    <s v="High"/>
    <n v="45204"/>
    <n v="283"/>
    <n v="132.16"/>
    <n v="91.72"/>
    <n v="37401.279999999999"/>
    <x v="277"/>
  </r>
  <r>
    <s v="ORD0279"/>
    <x v="2"/>
    <x v="1"/>
    <x v="0"/>
    <s v="Online"/>
    <s v="High"/>
    <n v="45205"/>
    <n v="487"/>
    <n v="317.85000000000002"/>
    <n v="281.77"/>
    <n v="154792.95000000001"/>
    <x v="278"/>
  </r>
  <r>
    <s v="ORD0280"/>
    <x v="3"/>
    <x v="3"/>
    <x v="1"/>
    <s v="Offline"/>
    <s v="Low"/>
    <n v="45206"/>
    <n v="329"/>
    <n v="33.94"/>
    <n v="23.02"/>
    <n v="11166.259999999998"/>
    <x v="279"/>
  </r>
  <r>
    <s v="ORD0281"/>
    <x v="1"/>
    <x v="1"/>
    <x v="2"/>
    <s v="Online"/>
    <s v="Medium"/>
    <n v="45207"/>
    <n v="347"/>
    <n v="75.180000000000007"/>
    <n v="195.67"/>
    <n v="26087.460000000003"/>
    <x v="280"/>
  </r>
  <r>
    <s v="ORD0282"/>
    <x v="1"/>
    <x v="1"/>
    <x v="4"/>
    <s v="Offline"/>
    <s v="High"/>
    <n v="45208"/>
    <n v="375"/>
    <n v="140.9"/>
    <n v="240.55"/>
    <n v="52837.5"/>
    <x v="281"/>
  </r>
  <r>
    <s v="ORD0283"/>
    <x v="3"/>
    <x v="1"/>
    <x v="2"/>
    <s v="Online"/>
    <s v="High"/>
    <n v="45209"/>
    <n v="104"/>
    <n v="300.54000000000002"/>
    <n v="241.65"/>
    <n v="31256.160000000003"/>
    <x v="282"/>
  </r>
  <r>
    <s v="ORD0284"/>
    <x v="0"/>
    <x v="0"/>
    <x v="2"/>
    <s v="Online"/>
    <s v="High"/>
    <n v="45210"/>
    <n v="175"/>
    <n v="339.54"/>
    <n v="11.13"/>
    <n v="59419.5"/>
    <x v="283"/>
  </r>
  <r>
    <s v="ORD0285"/>
    <x v="3"/>
    <x v="1"/>
    <x v="0"/>
    <s v="Online"/>
    <s v="Low"/>
    <n v="45211"/>
    <n v="41"/>
    <n v="224.14"/>
    <n v="130.19999999999999"/>
    <n v="9189.74"/>
    <x v="284"/>
  </r>
  <r>
    <s v="ORD0286"/>
    <x v="0"/>
    <x v="4"/>
    <x v="1"/>
    <s v="Online"/>
    <s v="Medium"/>
    <n v="45212"/>
    <n v="20"/>
    <n v="225.67"/>
    <n v="255.32"/>
    <n v="4513.3999999999996"/>
    <x v="285"/>
  </r>
  <r>
    <s v="ORD0287"/>
    <x v="2"/>
    <x v="3"/>
    <x v="3"/>
    <s v="Offline"/>
    <s v="Low"/>
    <n v="45213"/>
    <n v="310"/>
    <n v="363.64"/>
    <n v="61.3"/>
    <n v="112728.4"/>
    <x v="286"/>
  </r>
  <r>
    <s v="ORD0288"/>
    <x v="2"/>
    <x v="3"/>
    <x v="1"/>
    <s v="Offline"/>
    <s v="Low"/>
    <n v="45214"/>
    <n v="226"/>
    <n v="249.64"/>
    <n v="278.77999999999997"/>
    <n v="56418.64"/>
    <x v="287"/>
  </r>
  <r>
    <s v="ORD0289"/>
    <x v="2"/>
    <x v="1"/>
    <x v="1"/>
    <s v="Offline"/>
    <s v="Medium"/>
    <n v="45215"/>
    <n v="255.9"/>
    <n v="173.84"/>
    <n v="298.88"/>
    <n v="44485.656000000003"/>
    <x v="288"/>
  </r>
  <r>
    <s v="ORD0290"/>
    <x v="1"/>
    <x v="0"/>
    <x v="2"/>
    <s v="Online"/>
    <s v="Low"/>
    <n v="45216"/>
    <n v="111"/>
    <n v="410.26"/>
    <n v="392.82"/>
    <n v="45538.86"/>
    <x v="289"/>
  </r>
  <r>
    <s v="ORD0291"/>
    <x v="2"/>
    <x v="0"/>
    <x v="1"/>
    <s v="Offline"/>
    <s v="Medium"/>
    <n v="45217"/>
    <n v="434"/>
    <n v="303.58999999999997"/>
    <n v="85.52"/>
    <n v="131758.06"/>
    <x v="290"/>
  </r>
  <r>
    <s v="ORD0292"/>
    <x v="0"/>
    <x v="4"/>
    <x v="4"/>
    <s v="Offline"/>
    <s v="High"/>
    <n v="45218"/>
    <n v="401"/>
    <n v="171.93"/>
    <n v="330.4"/>
    <n v="68943.930000000008"/>
    <x v="291"/>
  </r>
  <r>
    <s v="ORD0293"/>
    <x v="2"/>
    <x v="1"/>
    <x v="2"/>
    <s v="Offline"/>
    <s v="Medium"/>
    <n v="45219"/>
    <n v="276"/>
    <n v="453.23"/>
    <n v="209.08"/>
    <n v="125091.48000000001"/>
    <x v="292"/>
  </r>
  <r>
    <s v="ORD0294"/>
    <x v="3"/>
    <x v="3"/>
    <x v="4"/>
    <s v="Online"/>
    <s v="High"/>
    <n v="45220"/>
    <n v="255.9"/>
    <n v="387.45"/>
    <n v="150.63999999999999"/>
    <n v="99148.455000000002"/>
    <x v="293"/>
  </r>
  <r>
    <s v="ORD0295"/>
    <x v="3"/>
    <x v="0"/>
    <x v="3"/>
    <s v="Online"/>
    <s v="Low"/>
    <n v="45221"/>
    <n v="188"/>
    <n v="136.12"/>
    <n v="50.71"/>
    <n v="25590.560000000001"/>
    <x v="294"/>
  </r>
  <r>
    <s v="ORD0296"/>
    <x v="1"/>
    <x v="1"/>
    <x v="2"/>
    <s v="Online"/>
    <s v="Low"/>
    <n v="45222"/>
    <n v="97"/>
    <n v="324.42"/>
    <n v="294.73"/>
    <n v="31468.74"/>
    <x v="295"/>
  </r>
  <r>
    <s v="ORD0297"/>
    <x v="3"/>
    <x v="0"/>
    <x v="3"/>
    <s v="Offline"/>
    <s v="High"/>
    <n v="45223"/>
    <n v="50"/>
    <n v="299.89999999999998"/>
    <n v="95.87"/>
    <n v="14994.999999999998"/>
    <x v="296"/>
  </r>
  <r>
    <s v="ORD0298"/>
    <x v="0"/>
    <x v="0"/>
    <x v="2"/>
    <s v="Offline"/>
    <s v="Low"/>
    <n v="45224"/>
    <n v="410"/>
    <n v="203.59"/>
    <n v="149.83000000000001"/>
    <n v="83471.899999999994"/>
    <x v="297"/>
  </r>
  <r>
    <s v="ORD0299"/>
    <x v="2"/>
    <x v="3"/>
    <x v="0"/>
    <s v="Offline"/>
    <s v="Medium"/>
    <n v="45225"/>
    <n v="85"/>
    <n v="186.64"/>
    <n v="26.89"/>
    <n v="15864.4"/>
    <x v="298"/>
  </r>
  <r>
    <s v="ORD0300"/>
    <x v="1"/>
    <x v="2"/>
    <x v="1"/>
    <s v="Online"/>
    <s v="High"/>
    <n v="45226"/>
    <n v="386"/>
    <n v="175.06"/>
    <n v="320.94"/>
    <n v="67573.16"/>
    <x v="299"/>
  </r>
  <r>
    <s v="ORD0301"/>
    <x v="2"/>
    <x v="4"/>
    <x v="0"/>
    <s v="Online"/>
    <s v="Low"/>
    <n v="45227"/>
    <n v="55"/>
    <n v="310.49"/>
    <n v="307.10000000000002"/>
    <n v="17076.95"/>
    <x v="300"/>
  </r>
  <r>
    <s v="ORD0302"/>
    <x v="2"/>
    <x v="4"/>
    <x v="3"/>
    <s v="Offline"/>
    <s v="High"/>
    <n v="45228"/>
    <n v="169"/>
    <n v="223.99"/>
    <n v="293.98"/>
    <n v="37854.310000000005"/>
    <x v="301"/>
  </r>
  <r>
    <s v="ORD0303"/>
    <x v="0"/>
    <x v="3"/>
    <x v="1"/>
    <s v="Online"/>
    <s v="Medium"/>
    <n v="45229"/>
    <n v="472"/>
    <n v="416.77"/>
    <n v="121.18"/>
    <n v="196715.44"/>
    <x v="302"/>
  </r>
  <r>
    <s v="ORD0304"/>
    <x v="3"/>
    <x v="0"/>
    <x v="2"/>
    <s v="Online"/>
    <s v="Medium"/>
    <n v="45230"/>
    <n v="89"/>
    <n v="336.45"/>
    <n v="71.05"/>
    <n v="29944.05"/>
    <x v="303"/>
  </r>
  <r>
    <s v="ORD0305"/>
    <x v="3"/>
    <x v="1"/>
    <x v="1"/>
    <s v="Online"/>
    <s v="Low"/>
    <n v="45231"/>
    <n v="319"/>
    <n v="39.619999999999997"/>
    <n v="255.75"/>
    <n v="12638.779999999999"/>
    <x v="304"/>
  </r>
  <r>
    <s v="ORD0306"/>
    <x v="2"/>
    <x v="0"/>
    <x v="1"/>
    <s v="Online"/>
    <s v="Medium"/>
    <n v="45232"/>
    <n v="95"/>
    <n v="321.88"/>
    <n v="199.47"/>
    <n v="30578.6"/>
    <x v="305"/>
  </r>
  <r>
    <s v="ORD0307"/>
    <x v="1"/>
    <x v="3"/>
    <x v="1"/>
    <s v="Offline"/>
    <s v="High"/>
    <n v="45233"/>
    <n v="101"/>
    <n v="139.22"/>
    <n v="72.94"/>
    <n v="14061.22"/>
    <x v="306"/>
  </r>
  <r>
    <s v="ORD0308"/>
    <x v="3"/>
    <x v="4"/>
    <x v="1"/>
    <s v="Online"/>
    <s v="Medium"/>
    <n v="45234"/>
    <n v="157"/>
    <n v="249.64"/>
    <n v="274.99"/>
    <n v="39193.479999999996"/>
    <x v="307"/>
  </r>
  <r>
    <s v="ORD0309"/>
    <x v="1"/>
    <x v="0"/>
    <x v="1"/>
    <s v="Online"/>
    <s v="High"/>
    <n v="45235"/>
    <n v="170"/>
    <n v="341.67"/>
    <n v="396.47"/>
    <n v="58083.9"/>
    <x v="308"/>
  </r>
  <r>
    <s v="ORD0310"/>
    <x v="3"/>
    <x v="4"/>
    <x v="4"/>
    <s v="Online"/>
    <s v="High"/>
    <n v="45236"/>
    <n v="211"/>
    <n v="119.26"/>
    <n v="299.39"/>
    <n v="25163.86"/>
    <x v="309"/>
  </r>
  <r>
    <s v="ORD0311"/>
    <x v="1"/>
    <x v="1"/>
    <x v="3"/>
    <s v="Online"/>
    <s v="Medium"/>
    <n v="45237"/>
    <n v="433"/>
    <n v="231.15"/>
    <n v="296.51"/>
    <n v="100087.95"/>
    <x v="310"/>
  </r>
  <r>
    <s v="ORD0312"/>
    <x v="0"/>
    <x v="4"/>
    <x v="0"/>
    <s v="Offline"/>
    <s v="Low"/>
    <n v="45238"/>
    <n v="425"/>
    <n v="99.21"/>
    <n v="380.22"/>
    <n v="42164.25"/>
    <x v="311"/>
  </r>
  <r>
    <s v="ORD0313"/>
    <x v="1"/>
    <x v="4"/>
    <x v="2"/>
    <s v="Offline"/>
    <s v="Medium"/>
    <n v="45239"/>
    <n v="251"/>
    <n v="30.91"/>
    <n v="82.77"/>
    <n v="7758.41"/>
    <x v="312"/>
  </r>
  <r>
    <s v="ORD0314"/>
    <x v="0"/>
    <x v="2"/>
    <x v="1"/>
    <s v="Online"/>
    <s v="High"/>
    <n v="45240"/>
    <n v="255.9"/>
    <n v="192.35"/>
    <n v="227.09"/>
    <n v="49222.364999999998"/>
    <x v="313"/>
  </r>
  <r>
    <s v="ORD0315"/>
    <x v="0"/>
    <x v="2"/>
    <x v="0"/>
    <s v="Online"/>
    <s v="High"/>
    <n v="45241"/>
    <n v="11"/>
    <n v="184.66"/>
    <n v="391.9"/>
    <n v="2031.26"/>
    <x v="314"/>
  </r>
  <r>
    <s v="ORD0316"/>
    <x v="1"/>
    <x v="2"/>
    <x v="2"/>
    <s v="Online"/>
    <s v="Medium"/>
    <n v="45242"/>
    <n v="234"/>
    <n v="497.76"/>
    <n v="67.790000000000006"/>
    <n v="116475.84"/>
    <x v="315"/>
  </r>
  <r>
    <s v="ORD0317"/>
    <x v="0"/>
    <x v="4"/>
    <x v="2"/>
    <s v="Online"/>
    <s v="Low"/>
    <n v="45243"/>
    <n v="255.9"/>
    <n v="225.94"/>
    <n v="280.7"/>
    <n v="57818.046000000002"/>
    <x v="316"/>
  </r>
  <r>
    <s v="ORD0318"/>
    <x v="2"/>
    <x v="3"/>
    <x v="4"/>
    <s v="Online"/>
    <s v="Low"/>
    <n v="45244"/>
    <n v="242"/>
    <n v="170.12"/>
    <n v="235.15"/>
    <n v="41169.040000000001"/>
    <x v="317"/>
  </r>
  <r>
    <s v="ORD0319"/>
    <x v="0"/>
    <x v="4"/>
    <x v="3"/>
    <s v="Online"/>
    <s v="High"/>
    <n v="45245"/>
    <n v="470"/>
    <n v="292.33999999999997"/>
    <n v="235.42"/>
    <n v="137399.79999999999"/>
    <x v="318"/>
  </r>
  <r>
    <s v="ORD0320"/>
    <x v="3"/>
    <x v="3"/>
    <x v="3"/>
    <s v="Offline"/>
    <s v="High"/>
    <n v="45246"/>
    <n v="423"/>
    <n v="48.94"/>
    <n v="279.67"/>
    <n v="20701.62"/>
    <x v="319"/>
  </r>
  <r>
    <s v="ORD0321"/>
    <x v="1"/>
    <x v="3"/>
    <x v="0"/>
    <s v="Online"/>
    <s v="Low"/>
    <n v="45247"/>
    <n v="426"/>
    <n v="481.02"/>
    <n v="371.99"/>
    <n v="204914.52"/>
    <x v="320"/>
  </r>
  <r>
    <s v="ORD0322"/>
    <x v="2"/>
    <x v="2"/>
    <x v="3"/>
    <s v="Offline"/>
    <s v="Medium"/>
    <n v="45248"/>
    <n v="86"/>
    <n v="319.31"/>
    <n v="313.47000000000003"/>
    <n v="27460.66"/>
    <x v="321"/>
  </r>
  <r>
    <s v="ORD0323"/>
    <x v="1"/>
    <x v="0"/>
    <x v="1"/>
    <s v="Offline"/>
    <s v="High"/>
    <n v="45249"/>
    <n v="125"/>
    <n v="378.64"/>
    <n v="24.34"/>
    <n v="47330"/>
    <x v="322"/>
  </r>
  <r>
    <s v="ORD0324"/>
    <x v="3"/>
    <x v="1"/>
    <x v="1"/>
    <s v="Online"/>
    <s v="High"/>
    <n v="45250"/>
    <n v="163"/>
    <n v="89.39"/>
    <n v="341.39"/>
    <n v="14570.57"/>
    <x v="323"/>
  </r>
  <r>
    <s v="ORD0325"/>
    <x v="3"/>
    <x v="2"/>
    <x v="0"/>
    <s v="Offline"/>
    <s v="Low"/>
    <n v="45251"/>
    <n v="415"/>
    <n v="207.69"/>
    <n v="91.77"/>
    <n v="86191.35"/>
    <x v="324"/>
  </r>
  <r>
    <s v="ORD0326"/>
    <x v="3"/>
    <x v="2"/>
    <x v="3"/>
    <s v="Offline"/>
    <s v="Medium"/>
    <n v="45252"/>
    <n v="112"/>
    <n v="214.23"/>
    <n v="152.01"/>
    <n v="23993.759999999998"/>
    <x v="325"/>
  </r>
  <r>
    <s v="ORD0327"/>
    <x v="0"/>
    <x v="0"/>
    <x v="1"/>
    <s v="Offline"/>
    <s v="Low"/>
    <n v="45253"/>
    <n v="203"/>
    <n v="411.79"/>
    <n v="185.77"/>
    <n v="83593.37000000001"/>
    <x v="326"/>
  </r>
  <r>
    <s v="ORD0328"/>
    <x v="0"/>
    <x v="1"/>
    <x v="4"/>
    <s v="Offline"/>
    <s v="Medium"/>
    <n v="45254"/>
    <n v="255.9"/>
    <n v="5.61"/>
    <n v="193.4"/>
    <n v="1435.5990000000002"/>
    <x v="327"/>
  </r>
  <r>
    <s v="ORD0329"/>
    <x v="1"/>
    <x v="4"/>
    <x v="0"/>
    <s v="Offline"/>
    <s v="Medium"/>
    <n v="45255"/>
    <n v="368"/>
    <n v="153.91999999999999"/>
    <n v="175.2"/>
    <n v="56642.559999999998"/>
    <x v="328"/>
  </r>
  <r>
    <s v="ORD0330"/>
    <x v="1"/>
    <x v="4"/>
    <x v="4"/>
    <s v="Offline"/>
    <s v="Medium"/>
    <n v="45256"/>
    <n v="99"/>
    <n v="490.71"/>
    <n v="375.07"/>
    <n v="48580.29"/>
    <x v="329"/>
  </r>
  <r>
    <s v="ORD0331"/>
    <x v="2"/>
    <x v="2"/>
    <x v="4"/>
    <s v="Online"/>
    <s v="High"/>
    <n v="45257"/>
    <n v="183"/>
    <n v="240.07"/>
    <n v="283"/>
    <n v="43932.81"/>
    <x v="330"/>
  </r>
  <r>
    <s v="ORD0332"/>
    <x v="2"/>
    <x v="1"/>
    <x v="4"/>
    <s v="Offline"/>
    <s v="Low"/>
    <n v="45258"/>
    <n v="131"/>
    <n v="194.35"/>
    <n v="253.21"/>
    <n v="25459.85"/>
    <x v="331"/>
  </r>
  <r>
    <s v="ORD0333"/>
    <x v="1"/>
    <x v="2"/>
    <x v="2"/>
    <s v="Offline"/>
    <s v="Low"/>
    <n v="45259"/>
    <n v="152"/>
    <n v="64.319999999999993"/>
    <n v="21.84"/>
    <n v="9776.64"/>
    <x v="332"/>
  </r>
  <r>
    <s v="ORD0334"/>
    <x v="0"/>
    <x v="3"/>
    <x v="2"/>
    <s v="Offline"/>
    <s v="Medium"/>
    <n v="45260"/>
    <n v="491"/>
    <n v="487.21"/>
    <n v="361.76"/>
    <n v="239220.11"/>
    <x v="333"/>
  </r>
  <r>
    <s v="ORD0335"/>
    <x v="3"/>
    <x v="2"/>
    <x v="4"/>
    <s v="Online"/>
    <s v="High"/>
    <n v="45261"/>
    <n v="115"/>
    <n v="14.91"/>
    <n v="363.94"/>
    <n v="1714.65"/>
    <x v="334"/>
  </r>
  <r>
    <s v="ORD0336"/>
    <x v="1"/>
    <x v="2"/>
    <x v="0"/>
    <s v="Offline"/>
    <s v="High"/>
    <n v="45262"/>
    <n v="384"/>
    <n v="369.9"/>
    <n v="312.52"/>
    <n v="142041.59999999998"/>
    <x v="335"/>
  </r>
  <r>
    <s v="ORD0337"/>
    <x v="2"/>
    <x v="4"/>
    <x v="1"/>
    <s v="Online"/>
    <s v="Low"/>
    <n v="45263"/>
    <n v="437"/>
    <n v="385.46"/>
    <n v="4.8"/>
    <n v="168446.02"/>
    <x v="336"/>
  </r>
  <r>
    <s v="ORD0338"/>
    <x v="0"/>
    <x v="4"/>
    <x v="1"/>
    <s v="Offline"/>
    <s v="High"/>
    <n v="45264"/>
    <n v="314"/>
    <n v="125.61"/>
    <n v="24.8"/>
    <n v="39441.54"/>
    <x v="337"/>
  </r>
  <r>
    <s v="ORD0339"/>
    <x v="1"/>
    <x v="4"/>
    <x v="3"/>
    <s v="Online"/>
    <s v="High"/>
    <n v="45265"/>
    <n v="369"/>
    <n v="337.42"/>
    <n v="91.64"/>
    <n v="124507.98000000001"/>
    <x v="338"/>
  </r>
  <r>
    <s v="ORD0340"/>
    <x v="1"/>
    <x v="3"/>
    <x v="0"/>
    <s v="Online"/>
    <s v="Medium"/>
    <n v="45266"/>
    <n v="468"/>
    <n v="51"/>
    <n v="54.28"/>
    <n v="23868"/>
    <x v="339"/>
  </r>
  <r>
    <s v="ORD0341"/>
    <x v="0"/>
    <x v="4"/>
    <x v="2"/>
    <s v="Offline"/>
    <s v="High"/>
    <n v="45267"/>
    <n v="326"/>
    <n v="132.24"/>
    <n v="160.74"/>
    <n v="43110.240000000005"/>
    <x v="340"/>
  </r>
  <r>
    <s v="ORD0342"/>
    <x v="1"/>
    <x v="1"/>
    <x v="4"/>
    <s v="Offline"/>
    <s v="Medium"/>
    <n v="45268"/>
    <n v="460"/>
    <n v="395.01"/>
    <n v="369.2"/>
    <n v="181704.6"/>
    <x v="341"/>
  </r>
  <r>
    <s v="ORD0343"/>
    <x v="0"/>
    <x v="0"/>
    <x v="3"/>
    <s v="Online"/>
    <s v="Low"/>
    <n v="45269"/>
    <n v="132"/>
    <n v="433.02"/>
    <n v="189.88"/>
    <n v="57158.64"/>
    <x v="342"/>
  </r>
  <r>
    <s v="ORD0344"/>
    <x v="3"/>
    <x v="1"/>
    <x v="1"/>
    <s v="Offline"/>
    <s v="High"/>
    <n v="45270"/>
    <n v="399"/>
    <n v="306.2"/>
    <n v="7.33"/>
    <n v="122173.79999999999"/>
    <x v="343"/>
  </r>
  <r>
    <s v="ORD0345"/>
    <x v="0"/>
    <x v="1"/>
    <x v="2"/>
    <s v="Online"/>
    <s v="Low"/>
    <n v="45271"/>
    <n v="18"/>
    <n v="255.89"/>
    <n v="114.53"/>
    <n v="4606.0199999999995"/>
    <x v="344"/>
  </r>
  <r>
    <s v="ORD0346"/>
    <x v="0"/>
    <x v="4"/>
    <x v="2"/>
    <s v="Online"/>
    <s v="Low"/>
    <n v="45272"/>
    <n v="271"/>
    <n v="83.86"/>
    <n v="19.75"/>
    <n v="22726.06"/>
    <x v="345"/>
  </r>
  <r>
    <s v="ORD0347"/>
    <x v="0"/>
    <x v="0"/>
    <x v="4"/>
    <s v="Online"/>
    <s v="High"/>
    <n v="45273"/>
    <n v="82"/>
    <n v="36.24"/>
    <n v="16.440000000000001"/>
    <n v="2971.6800000000003"/>
    <x v="346"/>
  </r>
  <r>
    <s v="ORD0348"/>
    <x v="1"/>
    <x v="0"/>
    <x v="1"/>
    <s v="Online"/>
    <s v="High"/>
    <n v="45274"/>
    <n v="368"/>
    <n v="63.24"/>
    <n v="111.74"/>
    <n v="23272.32"/>
    <x v="347"/>
  </r>
  <r>
    <s v="ORD0349"/>
    <x v="1"/>
    <x v="0"/>
    <x v="0"/>
    <s v="Online"/>
    <s v="Low"/>
    <n v="45275"/>
    <n v="232"/>
    <n v="117.54"/>
    <n v="111.69"/>
    <n v="27269.280000000002"/>
    <x v="348"/>
  </r>
  <r>
    <s v="ORD0350"/>
    <x v="0"/>
    <x v="3"/>
    <x v="2"/>
    <s v="Offline"/>
    <s v="High"/>
    <n v="45276"/>
    <n v="425"/>
    <n v="174.13"/>
    <n v="315.27999999999997"/>
    <n v="74005.25"/>
    <x v="349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0">
  <r>
    <s v="ORD0001"/>
    <x v="0"/>
    <s v="Germany"/>
    <x v="0"/>
    <s v="Online"/>
    <s v="High"/>
    <n v="44927"/>
    <n v="235"/>
    <n v="152.91999999999999"/>
    <n v="153.6"/>
    <n v="35936.199999999997"/>
    <n v="-159.8000000000016"/>
  </r>
  <r>
    <s v="ORD0002"/>
    <x v="1"/>
    <s v="India"/>
    <x v="1"/>
    <s v="Online"/>
    <s v="Low"/>
    <n v="44928"/>
    <n v="341"/>
    <n v="467.92"/>
    <n v="139.84"/>
    <n v="159560.72"/>
    <n v="111875.28000000001"/>
  </r>
  <r>
    <s v="ORD0003"/>
    <x v="2"/>
    <s v="India"/>
    <x v="2"/>
    <s v="Offline"/>
    <s v="High"/>
    <n v="44929"/>
    <n v="179"/>
    <n v="473.94"/>
    <n v="97.14"/>
    <n v="84835.26"/>
    <n v="67447.199999999997"/>
  </r>
  <r>
    <s v="ORD0004"/>
    <x v="0"/>
    <s v="USA"/>
    <x v="3"/>
    <s v="Offline"/>
    <s v="Medium"/>
    <n v="44930"/>
    <n v="18"/>
    <n v="314.52999999999997"/>
    <n v="204.87"/>
    <n v="5661.5399999999991"/>
    <n v="1973.8799999999994"/>
  </r>
  <r>
    <s v="ORD0005"/>
    <x v="0"/>
    <s v="India"/>
    <x v="3"/>
    <s v="Offline"/>
    <s v="Medium"/>
    <n v="44931"/>
    <n v="472"/>
    <n v="392.79"/>
    <n v="330.46"/>
    <n v="185396.88"/>
    <n v="29419.76000000002"/>
  </r>
  <r>
    <s v="ORD0006"/>
    <x v="1"/>
    <s v="UK"/>
    <x v="2"/>
    <s v="Online"/>
    <s v="High"/>
    <n v="44932"/>
    <n v="49"/>
    <n v="308.07"/>
    <n v="113.32"/>
    <n v="15095.43"/>
    <n v="9542.75"/>
  </r>
  <r>
    <s v="ORD0007"/>
    <x v="2"/>
    <s v="Germany"/>
    <x v="2"/>
    <s v="Online"/>
    <s v="Low"/>
    <n v="44933"/>
    <n v="34"/>
    <n v="244.78"/>
    <n v="377.07"/>
    <n v="8322.52"/>
    <n v="-4497.8599999999997"/>
  </r>
  <r>
    <s v="ORD0008"/>
    <x v="2"/>
    <s v="India"/>
    <x v="0"/>
    <s v="Online"/>
    <s v="High"/>
    <n v="44934"/>
    <n v="270"/>
    <n v="332.11"/>
    <n v="349.59"/>
    <n v="89669.7"/>
    <n v="-4719.5999999999894"/>
  </r>
  <r>
    <s v="ORD0009"/>
    <x v="0"/>
    <s v="India"/>
    <x v="0"/>
    <s v="Online"/>
    <s v="Low"/>
    <n v="44935"/>
    <n v="404"/>
    <n v="278.74"/>
    <n v="66.38"/>
    <n v="112610.96"/>
    <n v="85793.44"/>
  </r>
  <r>
    <s v="ORD0010"/>
    <x v="0"/>
    <s v="USA"/>
    <x v="3"/>
    <s v="Online"/>
    <s v="Medium"/>
    <n v="44936"/>
    <n v="452"/>
    <n v="300.75"/>
    <n v="314.94"/>
    <n v="135939"/>
    <n v="-6413.8799999999992"/>
  </r>
  <r>
    <s v="ORD0011"/>
    <x v="0"/>
    <s v="USA"/>
    <x v="1"/>
    <s v="Online"/>
    <s v="Low"/>
    <n v="44937"/>
    <n v="235"/>
    <n v="393"/>
    <n v="230.69"/>
    <n v="92355"/>
    <n v="38142.85"/>
  </r>
  <r>
    <s v="ORD0012"/>
    <x v="0"/>
    <s v="UK"/>
    <x v="3"/>
    <s v="Offline"/>
    <s v="Medium"/>
    <n v="44938"/>
    <n v="481"/>
    <n v="243.05"/>
    <n v="227.5"/>
    <n v="116907.05"/>
    <n v="7479.5500000000056"/>
  </r>
  <r>
    <s v="ORD0013"/>
    <x v="0"/>
    <s v="Germany"/>
    <x v="1"/>
    <s v="Offline"/>
    <s v="Low"/>
    <n v="44939"/>
    <n v="133"/>
    <n v="25.17"/>
    <n v="157.63999999999999"/>
    <n v="3347.61"/>
    <n v="-17618.509999999995"/>
  </r>
  <r>
    <s v="ORD0014"/>
    <x v="0"/>
    <s v="USA"/>
    <x v="1"/>
    <s v="Offline"/>
    <s v="Low"/>
    <n v="44940"/>
    <n v="472"/>
    <n v="86.18"/>
    <n v="201.46"/>
    <n v="40676.960000000006"/>
    <n v="-54412.160000000003"/>
  </r>
  <r>
    <s v="ORD0015"/>
    <x v="1"/>
    <s v="India"/>
    <x v="0"/>
    <s v="Offline"/>
    <s v="Low"/>
    <n v="44941"/>
    <n v="47"/>
    <n v="222.11"/>
    <n v="160.08000000000001"/>
    <n v="10439.17"/>
    <n v="2915.41"/>
  </r>
  <r>
    <s v="ORD0016"/>
    <x v="2"/>
    <s v="Germany"/>
    <x v="4"/>
    <s v="Online"/>
    <s v="High"/>
    <n v="44942"/>
    <n v="337"/>
    <n v="363.79"/>
    <n v="216.81"/>
    <n v="122597.23000000001"/>
    <n v="49532.260000000009"/>
  </r>
  <r>
    <s v="ORD0017"/>
    <x v="1"/>
    <s v="Germany"/>
    <x v="4"/>
    <s v="Online"/>
    <s v="High"/>
    <n v="44943"/>
    <n v="260"/>
    <n v="298.67"/>
    <n v="251.92"/>
    <n v="77654.2"/>
    <n v="12155.000000000007"/>
  </r>
  <r>
    <s v="ORD0018"/>
    <x v="1"/>
    <s v="India"/>
    <x v="2"/>
    <s v="Offline"/>
    <s v="Medium"/>
    <n v="44944"/>
    <n v="398"/>
    <n v="326.89999999999998"/>
    <n v="270.37"/>
    <n v="130106.2"/>
    <n v="22498.939999999988"/>
  </r>
  <r>
    <s v="ORD0019"/>
    <x v="1"/>
    <s v="USA"/>
    <x v="0"/>
    <s v="Online"/>
    <s v="Medium"/>
    <n v="44945"/>
    <n v="185"/>
    <n v="242.24"/>
    <n v="213.93"/>
    <n v="44814.400000000001"/>
    <n v="5237.3500000000004"/>
  </r>
  <r>
    <s v="ORD0020"/>
    <x v="0"/>
    <s v="India"/>
    <x v="1"/>
    <s v="Offline"/>
    <s v="High"/>
    <n v="44946"/>
    <n v="99"/>
    <n v="309.79000000000002"/>
    <n v="289.13"/>
    <n v="30669.210000000003"/>
    <n v="2045.3400000000024"/>
  </r>
  <r>
    <s v="ORD0021"/>
    <x v="3"/>
    <s v="Germany"/>
    <x v="4"/>
    <s v="Offline"/>
    <s v="Medium"/>
    <n v="44947"/>
    <n v="411"/>
    <n v="167.86"/>
    <n v="58.23"/>
    <n v="68990.460000000006"/>
    <n v="45057.930000000008"/>
  </r>
  <r>
    <s v="ORD0022"/>
    <x v="2"/>
    <s v="Australia"/>
    <x v="1"/>
    <s v="Offline"/>
    <s v="High"/>
    <n v="44948"/>
    <n v="463"/>
    <n v="237.74"/>
    <n v="86.37"/>
    <n v="110073.62000000001"/>
    <n v="70084.31"/>
  </r>
  <r>
    <s v="ORD0023"/>
    <x v="3"/>
    <s v="Australia"/>
    <x v="4"/>
    <s v="Online"/>
    <s v="Low"/>
    <n v="44949"/>
    <n v="46"/>
    <n v="373.42"/>
    <n v="327.86"/>
    <n v="17177.32"/>
    <n v="2095.7600000000002"/>
  </r>
  <r>
    <s v="ORD0024"/>
    <x v="1"/>
    <s v="UK"/>
    <x v="4"/>
    <s v="Offline"/>
    <s v="Medium"/>
    <n v="44950"/>
    <n v="325"/>
    <n v="436.56"/>
    <n v="130.37"/>
    <n v="141882"/>
    <n v="99511.75"/>
  </r>
  <r>
    <s v="ORD0025"/>
    <x v="1"/>
    <s v="India"/>
    <x v="4"/>
    <s v="Offline"/>
    <s v="Medium"/>
    <n v="44951"/>
    <n v="185"/>
    <n v="219.66"/>
    <n v="11.11"/>
    <n v="40637.1"/>
    <n v="38581.75"/>
  </r>
  <r>
    <s v="ORD0026"/>
    <x v="3"/>
    <s v="India"/>
    <x v="0"/>
    <s v="Offline"/>
    <s v="High"/>
    <n v="44952"/>
    <n v="470"/>
    <n v="26.61"/>
    <n v="63.21"/>
    <n v="12506.699999999999"/>
    <n v="-17202"/>
  </r>
  <r>
    <s v="ORD0027"/>
    <x v="3"/>
    <s v="UK"/>
    <x v="3"/>
    <s v="Online"/>
    <s v="Medium"/>
    <n v="44953"/>
    <n v="293"/>
    <n v="85.03"/>
    <n v="91"/>
    <n v="24913.79"/>
    <n v="-1749.2099999999996"/>
  </r>
  <r>
    <s v="ORD0028"/>
    <x v="3"/>
    <s v="UK"/>
    <x v="1"/>
    <s v="Online"/>
    <s v="Medium"/>
    <n v="44954"/>
    <n v="462"/>
    <n v="249.64"/>
    <n v="383.01"/>
    <n v="115333.68"/>
    <n v="-61616.94"/>
  </r>
  <r>
    <s v="ORD0029"/>
    <x v="1"/>
    <s v="UK"/>
    <x v="0"/>
    <s v="Offline"/>
    <s v="Low"/>
    <n v="44955"/>
    <n v="470"/>
    <n v="328.37"/>
    <n v="230.07"/>
    <n v="154333.9"/>
    <n v="46201.000000000007"/>
  </r>
  <r>
    <s v="ORD0030"/>
    <x v="1"/>
    <s v="Germany"/>
    <x v="0"/>
    <s v="Online"/>
    <s v="Medium"/>
    <n v="44956"/>
    <n v="90"/>
    <n v="169.5"/>
    <n v="373.23"/>
    <n v="15255"/>
    <n v="-18335.7"/>
  </r>
  <r>
    <s v="ORD0031"/>
    <x v="1"/>
    <s v="India"/>
    <x v="0"/>
    <s v="Online"/>
    <s v="Low"/>
    <n v="44957"/>
    <n v="123"/>
    <n v="273.52999999999997"/>
    <n v="230.92"/>
    <n v="33644.189999999995"/>
    <n v="5241.0299999999979"/>
  </r>
  <r>
    <s v="ORD0032"/>
    <x v="2"/>
    <s v="Germany"/>
    <x v="0"/>
    <s v="Online"/>
    <s v="High"/>
    <n v="44958"/>
    <n v="49"/>
    <n v="249.17"/>
    <n v="192.78"/>
    <n v="12209.33"/>
    <n v="2763.1099999999992"/>
  </r>
  <r>
    <s v="ORD0033"/>
    <x v="1"/>
    <s v="UK"/>
    <x v="0"/>
    <s v="Online"/>
    <s v="Medium"/>
    <n v="44959"/>
    <n v="310"/>
    <n v="45.36"/>
    <n v="126.86"/>
    <n v="14061.6"/>
    <n v="-25265"/>
  </r>
  <r>
    <s v="ORD0034"/>
    <x v="3"/>
    <s v="India"/>
    <x v="2"/>
    <s v="Online"/>
    <s v="Low"/>
    <n v="44960"/>
    <n v="233"/>
    <n v="204.61"/>
    <n v="243.34"/>
    <n v="47674.130000000005"/>
    <n v="-9024.0899999999983"/>
  </r>
  <r>
    <s v="ORD0035"/>
    <x v="3"/>
    <s v="Germany"/>
    <x v="1"/>
    <s v="Online"/>
    <s v="High"/>
    <n v="44961"/>
    <n v="327"/>
    <n v="114.18"/>
    <n v="57.4"/>
    <n v="37336.86"/>
    <n v="18567.060000000001"/>
  </r>
  <r>
    <s v="ORD0036"/>
    <x v="2"/>
    <s v="Germany"/>
    <x v="0"/>
    <s v="Online"/>
    <s v="Medium"/>
    <n v="44962"/>
    <n v="358"/>
    <n v="212.11"/>
    <n v="359.51"/>
    <n v="75935.38"/>
    <n v="-52769.19999999999"/>
  </r>
  <r>
    <s v="ORD0037"/>
    <x v="1"/>
    <s v="UK"/>
    <x v="1"/>
    <s v="Online"/>
    <s v="High"/>
    <n v="44963"/>
    <n v="124"/>
    <n v="249.64"/>
    <n v="332.07"/>
    <n v="30955.359999999997"/>
    <n v="-10221.320000000002"/>
  </r>
  <r>
    <s v="ORD0038"/>
    <x v="2"/>
    <s v="India"/>
    <x v="2"/>
    <s v="Online"/>
    <s v="Medium"/>
    <n v="44964"/>
    <n v="195"/>
    <n v="421.02"/>
    <n v="128.38"/>
    <n v="82098.899999999994"/>
    <n v="57064.799999999996"/>
  </r>
  <r>
    <s v="ORD0039"/>
    <x v="2"/>
    <s v="UK"/>
    <x v="2"/>
    <s v="Online"/>
    <s v="High"/>
    <n v="44965"/>
    <n v="255.9"/>
    <n v="91.23"/>
    <n v="381.21"/>
    <n v="23345.757000000001"/>
    <n v="-74205.881999999998"/>
  </r>
  <r>
    <s v="ORD0040"/>
    <x v="0"/>
    <s v="India"/>
    <x v="1"/>
    <s v="Offline"/>
    <s v="High"/>
    <n v="44966"/>
    <n v="65"/>
    <n v="480.59"/>
    <n v="330.43"/>
    <n v="31238.35"/>
    <n v="9760.3999999999978"/>
  </r>
  <r>
    <s v="ORD0041"/>
    <x v="0"/>
    <s v="Australia"/>
    <x v="4"/>
    <s v="Offline"/>
    <s v="Low"/>
    <n v="44967"/>
    <n v="49"/>
    <n v="210.87"/>
    <n v="267.19"/>
    <n v="10332.630000000001"/>
    <n v="-2759.68"/>
  </r>
  <r>
    <s v="ORD0042"/>
    <x v="0"/>
    <s v="USA"/>
    <x v="3"/>
    <s v="Online"/>
    <s v="High"/>
    <n v="44968"/>
    <n v="363"/>
    <n v="423.89"/>
    <n v="50.46"/>
    <n v="153872.07"/>
    <n v="135555.09"/>
  </r>
  <r>
    <s v="ORD0043"/>
    <x v="3"/>
    <s v="USA"/>
    <x v="4"/>
    <s v="Offline"/>
    <s v="Medium"/>
    <n v="44969"/>
    <n v="49"/>
    <n v="316.24"/>
    <n v="192.34"/>
    <n v="15495.76"/>
    <n v="6071.1"/>
  </r>
  <r>
    <s v="ORD0044"/>
    <x v="1"/>
    <s v="USA"/>
    <x v="4"/>
    <s v="Offline"/>
    <s v="Medium"/>
    <n v="44970"/>
    <n v="356"/>
    <n v="369"/>
    <n v="203.43"/>
    <n v="131364"/>
    <n v="58942.92"/>
  </r>
  <r>
    <s v="ORD0045"/>
    <x v="1"/>
    <s v="UK"/>
    <x v="4"/>
    <s v="Online"/>
    <s v="Low"/>
    <n v="44971"/>
    <n v="470"/>
    <n v="249.64"/>
    <n v="94.56"/>
    <n v="117330.79999999999"/>
    <n v="72887.599999999991"/>
  </r>
  <r>
    <s v="ORD0046"/>
    <x v="1"/>
    <s v="Australia"/>
    <x v="0"/>
    <s v="Online"/>
    <s v="Medium"/>
    <n v="44972"/>
    <n v="246"/>
    <n v="254.9"/>
    <n v="33.83"/>
    <n v="62705.4"/>
    <n v="54383.22"/>
  </r>
  <r>
    <s v="ORD0047"/>
    <x v="1"/>
    <s v="India"/>
    <x v="2"/>
    <s v="Online"/>
    <s v="Medium"/>
    <n v="44973"/>
    <n v="298"/>
    <n v="273.93"/>
    <n v="311.14"/>
    <n v="81631.14"/>
    <n v="-11088.579999999994"/>
  </r>
  <r>
    <s v="ORD0048"/>
    <x v="0"/>
    <s v="Germany"/>
    <x v="4"/>
    <s v="Offline"/>
    <s v="Medium"/>
    <n v="44974"/>
    <n v="271"/>
    <n v="259.43"/>
    <n v="50.57"/>
    <n v="70305.53"/>
    <n v="56601.060000000005"/>
  </r>
  <r>
    <s v="ORD0049"/>
    <x v="3"/>
    <s v="India"/>
    <x v="2"/>
    <s v="Offline"/>
    <s v="High"/>
    <n v="44975"/>
    <n v="225"/>
    <n v="296.08999999999997"/>
    <n v="238.53"/>
    <n v="66620.25"/>
    <n v="12950.999999999995"/>
  </r>
  <r>
    <s v="ORD0050"/>
    <x v="3"/>
    <s v="Germany"/>
    <x v="1"/>
    <s v="Online"/>
    <s v="High"/>
    <n v="44976"/>
    <n v="156"/>
    <n v="19.55"/>
    <n v="374.71"/>
    <n v="3049.8"/>
    <n v="-55404.959999999992"/>
  </r>
  <r>
    <s v="ORD0051"/>
    <x v="0"/>
    <s v="India"/>
    <x v="3"/>
    <s v="Online"/>
    <s v="Medium"/>
    <n v="44977"/>
    <n v="345"/>
    <n v="200.78"/>
    <n v="350.69"/>
    <n v="69269.100000000006"/>
    <n v="-51718.95"/>
  </r>
  <r>
    <s v="ORD0052"/>
    <x v="3"/>
    <s v="Australia"/>
    <x v="1"/>
    <s v="Online"/>
    <s v="Low"/>
    <n v="44978"/>
    <n v="177"/>
    <n v="305.06"/>
    <n v="112.55"/>
    <n v="53995.62"/>
    <n v="34074.269999999997"/>
  </r>
  <r>
    <s v="ORD0053"/>
    <x v="0"/>
    <s v="Germany"/>
    <x v="1"/>
    <s v="Offline"/>
    <s v="High"/>
    <n v="44979"/>
    <n v="101"/>
    <n v="300.87"/>
    <n v="340.88"/>
    <n v="30387.87"/>
    <n v="-4041.0099999999993"/>
  </r>
  <r>
    <s v="ORD0054"/>
    <x v="1"/>
    <s v="UK"/>
    <x v="0"/>
    <s v="Offline"/>
    <s v="Low"/>
    <n v="44980"/>
    <n v="362"/>
    <n v="397.51"/>
    <n v="2.13"/>
    <n v="143898.62"/>
    <n v="143127.56"/>
  </r>
  <r>
    <s v="ORD0055"/>
    <x v="0"/>
    <s v="India"/>
    <x v="3"/>
    <s v="Offline"/>
    <s v="Medium"/>
    <n v="44981"/>
    <n v="68"/>
    <n v="329.23"/>
    <n v="9.0399999999999991"/>
    <n v="22387.64"/>
    <n v="21772.92"/>
  </r>
  <r>
    <s v="ORD0056"/>
    <x v="1"/>
    <s v="India"/>
    <x v="1"/>
    <s v="Offline"/>
    <s v="Medium"/>
    <n v="44982"/>
    <n v="68"/>
    <n v="496.11"/>
    <n v="241.82"/>
    <n v="33735.480000000003"/>
    <n v="17291.72"/>
  </r>
  <r>
    <s v="ORD0057"/>
    <x v="1"/>
    <s v="Germany"/>
    <x v="1"/>
    <s v="Online"/>
    <s v="High"/>
    <n v="44983"/>
    <n v="313"/>
    <n v="145.51"/>
    <n v="147.19"/>
    <n v="45544.63"/>
    <n v="-525.84000000000219"/>
  </r>
  <r>
    <s v="ORD0058"/>
    <x v="2"/>
    <s v="UK"/>
    <x v="3"/>
    <s v="Online"/>
    <s v="Medium"/>
    <n v="44984"/>
    <n v="178"/>
    <n v="182.78"/>
    <n v="155.81"/>
    <n v="32534.84"/>
    <n v="4800.66"/>
  </r>
  <r>
    <s v="ORD0059"/>
    <x v="0"/>
    <s v="UK"/>
    <x v="3"/>
    <s v="Online"/>
    <s v="High"/>
    <n v="44985"/>
    <n v="278"/>
    <n v="195"/>
    <n v="226.65"/>
    <n v="54210"/>
    <n v="-8798.7000000000007"/>
  </r>
  <r>
    <s v="ORD0060"/>
    <x v="2"/>
    <s v="Australia"/>
    <x v="1"/>
    <s v="Online"/>
    <s v="Medium"/>
    <n v="44986"/>
    <n v="372"/>
    <n v="235.58"/>
    <n v="78.33"/>
    <n v="87635.760000000009"/>
    <n v="58497"/>
  </r>
  <r>
    <s v="ORD0061"/>
    <x v="0"/>
    <s v="UK"/>
    <x v="3"/>
    <s v="Offline"/>
    <s v="Medium"/>
    <n v="44987"/>
    <n v="54"/>
    <n v="418.82"/>
    <n v="86.28"/>
    <n v="22616.28"/>
    <n v="17957.159999999996"/>
  </r>
  <r>
    <s v="ORD0062"/>
    <x v="0"/>
    <s v="UK"/>
    <x v="1"/>
    <s v="Offline"/>
    <s v="High"/>
    <n v="44988"/>
    <n v="354"/>
    <n v="121.72"/>
    <n v="194.87"/>
    <n v="43088.88"/>
    <n v="-25895.100000000002"/>
  </r>
  <r>
    <s v="ORD0063"/>
    <x v="2"/>
    <s v="UK"/>
    <x v="1"/>
    <s v="Online"/>
    <s v="High"/>
    <n v="44989"/>
    <n v="190"/>
    <n v="389.12"/>
    <n v="302.19"/>
    <n v="73932.800000000003"/>
    <n v="16516.7"/>
  </r>
  <r>
    <s v="ORD0064"/>
    <x v="2"/>
    <s v="USA"/>
    <x v="0"/>
    <s v="Online"/>
    <s v="High"/>
    <n v="44990"/>
    <n v="179"/>
    <n v="205.63"/>
    <n v="248.56"/>
    <n v="36807.769999999997"/>
    <n v="-7684.4700000000012"/>
  </r>
  <r>
    <s v="ORD0065"/>
    <x v="0"/>
    <s v="Australia"/>
    <x v="4"/>
    <s v="Offline"/>
    <s v="Medium"/>
    <n v="44991"/>
    <n v="365"/>
    <n v="302.92"/>
    <n v="120.35"/>
    <n v="110565.8"/>
    <n v="66638.05"/>
  </r>
  <r>
    <s v="ORD0066"/>
    <x v="3"/>
    <s v="India"/>
    <x v="1"/>
    <s v="Online"/>
    <s v="Medium"/>
    <n v="44992"/>
    <n v="200"/>
    <n v="318.11"/>
    <n v="173.27"/>
    <n v="63622"/>
    <n v="28968"/>
  </r>
  <r>
    <s v="ORD0067"/>
    <x v="1"/>
    <s v="Germany"/>
    <x v="2"/>
    <s v="Offline"/>
    <s v="Low"/>
    <n v="44993"/>
    <n v="164"/>
    <n v="189.56"/>
    <n v="69.92"/>
    <n v="31087.84"/>
    <n v="19620.96"/>
  </r>
  <r>
    <s v="ORD0068"/>
    <x v="2"/>
    <s v="India"/>
    <x v="4"/>
    <s v="Online"/>
    <s v="High"/>
    <n v="44994"/>
    <n v="431"/>
    <n v="258.74"/>
    <n v="31.7"/>
    <n v="111516.94"/>
    <n v="97854.24"/>
  </r>
  <r>
    <s v="ORD0069"/>
    <x v="1"/>
    <s v="Australia"/>
    <x v="4"/>
    <s v="Online"/>
    <s v="Medium"/>
    <n v="44995"/>
    <n v="197"/>
    <n v="209.45"/>
    <n v="313.51"/>
    <n v="41261.649999999994"/>
    <n v="-20499.82"/>
  </r>
  <r>
    <s v="ORD0070"/>
    <x v="3"/>
    <s v="Germany"/>
    <x v="4"/>
    <s v="Online"/>
    <s v="Medium"/>
    <n v="44996"/>
    <n v="16"/>
    <n v="39.22"/>
    <n v="107.62"/>
    <n v="627.52"/>
    <n v="-1094.4000000000001"/>
  </r>
  <r>
    <s v="ORD0071"/>
    <x v="3"/>
    <s v="Australia"/>
    <x v="0"/>
    <s v="Online"/>
    <s v="High"/>
    <n v="44997"/>
    <n v="142"/>
    <n v="221.4"/>
    <n v="72.75"/>
    <n v="31438.799999999999"/>
    <n v="21108.3"/>
  </r>
  <r>
    <s v="ORD0072"/>
    <x v="3"/>
    <s v="UK"/>
    <x v="1"/>
    <s v="Online"/>
    <s v="Low"/>
    <n v="44998"/>
    <n v="244"/>
    <n v="53.21"/>
    <n v="277.26"/>
    <n v="12983.24"/>
    <n v="-54668.2"/>
  </r>
  <r>
    <s v="ORD0073"/>
    <x v="2"/>
    <s v="Germany"/>
    <x v="0"/>
    <s v="Online"/>
    <s v="High"/>
    <n v="44999"/>
    <n v="54"/>
    <n v="205.49"/>
    <n v="247.98"/>
    <n v="11096.460000000001"/>
    <n v="-2294.4599999999991"/>
  </r>
  <r>
    <s v="ORD0074"/>
    <x v="3"/>
    <s v="UK"/>
    <x v="1"/>
    <s v="Online"/>
    <s v="Low"/>
    <n v="45000"/>
    <n v="323"/>
    <n v="298.49"/>
    <n v="254.01"/>
    <n v="96412.27"/>
    <n v="14367.040000000006"/>
  </r>
  <r>
    <s v="ORD0075"/>
    <x v="2"/>
    <s v="India"/>
    <x v="0"/>
    <s v="Offline"/>
    <s v="Medium"/>
    <n v="45001"/>
    <n v="258"/>
    <n v="291.81"/>
    <n v="93.1"/>
    <n v="75286.98"/>
    <n v="51267.18"/>
  </r>
  <r>
    <s v="ORD0076"/>
    <x v="3"/>
    <s v="India"/>
    <x v="0"/>
    <s v="Offline"/>
    <s v="Low"/>
    <n v="45002"/>
    <n v="40"/>
    <n v="333"/>
    <n v="94.59"/>
    <n v="13320"/>
    <n v="9536.4"/>
  </r>
  <r>
    <s v="ORD0077"/>
    <x v="1"/>
    <s v="Germany"/>
    <x v="2"/>
    <s v="Offline"/>
    <s v="Medium"/>
    <n v="45003"/>
    <n v="32"/>
    <n v="52.15"/>
    <n v="89.88"/>
    <n v="1668.8"/>
    <n v="-1207.3599999999999"/>
  </r>
  <r>
    <s v="ORD0078"/>
    <x v="1"/>
    <s v="Germany"/>
    <x v="0"/>
    <s v="Offline"/>
    <s v="High"/>
    <n v="45004"/>
    <n v="435"/>
    <n v="327.8"/>
    <n v="71.150000000000006"/>
    <n v="142593"/>
    <n v="111642.74999999999"/>
  </r>
  <r>
    <s v="ORD0079"/>
    <x v="0"/>
    <s v="Australia"/>
    <x v="3"/>
    <s v="Offline"/>
    <s v="High"/>
    <n v="45005"/>
    <n v="403"/>
    <n v="159.51"/>
    <n v="262.98"/>
    <n v="64282.53"/>
    <n v="-41698.410000000011"/>
  </r>
  <r>
    <s v="ORD0080"/>
    <x v="1"/>
    <s v="Australia"/>
    <x v="2"/>
    <s v="Online"/>
    <s v="High"/>
    <n v="45006"/>
    <n v="169"/>
    <n v="249.64"/>
    <n v="339.51"/>
    <n v="42189.159999999996"/>
    <n v="-15188.03"/>
  </r>
  <r>
    <s v="ORD0081"/>
    <x v="0"/>
    <s v="UK"/>
    <x v="0"/>
    <s v="Online"/>
    <s v="Low"/>
    <n v="45007"/>
    <n v="372"/>
    <n v="429.7"/>
    <n v="290.27999999999997"/>
    <n v="159848.4"/>
    <n v="51864.240000000005"/>
  </r>
  <r>
    <s v="ORD0082"/>
    <x v="1"/>
    <s v="Germany"/>
    <x v="4"/>
    <s v="Offline"/>
    <s v="Medium"/>
    <n v="45008"/>
    <n v="446"/>
    <n v="9.4700000000000006"/>
    <n v="317.25"/>
    <n v="4223.62"/>
    <n v="-137269.87999999998"/>
  </r>
  <r>
    <s v="ORD0083"/>
    <x v="2"/>
    <s v="India"/>
    <x v="3"/>
    <s v="Online"/>
    <s v="High"/>
    <n v="45009"/>
    <n v="167"/>
    <n v="296.26"/>
    <n v="163.11000000000001"/>
    <n v="49475.42"/>
    <n v="22236.049999999996"/>
  </r>
  <r>
    <s v="ORD0084"/>
    <x v="1"/>
    <s v="Australia"/>
    <x v="3"/>
    <s v="Offline"/>
    <s v="High"/>
    <n v="45010"/>
    <n v="48"/>
    <n v="301.36"/>
    <n v="262.32"/>
    <n v="14465.28"/>
    <n v="1873.920000000001"/>
  </r>
  <r>
    <s v="ORD0085"/>
    <x v="0"/>
    <s v="Australia"/>
    <x v="3"/>
    <s v="Offline"/>
    <s v="Medium"/>
    <n v="45011"/>
    <n v="424"/>
    <n v="201.35"/>
    <n v="142.99"/>
    <n v="85372.4"/>
    <n v="24744.639999999992"/>
  </r>
  <r>
    <s v="ORD0086"/>
    <x v="0"/>
    <s v="India"/>
    <x v="2"/>
    <s v="Online"/>
    <s v="High"/>
    <n v="45012"/>
    <n v="91"/>
    <n v="122.33"/>
    <n v="211.15"/>
    <n v="11132.03"/>
    <n v="-8082.6200000000008"/>
  </r>
  <r>
    <s v="ORD0087"/>
    <x v="3"/>
    <s v="Australia"/>
    <x v="0"/>
    <s v="Online"/>
    <s v="Medium"/>
    <n v="45013"/>
    <n v="365"/>
    <n v="121.16"/>
    <n v="193.69"/>
    <n v="44223.4"/>
    <n v="-26473.45"/>
  </r>
  <r>
    <s v="ORD0088"/>
    <x v="2"/>
    <s v="UK"/>
    <x v="0"/>
    <s v="Online"/>
    <s v="Medium"/>
    <n v="45014"/>
    <n v="267"/>
    <n v="442.44"/>
    <n v="72.400000000000006"/>
    <n v="118131.48"/>
    <n v="98800.68"/>
  </r>
  <r>
    <s v="ORD0089"/>
    <x v="1"/>
    <s v="Germany"/>
    <x v="4"/>
    <s v="Offline"/>
    <s v="Medium"/>
    <n v="45015"/>
    <n v="215"/>
    <n v="223.8"/>
    <n v="156.06"/>
    <n v="48117"/>
    <n v="14564.100000000002"/>
  </r>
  <r>
    <s v="ORD0090"/>
    <x v="3"/>
    <s v="India"/>
    <x v="4"/>
    <s v="Online"/>
    <s v="Medium"/>
    <n v="45016"/>
    <n v="86"/>
    <n v="168.79"/>
    <n v="385.6"/>
    <n v="14515.939999999999"/>
    <n v="-18645.660000000003"/>
  </r>
  <r>
    <s v="ORD0091"/>
    <x v="1"/>
    <s v="Germany"/>
    <x v="3"/>
    <s v="Offline"/>
    <s v="Medium"/>
    <n v="45017"/>
    <n v="486"/>
    <n v="227.14"/>
    <n v="100.93"/>
    <n v="110390.04"/>
    <n v="61338.05999999999"/>
  </r>
  <r>
    <s v="ORD0092"/>
    <x v="1"/>
    <s v="Australia"/>
    <x v="4"/>
    <s v="Offline"/>
    <s v="Low"/>
    <n v="45018"/>
    <n v="21"/>
    <n v="249.64"/>
    <n v="55.25"/>
    <n v="5242.4399999999996"/>
    <n v="4082.1899999999996"/>
  </r>
  <r>
    <s v="ORD0093"/>
    <x v="3"/>
    <s v="Australia"/>
    <x v="2"/>
    <s v="Offline"/>
    <s v="High"/>
    <n v="45019"/>
    <n v="304"/>
    <n v="77.150000000000006"/>
    <n v="168.6"/>
    <n v="23453.600000000002"/>
    <n v="-27800.799999999996"/>
  </r>
  <r>
    <s v="ORD0094"/>
    <x v="3"/>
    <s v="India"/>
    <x v="0"/>
    <s v="Online"/>
    <s v="Low"/>
    <n v="45020"/>
    <n v="459"/>
    <n v="227.47"/>
    <n v="316.55"/>
    <n v="104408.73"/>
    <n v="-40887.720000000008"/>
  </r>
  <r>
    <s v="ORD0095"/>
    <x v="3"/>
    <s v="UK"/>
    <x v="3"/>
    <s v="Online"/>
    <s v="High"/>
    <n v="45021"/>
    <n v="233"/>
    <n v="296"/>
    <n v="233.69"/>
    <n v="68968"/>
    <n v="14518.230000000001"/>
  </r>
  <r>
    <s v="ORD0096"/>
    <x v="3"/>
    <s v="USA"/>
    <x v="4"/>
    <s v="Offline"/>
    <s v="Low"/>
    <n v="45022"/>
    <n v="22"/>
    <n v="474.55"/>
    <n v="273.02999999999997"/>
    <n v="10440.1"/>
    <n v="4433.4400000000005"/>
  </r>
  <r>
    <s v="ORD0097"/>
    <x v="3"/>
    <s v="India"/>
    <x v="2"/>
    <s v="Online"/>
    <s v="Medium"/>
    <n v="45023"/>
    <n v="55"/>
    <n v="130"/>
    <n v="77.5"/>
    <n v="7150"/>
    <n v="2887.5"/>
  </r>
  <r>
    <s v="ORD0098"/>
    <x v="1"/>
    <s v="USA"/>
    <x v="2"/>
    <s v="Online"/>
    <s v="High"/>
    <n v="45024"/>
    <n v="164"/>
    <n v="182.83"/>
    <n v="248.34"/>
    <n v="29984.120000000003"/>
    <n v="-10743.64"/>
  </r>
  <r>
    <s v="ORD0099"/>
    <x v="3"/>
    <s v="USA"/>
    <x v="4"/>
    <s v="Online"/>
    <s v="High"/>
    <n v="45025"/>
    <n v="122"/>
    <n v="192.78"/>
    <n v="130.75"/>
    <n v="23519.16"/>
    <n v="7567.66"/>
  </r>
  <r>
    <s v="ORD0100"/>
    <x v="2"/>
    <s v="UK"/>
    <x v="0"/>
    <s v="Offline"/>
    <s v="Low"/>
    <n v="45026"/>
    <n v="242"/>
    <n v="304.74"/>
    <n v="334.05"/>
    <n v="73747.08"/>
    <n v="-7093.02"/>
  </r>
  <r>
    <s v="ORD0101"/>
    <x v="0"/>
    <s v="USA"/>
    <x v="4"/>
    <s v="Offline"/>
    <s v="Low"/>
    <n v="45027"/>
    <n v="26"/>
    <n v="181.58"/>
    <n v="252.46"/>
    <n v="4721.08"/>
    <n v="-1842.8799999999999"/>
  </r>
  <r>
    <s v="ORD0102"/>
    <x v="3"/>
    <s v="USA"/>
    <x v="3"/>
    <s v="Online"/>
    <s v="High"/>
    <n v="45028"/>
    <n v="369"/>
    <n v="269.08999999999997"/>
    <n v="81.14"/>
    <n v="99294.209999999992"/>
    <n v="69353.55"/>
  </r>
  <r>
    <s v="ORD0103"/>
    <x v="3"/>
    <s v="UK"/>
    <x v="4"/>
    <s v="Offline"/>
    <s v="Low"/>
    <n v="45029"/>
    <n v="232"/>
    <n v="391.99"/>
    <n v="27.72"/>
    <n v="90941.680000000008"/>
    <n v="84510.64"/>
  </r>
  <r>
    <s v="ORD0104"/>
    <x v="1"/>
    <s v="USA"/>
    <x v="2"/>
    <s v="Online"/>
    <s v="Low"/>
    <n v="45030"/>
    <n v="363"/>
    <n v="354.17"/>
    <n v="18.97"/>
    <n v="128563.71"/>
    <n v="121677.60000000002"/>
  </r>
  <r>
    <s v="ORD0105"/>
    <x v="3"/>
    <s v="USA"/>
    <x v="4"/>
    <s v="Online"/>
    <s v="Low"/>
    <n v="45031"/>
    <n v="197"/>
    <n v="225.95"/>
    <n v="149.82"/>
    <n v="44512.149999999994"/>
    <n v="14997.609999999999"/>
  </r>
  <r>
    <s v="ORD0106"/>
    <x v="3"/>
    <s v="USA"/>
    <x v="0"/>
    <s v="Online"/>
    <s v="Medium"/>
    <n v="45032"/>
    <n v="457"/>
    <n v="432.79"/>
    <n v="107.81"/>
    <n v="197785.03"/>
    <n v="148515.86000000002"/>
  </r>
  <r>
    <s v="ORD0107"/>
    <x v="3"/>
    <s v="India"/>
    <x v="1"/>
    <s v="Online"/>
    <s v="Medium"/>
    <n v="45033"/>
    <n v="353"/>
    <n v="281.27999999999997"/>
    <n v="259.14"/>
    <n v="99291.839999999997"/>
    <n v="7815.4199999999955"/>
  </r>
  <r>
    <s v="ORD0108"/>
    <x v="1"/>
    <s v="India"/>
    <x v="4"/>
    <s v="Offline"/>
    <s v="Low"/>
    <n v="45034"/>
    <n v="374"/>
    <n v="272.25"/>
    <n v="200.73"/>
    <n v="101821.5"/>
    <n v="26748.480000000003"/>
  </r>
  <r>
    <s v="ORD0109"/>
    <x v="3"/>
    <s v="India"/>
    <x v="0"/>
    <s v="Offline"/>
    <s v="Low"/>
    <n v="45035"/>
    <n v="172"/>
    <n v="21.92"/>
    <n v="107.88"/>
    <n v="3770.2400000000002"/>
    <n v="-14785.119999999999"/>
  </r>
  <r>
    <s v="ORD0110"/>
    <x v="0"/>
    <s v="UK"/>
    <x v="0"/>
    <s v="Offline"/>
    <s v="Medium"/>
    <n v="45036"/>
    <n v="335"/>
    <n v="493.41"/>
    <n v="61.4"/>
    <n v="165292.35"/>
    <n v="144723.35"/>
  </r>
  <r>
    <s v="ORD0111"/>
    <x v="1"/>
    <s v="Australia"/>
    <x v="2"/>
    <s v="Online"/>
    <s v="Medium"/>
    <n v="45037"/>
    <n v="476"/>
    <n v="65.87"/>
    <n v="52.63"/>
    <n v="31354.120000000003"/>
    <n v="6302.2400000000007"/>
  </r>
  <r>
    <s v="ORD0112"/>
    <x v="0"/>
    <s v="USA"/>
    <x v="0"/>
    <s v="Online"/>
    <s v="High"/>
    <n v="45038"/>
    <n v="423"/>
    <n v="119.41"/>
    <n v="346.13"/>
    <n v="50510.43"/>
    <n v="-95902.56"/>
  </r>
  <r>
    <s v="ORD0113"/>
    <x v="1"/>
    <s v="USA"/>
    <x v="0"/>
    <s v="Online"/>
    <s v="High"/>
    <n v="45039"/>
    <n v="464"/>
    <n v="30.59"/>
    <n v="98.9"/>
    <n v="14193.76"/>
    <n v="-31695.84"/>
  </r>
  <r>
    <s v="ORD0114"/>
    <x v="3"/>
    <s v="UK"/>
    <x v="0"/>
    <s v="Offline"/>
    <s v="Medium"/>
    <n v="45040"/>
    <n v="83"/>
    <n v="321.8"/>
    <n v="261.38"/>
    <n v="26709.4"/>
    <n v="5014.8600000000015"/>
  </r>
  <r>
    <s v="ORD0115"/>
    <x v="0"/>
    <s v="USA"/>
    <x v="0"/>
    <s v="Online"/>
    <s v="Low"/>
    <n v="45041"/>
    <n v="242"/>
    <n v="116.23"/>
    <n v="324.64999999999998"/>
    <n v="28127.66"/>
    <n v="-50437.639999999992"/>
  </r>
  <r>
    <s v="ORD0116"/>
    <x v="1"/>
    <s v="India"/>
    <x v="3"/>
    <s v="Offline"/>
    <s v="Low"/>
    <n v="45042"/>
    <n v="233"/>
    <n v="94.11"/>
    <n v="246.4"/>
    <n v="21927.63"/>
    <n v="-35483.570000000007"/>
  </r>
  <r>
    <s v="ORD0117"/>
    <x v="2"/>
    <s v="Australia"/>
    <x v="3"/>
    <s v="Offline"/>
    <s v="Low"/>
    <n v="45043"/>
    <n v="491"/>
    <n v="48.84"/>
    <n v="344.11"/>
    <n v="23980.440000000002"/>
    <n v="-144977.56999999998"/>
  </r>
  <r>
    <s v="ORD0118"/>
    <x v="2"/>
    <s v="Germany"/>
    <x v="2"/>
    <s v="Offline"/>
    <s v="Low"/>
    <n v="45044"/>
    <n v="328"/>
    <n v="56.14"/>
    <n v="158.16999999999999"/>
    <n v="18413.920000000002"/>
    <n v="-33465.839999999997"/>
  </r>
  <r>
    <s v="ORD0119"/>
    <x v="1"/>
    <s v="USA"/>
    <x v="4"/>
    <s v="Offline"/>
    <s v="High"/>
    <n v="45045"/>
    <n v="421"/>
    <n v="294.41000000000003"/>
    <n v="382.58"/>
    <n v="123946.61000000002"/>
    <n v="-37119.569999999985"/>
  </r>
  <r>
    <s v="ORD0120"/>
    <x v="2"/>
    <s v="India"/>
    <x v="0"/>
    <s v="Offline"/>
    <s v="Medium"/>
    <n v="45046"/>
    <n v="69"/>
    <n v="345.66"/>
    <n v="54.99"/>
    <n v="23850.54"/>
    <n v="20056.23"/>
  </r>
  <r>
    <s v="ORD0121"/>
    <x v="1"/>
    <s v="Germany"/>
    <x v="4"/>
    <s v="Offline"/>
    <s v="Low"/>
    <n v="45047"/>
    <n v="344"/>
    <n v="201.7"/>
    <n v="42.66"/>
    <n v="69384.800000000003"/>
    <n v="54709.759999999995"/>
  </r>
  <r>
    <s v="ORD0122"/>
    <x v="1"/>
    <s v="Australia"/>
    <x v="4"/>
    <s v="Online"/>
    <s v="High"/>
    <n v="45048"/>
    <n v="231"/>
    <n v="242.55"/>
    <n v="264.16000000000003"/>
    <n v="56029.05"/>
    <n v="-4991.9100000000035"/>
  </r>
  <r>
    <s v="ORD0123"/>
    <x v="3"/>
    <s v="Germany"/>
    <x v="2"/>
    <s v="Online"/>
    <s v="Low"/>
    <n v="45049"/>
    <n v="46"/>
    <n v="344.55"/>
    <n v="377.25"/>
    <n v="15849.300000000001"/>
    <n v="-1504.1999999999994"/>
  </r>
  <r>
    <s v="ORD0124"/>
    <x v="0"/>
    <s v="India"/>
    <x v="0"/>
    <s v="Offline"/>
    <s v="Medium"/>
    <n v="45050"/>
    <n v="486"/>
    <n v="13.6"/>
    <n v="323.94"/>
    <n v="6609.5999999999995"/>
    <n v="-150825.24"/>
  </r>
  <r>
    <s v="ORD0125"/>
    <x v="2"/>
    <s v="Germany"/>
    <x v="0"/>
    <s v="Offline"/>
    <s v="High"/>
    <n v="45051"/>
    <n v="287"/>
    <n v="164.95"/>
    <n v="32.409999999999997"/>
    <n v="47340.649999999994"/>
    <n v="38038.979999999996"/>
  </r>
  <r>
    <s v="ORD0126"/>
    <x v="1"/>
    <s v="UK"/>
    <x v="1"/>
    <s v="Online"/>
    <s v="Medium"/>
    <n v="45052"/>
    <n v="205"/>
    <n v="486.68"/>
    <n v="113.19"/>
    <n v="99769.4"/>
    <n v="76565.45"/>
  </r>
  <r>
    <s v="ORD0127"/>
    <x v="3"/>
    <s v="Germany"/>
    <x v="4"/>
    <s v="Offline"/>
    <s v="Medium"/>
    <n v="45053"/>
    <n v="413"/>
    <n v="292.16000000000003"/>
    <n v="372.27"/>
    <n v="120662.08000000002"/>
    <n v="-33085.429999999986"/>
  </r>
  <r>
    <s v="ORD0128"/>
    <x v="2"/>
    <s v="USA"/>
    <x v="4"/>
    <s v="Offline"/>
    <s v="High"/>
    <n v="45054"/>
    <n v="361"/>
    <n v="130.84"/>
    <n v="102.72"/>
    <n v="47233.24"/>
    <n v="10151.320000000002"/>
  </r>
  <r>
    <s v="ORD0129"/>
    <x v="1"/>
    <s v="USA"/>
    <x v="3"/>
    <s v="Online"/>
    <s v="High"/>
    <n v="45055"/>
    <n v="493"/>
    <n v="263.26"/>
    <n v="312.91000000000003"/>
    <n v="129787.18"/>
    <n v="-24477.450000000015"/>
  </r>
  <r>
    <s v="ORD0130"/>
    <x v="1"/>
    <s v="UK"/>
    <x v="1"/>
    <s v="Offline"/>
    <s v="High"/>
    <n v="45056"/>
    <n v="251"/>
    <n v="174.61"/>
    <n v="330.4"/>
    <n v="43827.11"/>
    <n v="-39103.289999999994"/>
  </r>
  <r>
    <s v="ORD0131"/>
    <x v="1"/>
    <s v="India"/>
    <x v="3"/>
    <s v="Offline"/>
    <s v="High"/>
    <n v="45057"/>
    <n v="255.9"/>
    <n v="268.45999999999998"/>
    <n v="199.19"/>
    <n v="68698.91399999999"/>
    <n v="17726.192999999996"/>
  </r>
  <r>
    <s v="ORD0132"/>
    <x v="2"/>
    <s v="USA"/>
    <x v="3"/>
    <s v="Offline"/>
    <s v="High"/>
    <n v="45058"/>
    <n v="228"/>
    <n v="67.239999999999995"/>
    <n v="155.77000000000001"/>
    <n v="15330.72"/>
    <n v="-20184.840000000004"/>
  </r>
  <r>
    <s v="ORD0133"/>
    <x v="2"/>
    <s v="Australia"/>
    <x v="3"/>
    <s v="Online"/>
    <s v="High"/>
    <n v="45059"/>
    <n v="201"/>
    <n v="70.69"/>
    <n v="181.15"/>
    <n v="14208.689999999999"/>
    <n v="-22202.460000000003"/>
  </r>
  <r>
    <s v="ORD0134"/>
    <x v="2"/>
    <s v="USA"/>
    <x v="2"/>
    <s v="Online"/>
    <s v="High"/>
    <n v="45060"/>
    <n v="26"/>
    <n v="76.05"/>
    <n v="92.33"/>
    <n v="1977.3"/>
    <n v="-423.28000000000003"/>
  </r>
  <r>
    <s v="ORD0135"/>
    <x v="0"/>
    <s v="USA"/>
    <x v="2"/>
    <s v="Online"/>
    <s v="Low"/>
    <n v="45061"/>
    <n v="21"/>
    <n v="470.21"/>
    <n v="355.98"/>
    <n v="9874.41"/>
    <n v="2398.829999999999"/>
  </r>
  <r>
    <s v="ORD0136"/>
    <x v="2"/>
    <s v="India"/>
    <x v="3"/>
    <s v="Offline"/>
    <s v="Medium"/>
    <n v="45062"/>
    <n v="415"/>
    <n v="367.78"/>
    <n v="181.35"/>
    <n v="152628.69999999998"/>
    <n v="77368.45"/>
  </r>
  <r>
    <s v="ORD0137"/>
    <x v="2"/>
    <s v="Germany"/>
    <x v="1"/>
    <s v="Offline"/>
    <s v="High"/>
    <n v="45063"/>
    <n v="410"/>
    <n v="85.38"/>
    <n v="353.22"/>
    <n v="35005.799999999996"/>
    <n v="-109814.40000000001"/>
  </r>
  <r>
    <s v="ORD0138"/>
    <x v="2"/>
    <s v="USA"/>
    <x v="4"/>
    <s v="Online"/>
    <s v="Low"/>
    <n v="45064"/>
    <n v="403"/>
    <n v="98.23"/>
    <n v="44.07"/>
    <n v="39586.69"/>
    <n v="21826.480000000003"/>
  </r>
  <r>
    <s v="ORD0139"/>
    <x v="0"/>
    <s v="UK"/>
    <x v="1"/>
    <s v="Offline"/>
    <s v="Low"/>
    <n v="45065"/>
    <n v="383"/>
    <n v="366.76"/>
    <n v="395.33"/>
    <n v="140469.07999999999"/>
    <n v="-10942.309999999998"/>
  </r>
  <r>
    <s v="ORD0140"/>
    <x v="2"/>
    <s v="Germany"/>
    <x v="0"/>
    <s v="Offline"/>
    <s v="Low"/>
    <n v="45066"/>
    <n v="202"/>
    <n v="82.3"/>
    <n v="178.42"/>
    <n v="16624.599999999999"/>
    <n v="-19416.239999999998"/>
  </r>
  <r>
    <s v="ORD0141"/>
    <x v="1"/>
    <s v="Australia"/>
    <x v="2"/>
    <s v="Offline"/>
    <s v="Medium"/>
    <n v="45067"/>
    <n v="31"/>
    <n v="121.11"/>
    <n v="21.04"/>
    <n v="3754.41"/>
    <n v="3102.1699999999996"/>
  </r>
  <r>
    <s v="ORD0142"/>
    <x v="2"/>
    <s v="India"/>
    <x v="4"/>
    <s v="Offline"/>
    <s v="High"/>
    <n v="45068"/>
    <n v="483"/>
    <n v="481.86"/>
    <n v="17.13"/>
    <n v="232738.38"/>
    <n v="224464.59"/>
  </r>
  <r>
    <s v="ORD0143"/>
    <x v="1"/>
    <s v="Australia"/>
    <x v="4"/>
    <s v="Offline"/>
    <s v="Low"/>
    <n v="45069"/>
    <n v="129"/>
    <n v="131.38"/>
    <n v="298.99"/>
    <n v="16948.02"/>
    <n v="-21621.690000000002"/>
  </r>
  <r>
    <s v="ORD0144"/>
    <x v="1"/>
    <s v="Germany"/>
    <x v="0"/>
    <s v="Online"/>
    <s v="Medium"/>
    <n v="45070"/>
    <n v="219"/>
    <n v="332.51"/>
    <n v="264.3"/>
    <n v="72819.69"/>
    <n v="14937.989999999996"/>
  </r>
  <r>
    <s v="ORD0145"/>
    <x v="1"/>
    <s v="Germany"/>
    <x v="0"/>
    <s v="Offline"/>
    <s v="Medium"/>
    <n v="45071"/>
    <n v="315"/>
    <n v="489.42"/>
    <n v="321.25"/>
    <n v="154167.30000000002"/>
    <n v="52973.55"/>
  </r>
  <r>
    <s v="ORD0146"/>
    <x v="0"/>
    <s v="Germany"/>
    <x v="3"/>
    <s v="Online"/>
    <s v="Medium"/>
    <n v="45072"/>
    <n v="279"/>
    <n v="190.28"/>
    <n v="43.94"/>
    <n v="53088.12"/>
    <n v="40828.86"/>
  </r>
  <r>
    <s v="ORD0147"/>
    <x v="0"/>
    <s v="Australia"/>
    <x v="2"/>
    <s v="Offline"/>
    <s v="Low"/>
    <n v="45073"/>
    <n v="201"/>
    <n v="13.67"/>
    <n v="16.16"/>
    <n v="2747.67"/>
    <n v="-500.49000000000007"/>
  </r>
  <r>
    <s v="ORD0148"/>
    <x v="0"/>
    <s v="Germany"/>
    <x v="2"/>
    <s v="Online"/>
    <s v="High"/>
    <n v="45074"/>
    <n v="184"/>
    <n v="125.85"/>
    <n v="204.41"/>
    <n v="23156.399999999998"/>
    <n v="-14455.04"/>
  </r>
  <r>
    <s v="ORD0149"/>
    <x v="2"/>
    <s v="Australia"/>
    <x v="1"/>
    <s v="Offline"/>
    <s v="Low"/>
    <n v="45075"/>
    <n v="294"/>
    <n v="416.28"/>
    <n v="156.26"/>
    <n v="122386.31999999999"/>
    <n v="76445.87999999999"/>
  </r>
  <r>
    <s v="ORD0150"/>
    <x v="1"/>
    <s v="Germany"/>
    <x v="3"/>
    <s v="Online"/>
    <s v="Low"/>
    <n v="45076"/>
    <n v="213"/>
    <n v="432.98"/>
    <n v="185.85"/>
    <n v="92224.74"/>
    <n v="52638.69"/>
  </r>
  <r>
    <s v="ORD0151"/>
    <x v="0"/>
    <s v="UK"/>
    <x v="3"/>
    <s v="Offline"/>
    <s v="High"/>
    <n v="45077"/>
    <n v="173"/>
    <n v="385.42"/>
    <n v="396.65"/>
    <n v="66677.66"/>
    <n v="-1942.7899999999934"/>
  </r>
  <r>
    <s v="ORD0152"/>
    <x v="0"/>
    <s v="Germany"/>
    <x v="3"/>
    <s v="Online"/>
    <s v="High"/>
    <n v="45078"/>
    <n v="260"/>
    <n v="60.99"/>
    <n v="388.36"/>
    <n v="15857.4"/>
    <n v="-85116.2"/>
  </r>
  <r>
    <s v="ORD0153"/>
    <x v="2"/>
    <s v="Australia"/>
    <x v="3"/>
    <s v="Offline"/>
    <s v="High"/>
    <n v="45079"/>
    <n v="236"/>
    <n v="398.78"/>
    <n v="377.04"/>
    <n v="94112.079999999987"/>
    <n v="5130.6399999999885"/>
  </r>
  <r>
    <s v="ORD0154"/>
    <x v="0"/>
    <s v="USA"/>
    <x v="2"/>
    <s v="Online"/>
    <s v="Medium"/>
    <n v="45080"/>
    <n v="445"/>
    <n v="459.75"/>
    <n v="313.97000000000003"/>
    <n v="204588.75"/>
    <n v="64872.099999999991"/>
  </r>
  <r>
    <s v="ORD0155"/>
    <x v="2"/>
    <s v="Germany"/>
    <x v="2"/>
    <s v="Offline"/>
    <s v="High"/>
    <n v="45081"/>
    <n v="390"/>
    <n v="302.3"/>
    <n v="143.22999999999999"/>
    <n v="117897"/>
    <n v="62037.30000000001"/>
  </r>
  <r>
    <s v="ORD0156"/>
    <x v="3"/>
    <s v="USA"/>
    <x v="3"/>
    <s v="Online"/>
    <s v="Low"/>
    <n v="45082"/>
    <n v="469"/>
    <n v="470.73"/>
    <n v="166.03"/>
    <n v="220772.37"/>
    <n v="142904.30000000002"/>
  </r>
  <r>
    <s v="ORD0157"/>
    <x v="0"/>
    <s v="UK"/>
    <x v="1"/>
    <s v="Online"/>
    <s v="High"/>
    <n v="45083"/>
    <n v="16"/>
    <n v="249.64"/>
    <n v="220.75"/>
    <n v="3994.24"/>
    <n v="462.23999999999978"/>
  </r>
  <r>
    <s v="ORD0158"/>
    <x v="3"/>
    <s v="India"/>
    <x v="4"/>
    <s v="Offline"/>
    <s v="Low"/>
    <n v="45084"/>
    <n v="38"/>
    <n v="335.15"/>
    <n v="332.55"/>
    <n v="12735.699999999999"/>
    <n v="98.799999999998704"/>
  </r>
  <r>
    <s v="ORD0159"/>
    <x v="2"/>
    <s v="UK"/>
    <x v="4"/>
    <s v="Offline"/>
    <s v="Medium"/>
    <n v="45085"/>
    <n v="404"/>
    <n v="290.70999999999998"/>
    <n v="29.35"/>
    <n v="117446.84"/>
    <n v="105589.43999999999"/>
  </r>
  <r>
    <s v="ORD0160"/>
    <x v="1"/>
    <s v="Germany"/>
    <x v="1"/>
    <s v="Online"/>
    <s v="Low"/>
    <n v="45086"/>
    <n v="42"/>
    <n v="177.54"/>
    <n v="170.87"/>
    <n v="7456.6799999999994"/>
    <n v="280.13999999999947"/>
  </r>
  <r>
    <s v="ORD0161"/>
    <x v="0"/>
    <s v="USA"/>
    <x v="3"/>
    <s v="Offline"/>
    <s v="Low"/>
    <n v="45087"/>
    <n v="143"/>
    <n v="83.85"/>
    <n v="34.880000000000003"/>
    <n v="11990.55"/>
    <n v="7002.7099999999991"/>
  </r>
  <r>
    <s v="ORD0162"/>
    <x v="2"/>
    <s v="USA"/>
    <x v="2"/>
    <s v="Online"/>
    <s v="High"/>
    <n v="45088"/>
    <n v="376"/>
    <n v="304.45"/>
    <n v="206.83"/>
    <n v="114473.2"/>
    <n v="36705.119999999988"/>
  </r>
  <r>
    <s v="ORD0163"/>
    <x v="1"/>
    <s v="Australia"/>
    <x v="4"/>
    <s v="Online"/>
    <s v="High"/>
    <n v="45089"/>
    <n v="88"/>
    <n v="162.47"/>
    <n v="359.76"/>
    <n v="14297.36"/>
    <n v="-17361.52"/>
  </r>
  <r>
    <s v="ORD0164"/>
    <x v="1"/>
    <s v="USA"/>
    <x v="0"/>
    <s v="Online"/>
    <s v="Low"/>
    <n v="45090"/>
    <n v="425"/>
    <n v="433.89"/>
    <n v="313.43"/>
    <n v="184403.25"/>
    <n v="51195.499999999993"/>
  </r>
  <r>
    <s v="ORD0165"/>
    <x v="3"/>
    <s v="Australia"/>
    <x v="0"/>
    <s v="Offline"/>
    <s v="High"/>
    <n v="45091"/>
    <n v="444"/>
    <n v="496.7"/>
    <n v="92.68"/>
    <n v="220534.8"/>
    <n v="179384.88"/>
  </r>
  <r>
    <s v="ORD0166"/>
    <x v="2"/>
    <s v="India"/>
    <x v="1"/>
    <s v="Online"/>
    <s v="Medium"/>
    <n v="45092"/>
    <n v="468"/>
    <n v="377.45"/>
    <n v="390.44"/>
    <n v="176646.6"/>
    <n v="-6079.3200000000043"/>
  </r>
  <r>
    <s v="ORD0167"/>
    <x v="1"/>
    <s v="Germany"/>
    <x v="3"/>
    <s v="Online"/>
    <s v="Medium"/>
    <n v="45093"/>
    <n v="67"/>
    <n v="49.79"/>
    <n v="267.61"/>
    <n v="3335.93"/>
    <n v="-14593.940000000002"/>
  </r>
  <r>
    <s v="ORD0168"/>
    <x v="0"/>
    <s v="Australia"/>
    <x v="4"/>
    <s v="Offline"/>
    <s v="High"/>
    <n v="45094"/>
    <n v="480"/>
    <n v="147.9"/>
    <n v="6.15"/>
    <n v="70992"/>
    <n v="68040"/>
  </r>
  <r>
    <s v="ORD0169"/>
    <x v="0"/>
    <s v="India"/>
    <x v="3"/>
    <s v="Offline"/>
    <s v="Medium"/>
    <n v="45095"/>
    <n v="35"/>
    <n v="59.01"/>
    <n v="103.65"/>
    <n v="2065.35"/>
    <n v="-1562.4000000000003"/>
  </r>
  <r>
    <s v="ORD0170"/>
    <x v="3"/>
    <s v="USA"/>
    <x v="4"/>
    <s v="Offline"/>
    <s v="High"/>
    <n v="45096"/>
    <n v="491"/>
    <n v="327"/>
    <n v="105.76"/>
    <n v="160557"/>
    <n v="108628.84000000001"/>
  </r>
  <r>
    <s v="ORD0171"/>
    <x v="1"/>
    <s v="USA"/>
    <x v="1"/>
    <s v="Offline"/>
    <s v="Low"/>
    <n v="45097"/>
    <n v="439"/>
    <n v="383.77"/>
    <n v="29.56"/>
    <n v="168475.03"/>
    <n v="155498.19"/>
  </r>
  <r>
    <s v="ORD0172"/>
    <x v="2"/>
    <s v="India"/>
    <x v="1"/>
    <s v="Online"/>
    <s v="Low"/>
    <n v="45098"/>
    <n v="235"/>
    <n v="463.21"/>
    <n v="384.01"/>
    <n v="108854.34999999999"/>
    <n v="18611.999999999996"/>
  </r>
  <r>
    <s v="ORD0173"/>
    <x v="0"/>
    <s v="USA"/>
    <x v="0"/>
    <s v="Online"/>
    <s v="Medium"/>
    <n v="45099"/>
    <n v="294"/>
    <n v="221.9"/>
    <n v="192.35"/>
    <n v="65238.6"/>
    <n v="8687.7000000000025"/>
  </r>
  <r>
    <s v="ORD0174"/>
    <x v="1"/>
    <s v="India"/>
    <x v="3"/>
    <s v="Online"/>
    <s v="High"/>
    <n v="45100"/>
    <n v="13"/>
    <n v="451.18"/>
    <n v="358.53"/>
    <n v="5865.34"/>
    <n v="1204.4500000000005"/>
  </r>
  <r>
    <s v="ORD0175"/>
    <x v="1"/>
    <s v="Australia"/>
    <x v="0"/>
    <s v="Online"/>
    <s v="High"/>
    <n v="45101"/>
    <n v="474"/>
    <n v="439.56"/>
    <n v="130.24"/>
    <n v="208351.44"/>
    <n v="146617.68"/>
  </r>
  <r>
    <s v="ORD0176"/>
    <x v="3"/>
    <s v="Australia"/>
    <x v="3"/>
    <s v="Offline"/>
    <s v="Medium"/>
    <n v="45102"/>
    <n v="108"/>
    <n v="162.01"/>
    <n v="51.84"/>
    <n v="17497.079999999998"/>
    <n v="11898.359999999999"/>
  </r>
  <r>
    <s v="ORD0177"/>
    <x v="0"/>
    <s v="India"/>
    <x v="0"/>
    <s v="Online"/>
    <s v="Low"/>
    <n v="45103"/>
    <n v="406"/>
    <n v="435.11"/>
    <n v="190.79"/>
    <n v="176654.66"/>
    <n v="99193.920000000013"/>
  </r>
  <r>
    <s v="ORD0178"/>
    <x v="0"/>
    <s v="Australia"/>
    <x v="2"/>
    <s v="Online"/>
    <s v="Medium"/>
    <n v="45104"/>
    <n v="498"/>
    <n v="190.96"/>
    <n v="47.35"/>
    <n v="95098.08"/>
    <n v="71517.780000000013"/>
  </r>
  <r>
    <s v="ORD0179"/>
    <x v="2"/>
    <s v="Australia"/>
    <x v="2"/>
    <s v="Offline"/>
    <s v="Low"/>
    <n v="45105"/>
    <n v="48"/>
    <n v="151.94999999999999"/>
    <n v="195.43"/>
    <n v="7293.5999999999995"/>
    <n v="-2087.0400000000009"/>
  </r>
  <r>
    <s v="ORD0180"/>
    <x v="0"/>
    <s v="Australia"/>
    <x v="2"/>
    <s v="Online"/>
    <s v="High"/>
    <n v="45106"/>
    <n v="280"/>
    <n v="326.29000000000002"/>
    <n v="368.28"/>
    <n v="91361.200000000012"/>
    <n v="-11757.199999999986"/>
  </r>
  <r>
    <s v="ORD0181"/>
    <x v="2"/>
    <s v="UK"/>
    <x v="2"/>
    <s v="Online"/>
    <s v="Low"/>
    <n v="45107"/>
    <n v="384"/>
    <n v="167.55"/>
    <n v="209.27"/>
    <n v="64339.200000000004"/>
    <n v="-16020.48"/>
  </r>
  <r>
    <s v="ORD0182"/>
    <x v="0"/>
    <s v="Germany"/>
    <x v="4"/>
    <s v="Online"/>
    <s v="Medium"/>
    <n v="45108"/>
    <n v="294"/>
    <n v="316.95"/>
    <n v="247.37"/>
    <n v="93183.3"/>
    <n v="20456.519999999997"/>
  </r>
  <r>
    <s v="ORD0183"/>
    <x v="3"/>
    <s v="USA"/>
    <x v="2"/>
    <s v="Online"/>
    <s v="High"/>
    <n v="45109"/>
    <n v="166"/>
    <n v="306.87"/>
    <n v="64.34"/>
    <n v="50940.42"/>
    <n v="40259.980000000003"/>
  </r>
  <r>
    <s v="ORD0184"/>
    <x v="0"/>
    <s v="UK"/>
    <x v="1"/>
    <s v="Online"/>
    <s v="Medium"/>
    <n v="45110"/>
    <n v="84"/>
    <n v="283.89999999999998"/>
    <n v="19.41"/>
    <n v="23847.599999999999"/>
    <n v="22217.159999999996"/>
  </r>
  <r>
    <s v="ORD0185"/>
    <x v="2"/>
    <s v="Australia"/>
    <x v="1"/>
    <s v="Online"/>
    <s v="Medium"/>
    <n v="45111"/>
    <n v="381"/>
    <n v="193.31"/>
    <n v="46.1"/>
    <n v="73651.11"/>
    <n v="56087.01"/>
  </r>
  <r>
    <s v="ORD0186"/>
    <x v="2"/>
    <s v="India"/>
    <x v="4"/>
    <s v="Offline"/>
    <s v="Low"/>
    <n v="45112"/>
    <n v="297"/>
    <n v="276.51"/>
    <n v="240.22"/>
    <n v="82123.47"/>
    <n v="10778.129999999997"/>
  </r>
  <r>
    <s v="ORD0187"/>
    <x v="3"/>
    <s v="Australia"/>
    <x v="2"/>
    <s v="Offline"/>
    <s v="Medium"/>
    <n v="45113"/>
    <n v="139"/>
    <n v="300.26"/>
    <n v="39.81"/>
    <n v="41736.14"/>
    <n v="36202.549999999996"/>
  </r>
  <r>
    <s v="ORD0188"/>
    <x v="0"/>
    <s v="Germany"/>
    <x v="2"/>
    <s v="Online"/>
    <s v="Low"/>
    <n v="45114"/>
    <n v="184"/>
    <n v="275.12"/>
    <n v="151.65"/>
    <n v="50622.080000000002"/>
    <n v="22718.48"/>
  </r>
  <r>
    <s v="ORD0189"/>
    <x v="0"/>
    <s v="Australia"/>
    <x v="2"/>
    <s v="Online"/>
    <s v="High"/>
    <n v="45115"/>
    <n v="471"/>
    <n v="224.99"/>
    <n v="220.94"/>
    <n v="105970.29000000001"/>
    <n v="1907.5500000000054"/>
  </r>
  <r>
    <s v="ORD0190"/>
    <x v="3"/>
    <s v="India"/>
    <x v="0"/>
    <s v="Offline"/>
    <s v="Low"/>
    <n v="45116"/>
    <n v="93"/>
    <n v="12.26"/>
    <n v="156.68"/>
    <n v="1140.18"/>
    <n v="-13431.060000000001"/>
  </r>
  <r>
    <s v="ORD0191"/>
    <x v="0"/>
    <s v="Germany"/>
    <x v="3"/>
    <s v="Online"/>
    <s v="High"/>
    <n v="45117"/>
    <n v="31"/>
    <n v="295.60000000000002"/>
    <n v="67.150000000000006"/>
    <n v="9163.6"/>
    <n v="7081.9500000000007"/>
  </r>
  <r>
    <s v="ORD0192"/>
    <x v="0"/>
    <s v="Australia"/>
    <x v="0"/>
    <s v="Online"/>
    <s v="Low"/>
    <n v="45118"/>
    <n v="468"/>
    <n v="88.38"/>
    <n v="110.97"/>
    <n v="41361.839999999997"/>
    <n v="-10572.12"/>
  </r>
  <r>
    <s v="ORD0193"/>
    <x v="2"/>
    <s v="Germany"/>
    <x v="3"/>
    <s v="Online"/>
    <s v="Medium"/>
    <n v="45119"/>
    <n v="36"/>
    <n v="323.08"/>
    <n v="371.47"/>
    <n v="11630.88"/>
    <n v="-1742.0400000000016"/>
  </r>
  <r>
    <s v="ORD0194"/>
    <x v="0"/>
    <s v="USA"/>
    <x v="2"/>
    <s v="Offline"/>
    <s v="Low"/>
    <n v="45120"/>
    <n v="204"/>
    <n v="380.88"/>
    <n v="271.04000000000002"/>
    <n v="77699.520000000004"/>
    <n v="22407.359999999993"/>
  </r>
  <r>
    <s v="ORD0195"/>
    <x v="0"/>
    <s v="USA"/>
    <x v="2"/>
    <s v="Online"/>
    <s v="Low"/>
    <n v="45121"/>
    <n v="346"/>
    <n v="252.72"/>
    <n v="199.43"/>
    <n v="87441.12"/>
    <n v="18438.339999999997"/>
  </r>
  <r>
    <s v="ORD0196"/>
    <x v="3"/>
    <s v="Australia"/>
    <x v="0"/>
    <s v="Offline"/>
    <s v="High"/>
    <n v="45122"/>
    <n v="391"/>
    <n v="273.47000000000003"/>
    <n v="7.06"/>
    <n v="106926.77"/>
    <n v="104166.31000000001"/>
  </r>
  <r>
    <s v="ORD0197"/>
    <x v="3"/>
    <s v="Germany"/>
    <x v="0"/>
    <s v="Online"/>
    <s v="Medium"/>
    <n v="45123"/>
    <n v="245"/>
    <n v="475.98"/>
    <n v="396.98"/>
    <n v="116615.1"/>
    <n v="19355"/>
  </r>
  <r>
    <s v="ORD0198"/>
    <x v="1"/>
    <s v="India"/>
    <x v="3"/>
    <s v="Offline"/>
    <s v="Low"/>
    <n v="45124"/>
    <n v="449"/>
    <n v="424.35"/>
    <n v="269.24"/>
    <n v="190533.15000000002"/>
    <n v="69644.39"/>
  </r>
  <r>
    <s v="ORD0199"/>
    <x v="2"/>
    <s v="Australia"/>
    <x v="1"/>
    <s v="Offline"/>
    <s v="Medium"/>
    <n v="45125"/>
    <n v="101"/>
    <n v="457.55"/>
    <n v="128.13999999999999"/>
    <n v="46212.55"/>
    <n v="33270.410000000003"/>
  </r>
  <r>
    <s v="ORD0200"/>
    <x v="0"/>
    <s v="USA"/>
    <x v="3"/>
    <s v="Online"/>
    <s v="Low"/>
    <n v="45126"/>
    <n v="255.9"/>
    <n v="407.81"/>
    <n v="351.95"/>
    <n v="104358.579"/>
    <n v="14294.574000000004"/>
  </r>
  <r>
    <s v="ORD0201"/>
    <x v="0"/>
    <s v="USA"/>
    <x v="0"/>
    <s v="Offline"/>
    <s v="Low"/>
    <n v="45127"/>
    <n v="30"/>
    <n v="58.91"/>
    <n v="104.86"/>
    <n v="1767.3"/>
    <n v="-1378.5"/>
  </r>
  <r>
    <s v="ORD0202"/>
    <x v="1"/>
    <s v="Australia"/>
    <x v="0"/>
    <s v="Online"/>
    <s v="Medium"/>
    <n v="45128"/>
    <n v="312"/>
    <n v="78.75"/>
    <n v="218.52"/>
    <n v="24570"/>
    <n v="-43608.240000000005"/>
  </r>
  <r>
    <s v="ORD0203"/>
    <x v="0"/>
    <s v="Germany"/>
    <x v="4"/>
    <s v="Offline"/>
    <s v="Low"/>
    <n v="45129"/>
    <n v="473"/>
    <n v="265.68"/>
    <n v="255.16"/>
    <n v="125666.64"/>
    <n v="4975.9600000000046"/>
  </r>
  <r>
    <s v="ORD0204"/>
    <x v="2"/>
    <s v="USA"/>
    <x v="0"/>
    <s v="Online"/>
    <s v="Medium"/>
    <n v="45130"/>
    <n v="366"/>
    <n v="126.8"/>
    <n v="89.98"/>
    <n v="46408.799999999996"/>
    <n v="13476.119999999997"/>
  </r>
  <r>
    <s v="ORD0205"/>
    <x v="1"/>
    <s v="Germany"/>
    <x v="4"/>
    <s v="Online"/>
    <s v="Low"/>
    <n v="45131"/>
    <n v="452"/>
    <n v="240.96"/>
    <n v="391.4"/>
    <n v="108913.92"/>
    <n v="-67998.87999999999"/>
  </r>
  <r>
    <s v="ORD0206"/>
    <x v="2"/>
    <s v="USA"/>
    <x v="1"/>
    <s v="Offline"/>
    <s v="High"/>
    <n v="45132"/>
    <n v="93"/>
    <n v="200.21"/>
    <n v="299.77999999999997"/>
    <n v="18619.530000000002"/>
    <n v="-9260.0099999999966"/>
  </r>
  <r>
    <s v="ORD0207"/>
    <x v="1"/>
    <s v="USA"/>
    <x v="3"/>
    <s v="Online"/>
    <s v="Medium"/>
    <n v="45133"/>
    <n v="271"/>
    <n v="276.95999999999998"/>
    <n v="224.01"/>
    <n v="75056.159999999989"/>
    <n v="14349.449999999997"/>
  </r>
  <r>
    <s v="ORD0208"/>
    <x v="1"/>
    <s v="UK"/>
    <x v="3"/>
    <s v="Online"/>
    <s v="Low"/>
    <n v="45134"/>
    <n v="156"/>
    <n v="374.7"/>
    <n v="73.88"/>
    <n v="58453.2"/>
    <n v="46927.92"/>
  </r>
  <r>
    <s v="ORD0209"/>
    <x v="3"/>
    <s v="USA"/>
    <x v="4"/>
    <s v="Offline"/>
    <s v="Low"/>
    <n v="45135"/>
    <n v="450"/>
    <n v="359.17"/>
    <n v="23.44"/>
    <n v="161626.5"/>
    <n v="151078.5"/>
  </r>
  <r>
    <s v="ORD0210"/>
    <x v="2"/>
    <s v="India"/>
    <x v="3"/>
    <s v="Online"/>
    <s v="High"/>
    <n v="45136"/>
    <n v="462"/>
    <n v="263.01"/>
    <n v="129.38"/>
    <n v="121510.62"/>
    <n v="61737.06"/>
  </r>
  <r>
    <s v="ORD0211"/>
    <x v="0"/>
    <s v="Australia"/>
    <x v="3"/>
    <s v="Online"/>
    <s v="Medium"/>
    <n v="45137"/>
    <n v="396"/>
    <n v="412.08"/>
    <n v="301.77"/>
    <n v="163183.67999999999"/>
    <n v="43682.76"/>
  </r>
  <r>
    <s v="ORD0212"/>
    <x v="0"/>
    <s v="Australia"/>
    <x v="2"/>
    <s v="Offline"/>
    <s v="Low"/>
    <n v="45138"/>
    <n v="266"/>
    <n v="218.28"/>
    <n v="109.19"/>
    <n v="58062.48"/>
    <n v="29017.940000000002"/>
  </r>
  <r>
    <s v="ORD0213"/>
    <x v="2"/>
    <s v="Germany"/>
    <x v="4"/>
    <s v="Offline"/>
    <s v="High"/>
    <n v="45139"/>
    <n v="67"/>
    <n v="448.87"/>
    <n v="216.74"/>
    <n v="30074.29"/>
    <n v="15552.71"/>
  </r>
  <r>
    <s v="ORD0214"/>
    <x v="0"/>
    <s v="USA"/>
    <x v="3"/>
    <s v="Online"/>
    <s v="Low"/>
    <n v="45140"/>
    <n v="389"/>
    <n v="40.28"/>
    <n v="291.72000000000003"/>
    <n v="15668.92"/>
    <n v="-97810.16"/>
  </r>
  <r>
    <s v="ORD0215"/>
    <x v="0"/>
    <s v="India"/>
    <x v="4"/>
    <s v="Online"/>
    <s v="Medium"/>
    <n v="45141"/>
    <n v="431"/>
    <n v="477.56"/>
    <n v="44.96"/>
    <n v="205828.36000000002"/>
    <n v="186450.6"/>
  </r>
  <r>
    <s v="ORD0216"/>
    <x v="2"/>
    <s v="Germany"/>
    <x v="4"/>
    <s v="Offline"/>
    <s v="Low"/>
    <n v="45142"/>
    <n v="24"/>
    <n v="329.07"/>
    <n v="274.75"/>
    <n v="7897.68"/>
    <n v="1303.6799999999998"/>
  </r>
  <r>
    <s v="ORD0217"/>
    <x v="1"/>
    <s v="UK"/>
    <x v="2"/>
    <s v="Offline"/>
    <s v="Low"/>
    <n v="45143"/>
    <n v="171"/>
    <n v="193.14"/>
    <n v="38.56"/>
    <n v="33026.939999999995"/>
    <n v="26433.179999999997"/>
  </r>
  <r>
    <s v="ORD0218"/>
    <x v="2"/>
    <s v="Germany"/>
    <x v="0"/>
    <s v="Online"/>
    <s v="Low"/>
    <n v="45144"/>
    <n v="454"/>
    <n v="102.59"/>
    <n v="386.12"/>
    <n v="46575.86"/>
    <n v="-128722.61999999998"/>
  </r>
  <r>
    <s v="ORD0219"/>
    <x v="1"/>
    <s v="Germany"/>
    <x v="4"/>
    <s v="Offline"/>
    <s v="Low"/>
    <n v="45145"/>
    <n v="172"/>
    <n v="242.2"/>
    <n v="196.38"/>
    <n v="41658.400000000001"/>
    <n v="7881.0399999999991"/>
  </r>
  <r>
    <s v="ORD0220"/>
    <x v="0"/>
    <s v="USA"/>
    <x v="3"/>
    <s v="Online"/>
    <s v="High"/>
    <n v="45146"/>
    <n v="329"/>
    <n v="101.31"/>
    <n v="61.97"/>
    <n v="33330.99"/>
    <n v="12942.86"/>
  </r>
  <r>
    <s v="ORD0221"/>
    <x v="0"/>
    <s v="UK"/>
    <x v="1"/>
    <s v="Online"/>
    <s v="High"/>
    <n v="45147"/>
    <n v="290"/>
    <n v="87.33"/>
    <n v="138.27000000000001"/>
    <n v="25325.7"/>
    <n v="-14772.600000000004"/>
  </r>
  <r>
    <s v="ORD0222"/>
    <x v="0"/>
    <s v="Germany"/>
    <x v="4"/>
    <s v="Online"/>
    <s v="Medium"/>
    <n v="45148"/>
    <n v="289"/>
    <n v="310.58999999999997"/>
    <n v="166.54"/>
    <n v="89760.51"/>
    <n v="41630.449999999997"/>
  </r>
  <r>
    <s v="ORD0223"/>
    <x v="3"/>
    <s v="India"/>
    <x v="4"/>
    <s v="Online"/>
    <s v="High"/>
    <n v="45149"/>
    <n v="21"/>
    <n v="263.93"/>
    <n v="303.76"/>
    <n v="5542.53"/>
    <n v="-836.42999999999961"/>
  </r>
  <r>
    <s v="ORD0224"/>
    <x v="1"/>
    <s v="India"/>
    <x v="2"/>
    <s v="Online"/>
    <s v="High"/>
    <n v="45150"/>
    <n v="283"/>
    <n v="336.7"/>
    <n v="297.88"/>
    <n v="95286.099999999991"/>
    <n v="10986.059999999998"/>
  </r>
  <r>
    <s v="ORD0225"/>
    <x v="3"/>
    <s v="Australia"/>
    <x v="0"/>
    <s v="Offline"/>
    <s v="Medium"/>
    <n v="45151"/>
    <n v="280"/>
    <n v="465.15"/>
    <n v="245.55"/>
    <n v="130242"/>
    <n v="61487.999999999993"/>
  </r>
  <r>
    <s v="ORD0226"/>
    <x v="3"/>
    <s v="UK"/>
    <x v="1"/>
    <s v="Offline"/>
    <s v="High"/>
    <n v="45152"/>
    <n v="217"/>
    <n v="268.47000000000003"/>
    <n v="44.16"/>
    <n v="58257.990000000005"/>
    <n v="48675.270000000004"/>
  </r>
  <r>
    <s v="ORD0227"/>
    <x v="2"/>
    <s v="UK"/>
    <x v="3"/>
    <s v="Offline"/>
    <s v="High"/>
    <n v="45153"/>
    <n v="36"/>
    <n v="292.56"/>
    <n v="62.32"/>
    <n v="10532.16"/>
    <n v="8288.64"/>
  </r>
  <r>
    <s v="ORD0228"/>
    <x v="3"/>
    <s v="Australia"/>
    <x v="1"/>
    <s v="Offline"/>
    <s v="Medium"/>
    <n v="45154"/>
    <n v="255.9"/>
    <n v="49.37"/>
    <n v="39.32"/>
    <n v="12633.782999999999"/>
    <n v="2571.7949999999992"/>
  </r>
  <r>
    <s v="ORD0229"/>
    <x v="2"/>
    <s v="Germany"/>
    <x v="3"/>
    <s v="Online"/>
    <s v="Medium"/>
    <n v="45155"/>
    <n v="69"/>
    <n v="360.23"/>
    <n v="231.71"/>
    <n v="24855.870000000003"/>
    <n v="8867.880000000001"/>
  </r>
  <r>
    <s v="ORD0230"/>
    <x v="2"/>
    <s v="UK"/>
    <x v="0"/>
    <s v="Online"/>
    <s v="Medium"/>
    <n v="45156"/>
    <n v="439"/>
    <n v="202.95"/>
    <n v="351.1"/>
    <n v="89095.049999999988"/>
    <n v="-65037.850000000013"/>
  </r>
  <r>
    <s v="ORD0231"/>
    <x v="3"/>
    <s v="India"/>
    <x v="3"/>
    <s v="Online"/>
    <s v="Low"/>
    <n v="45157"/>
    <n v="482"/>
    <n v="488.48"/>
    <n v="174.65"/>
    <n v="235447.36000000002"/>
    <n v="151266.06000000003"/>
  </r>
  <r>
    <s v="ORD0232"/>
    <x v="1"/>
    <s v="India"/>
    <x v="2"/>
    <s v="Online"/>
    <s v="Low"/>
    <n v="45158"/>
    <n v="154"/>
    <n v="412.47"/>
    <n v="66.02"/>
    <n v="63520.380000000005"/>
    <n v="53353.30000000001"/>
  </r>
  <r>
    <s v="ORD0233"/>
    <x v="1"/>
    <s v="USA"/>
    <x v="2"/>
    <s v="Offline"/>
    <s v="Medium"/>
    <n v="45159"/>
    <n v="102"/>
    <n v="263.63"/>
    <n v="224.1"/>
    <n v="26890.26"/>
    <n v="4032.06"/>
  </r>
  <r>
    <s v="ORD0234"/>
    <x v="1"/>
    <s v="UK"/>
    <x v="2"/>
    <s v="Online"/>
    <s v="Medium"/>
    <n v="45160"/>
    <n v="318"/>
    <n v="66"/>
    <n v="325.08"/>
    <n v="20988"/>
    <n v="-82387.439999999988"/>
  </r>
  <r>
    <s v="ORD0235"/>
    <x v="1"/>
    <s v="Germany"/>
    <x v="2"/>
    <s v="Online"/>
    <s v="Medium"/>
    <n v="45161"/>
    <n v="17"/>
    <n v="430.41"/>
    <n v="297.2"/>
    <n v="7316.97"/>
    <n v="2264.5700000000006"/>
  </r>
  <r>
    <s v="ORD0236"/>
    <x v="1"/>
    <s v="Australia"/>
    <x v="1"/>
    <s v="Offline"/>
    <s v="Low"/>
    <n v="45162"/>
    <n v="88"/>
    <n v="400.89"/>
    <n v="352.82"/>
    <n v="35278.32"/>
    <n v="4230.16"/>
  </r>
  <r>
    <s v="ORD0237"/>
    <x v="3"/>
    <s v="Australia"/>
    <x v="0"/>
    <s v="Offline"/>
    <s v="Low"/>
    <n v="45163"/>
    <n v="36"/>
    <n v="96.37"/>
    <n v="112.61"/>
    <n v="3469.32"/>
    <n v="-584.63999999999987"/>
  </r>
  <r>
    <s v="ORD0238"/>
    <x v="3"/>
    <s v="Germany"/>
    <x v="3"/>
    <s v="Offline"/>
    <s v="High"/>
    <n v="45164"/>
    <n v="183"/>
    <n v="151.16"/>
    <n v="79.19"/>
    <n v="27662.28"/>
    <n v="13170.51"/>
  </r>
  <r>
    <s v="ORD0239"/>
    <x v="0"/>
    <s v="USA"/>
    <x v="3"/>
    <s v="Offline"/>
    <s v="High"/>
    <n v="45165"/>
    <n v="59"/>
    <n v="397.74"/>
    <n v="352.17"/>
    <n v="23466.66"/>
    <n v="2688.6299999999997"/>
  </r>
  <r>
    <s v="ORD0240"/>
    <x v="1"/>
    <s v="Australia"/>
    <x v="2"/>
    <s v="Online"/>
    <s v="Medium"/>
    <n v="45166"/>
    <n v="208"/>
    <n v="96.69"/>
    <n v="263.70999999999998"/>
    <n v="20111.52"/>
    <n v="-34740.159999999996"/>
  </r>
  <r>
    <s v="ORD0241"/>
    <x v="3"/>
    <s v="UK"/>
    <x v="2"/>
    <s v="Online"/>
    <s v="Low"/>
    <n v="45167"/>
    <n v="396"/>
    <n v="459.29"/>
    <n v="125.75"/>
    <n v="181878.84"/>
    <n v="132081.84"/>
  </r>
  <r>
    <s v="ORD0242"/>
    <x v="0"/>
    <s v="USA"/>
    <x v="4"/>
    <s v="Offline"/>
    <s v="Low"/>
    <n v="45168"/>
    <n v="358"/>
    <n v="215.14"/>
    <n v="297.45"/>
    <n v="77020.12"/>
    <n v="-29466.98"/>
  </r>
  <r>
    <s v="ORD0243"/>
    <x v="1"/>
    <s v="UK"/>
    <x v="0"/>
    <s v="Online"/>
    <s v="Low"/>
    <n v="45169"/>
    <n v="457"/>
    <n v="48.08"/>
    <n v="326.42"/>
    <n v="21972.559999999998"/>
    <n v="-127201.38000000002"/>
  </r>
  <r>
    <s v="ORD0244"/>
    <x v="2"/>
    <s v="India"/>
    <x v="1"/>
    <s v="Online"/>
    <s v="Medium"/>
    <n v="45170"/>
    <n v="437"/>
    <n v="408.8"/>
    <n v="246.76"/>
    <n v="178645.6"/>
    <n v="70811.48000000001"/>
  </r>
  <r>
    <s v="ORD0245"/>
    <x v="0"/>
    <s v="USA"/>
    <x v="3"/>
    <s v="Online"/>
    <s v="High"/>
    <n v="45171"/>
    <n v="190"/>
    <n v="189.89"/>
    <n v="275.77999999999997"/>
    <n v="36079.1"/>
    <n v="-16319.099999999997"/>
  </r>
  <r>
    <s v="ORD0246"/>
    <x v="3"/>
    <s v="Australia"/>
    <x v="4"/>
    <s v="Offline"/>
    <s v="Medium"/>
    <n v="45172"/>
    <n v="33"/>
    <n v="265.62"/>
    <n v="151.35"/>
    <n v="8765.4600000000009"/>
    <n v="3770.9100000000003"/>
  </r>
  <r>
    <s v="ORD0247"/>
    <x v="2"/>
    <s v="USA"/>
    <x v="4"/>
    <s v="Online"/>
    <s v="High"/>
    <n v="45173"/>
    <n v="325"/>
    <n v="60.59"/>
    <n v="216.4"/>
    <n v="19691.75"/>
    <n v="-50638.25"/>
  </r>
  <r>
    <s v="ORD0248"/>
    <x v="2"/>
    <s v="USA"/>
    <x v="3"/>
    <s v="Offline"/>
    <s v="High"/>
    <n v="45174"/>
    <n v="387"/>
    <n v="6.28"/>
    <n v="210.62"/>
    <n v="2430.36"/>
    <n v="-79079.58"/>
  </r>
  <r>
    <s v="ORD0249"/>
    <x v="2"/>
    <s v="USA"/>
    <x v="1"/>
    <s v="Online"/>
    <s v="Medium"/>
    <n v="45175"/>
    <n v="396"/>
    <n v="320.8"/>
    <n v="339.52"/>
    <n v="127036.8"/>
    <n v="-7413.1199999999881"/>
  </r>
  <r>
    <s v="ORD0250"/>
    <x v="0"/>
    <s v="USA"/>
    <x v="4"/>
    <s v="Online"/>
    <s v="High"/>
    <n v="45176"/>
    <n v="413"/>
    <n v="260.01"/>
    <n v="336.31"/>
    <n v="107384.12999999999"/>
    <n v="-31511.900000000005"/>
  </r>
  <r>
    <s v="ORD0251"/>
    <x v="3"/>
    <s v="UK"/>
    <x v="4"/>
    <s v="Online"/>
    <s v="High"/>
    <n v="45177"/>
    <n v="255.9"/>
    <n v="298.8"/>
    <n v="333.41"/>
    <n v="76462.92"/>
    <n v="-8856.6990000000042"/>
  </r>
  <r>
    <s v="ORD0252"/>
    <x v="2"/>
    <s v="India"/>
    <x v="0"/>
    <s v="Offline"/>
    <s v="Low"/>
    <n v="45178"/>
    <n v="24"/>
    <n v="397.9"/>
    <n v="6.39"/>
    <n v="9549.5999999999985"/>
    <n v="9396.24"/>
  </r>
  <r>
    <s v="ORD0253"/>
    <x v="1"/>
    <s v="Germany"/>
    <x v="0"/>
    <s v="Online"/>
    <s v="High"/>
    <n v="45179"/>
    <n v="162"/>
    <n v="325.07"/>
    <n v="300.32"/>
    <n v="52661.34"/>
    <n v="4009.5"/>
  </r>
  <r>
    <s v="ORD0254"/>
    <x v="2"/>
    <s v="USA"/>
    <x v="4"/>
    <s v="Offline"/>
    <s v="Medium"/>
    <n v="45180"/>
    <n v="231"/>
    <n v="91.51"/>
    <n v="303.95"/>
    <n v="21138.81"/>
    <n v="-49073.64"/>
  </r>
  <r>
    <s v="ORD0255"/>
    <x v="2"/>
    <s v="Australia"/>
    <x v="1"/>
    <s v="Offline"/>
    <s v="Medium"/>
    <n v="45181"/>
    <n v="215"/>
    <n v="183.58"/>
    <n v="271.99"/>
    <n v="39469.700000000004"/>
    <n v="-19008.149999999998"/>
  </r>
  <r>
    <s v="ORD0256"/>
    <x v="0"/>
    <s v="USA"/>
    <x v="3"/>
    <s v="Offline"/>
    <s v="High"/>
    <n v="45182"/>
    <n v="464"/>
    <n v="453.42"/>
    <n v="302.99"/>
    <n v="210386.88"/>
    <n v="69799.520000000004"/>
  </r>
  <r>
    <s v="ORD0257"/>
    <x v="0"/>
    <s v="Australia"/>
    <x v="2"/>
    <s v="Online"/>
    <s v="Low"/>
    <n v="45183"/>
    <n v="282"/>
    <n v="249.64"/>
    <n v="337.1"/>
    <n v="70398.48"/>
    <n v="-24663.720000000008"/>
  </r>
  <r>
    <s v="ORD0258"/>
    <x v="3"/>
    <s v="UK"/>
    <x v="4"/>
    <s v="Online"/>
    <s v="Low"/>
    <n v="45184"/>
    <n v="391"/>
    <n v="280.54000000000002"/>
    <n v="189.19"/>
    <n v="109691.14000000001"/>
    <n v="35717.850000000006"/>
  </r>
  <r>
    <s v="ORD0259"/>
    <x v="1"/>
    <s v="Australia"/>
    <x v="0"/>
    <s v="Online"/>
    <s v="High"/>
    <n v="45185"/>
    <n v="245"/>
    <n v="131.54"/>
    <n v="201.82"/>
    <n v="32227.3"/>
    <n v="-17218.599999999999"/>
  </r>
  <r>
    <s v="ORD0260"/>
    <x v="0"/>
    <s v="Germany"/>
    <x v="3"/>
    <s v="Online"/>
    <s v="High"/>
    <n v="45186"/>
    <n v="349"/>
    <n v="154.52000000000001"/>
    <n v="51.64"/>
    <n v="53927.48"/>
    <n v="35905.120000000003"/>
  </r>
  <r>
    <s v="ORD0261"/>
    <x v="2"/>
    <s v="India"/>
    <x v="1"/>
    <s v="Offline"/>
    <s v="Medium"/>
    <n v="45187"/>
    <n v="237"/>
    <n v="249.64"/>
    <n v="155.38"/>
    <n v="59164.68"/>
    <n v="22339.62"/>
  </r>
  <r>
    <s v="ORD0262"/>
    <x v="3"/>
    <s v="Australia"/>
    <x v="3"/>
    <s v="Offline"/>
    <s v="High"/>
    <n v="45188"/>
    <n v="18"/>
    <n v="426.33"/>
    <n v="258.06"/>
    <n v="7673.94"/>
    <n v="3028.8599999999997"/>
  </r>
  <r>
    <s v="ORD0263"/>
    <x v="2"/>
    <s v="Australia"/>
    <x v="4"/>
    <s v="Offline"/>
    <s v="Low"/>
    <n v="45189"/>
    <n v="175"/>
    <n v="337.36"/>
    <n v="312.60000000000002"/>
    <n v="59038"/>
    <n v="4332.9999999999982"/>
  </r>
  <r>
    <s v="ORD0264"/>
    <x v="2"/>
    <s v="India"/>
    <x v="4"/>
    <s v="Online"/>
    <s v="High"/>
    <n v="45190"/>
    <n v="441"/>
    <n v="405.72"/>
    <n v="88.45"/>
    <n v="178922.52000000002"/>
    <n v="139916.07"/>
  </r>
  <r>
    <s v="ORD0265"/>
    <x v="0"/>
    <s v="Germany"/>
    <x v="2"/>
    <s v="Offline"/>
    <s v="Medium"/>
    <n v="45191"/>
    <n v="453"/>
    <n v="384.49"/>
    <n v="56.85"/>
    <n v="174173.97"/>
    <n v="148420.91999999998"/>
  </r>
  <r>
    <s v="ORD0266"/>
    <x v="3"/>
    <s v="USA"/>
    <x v="3"/>
    <s v="Online"/>
    <s v="Medium"/>
    <n v="45192"/>
    <n v="328"/>
    <n v="79.099999999999994"/>
    <n v="265.89"/>
    <n v="25944.799999999999"/>
    <n v="-61267.119999999995"/>
  </r>
  <r>
    <s v="ORD0267"/>
    <x v="1"/>
    <s v="Australia"/>
    <x v="4"/>
    <s v="Offline"/>
    <s v="Medium"/>
    <n v="45193"/>
    <n v="223"/>
    <n v="214.85"/>
    <n v="2.75"/>
    <n v="47911.549999999996"/>
    <n v="47298.299999999996"/>
  </r>
  <r>
    <s v="ORD0268"/>
    <x v="1"/>
    <s v="India"/>
    <x v="0"/>
    <s v="Online"/>
    <s v="Medium"/>
    <n v="45194"/>
    <n v="126"/>
    <n v="80.73"/>
    <n v="72.989999999999995"/>
    <n v="10171.980000000001"/>
    <n v="975.24000000000115"/>
  </r>
  <r>
    <s v="ORD0269"/>
    <x v="0"/>
    <s v="UK"/>
    <x v="1"/>
    <s v="Online"/>
    <s v="Medium"/>
    <n v="45195"/>
    <n v="395"/>
    <n v="121.44"/>
    <n v="13.57"/>
    <n v="47968.799999999996"/>
    <n v="42608.65"/>
  </r>
  <r>
    <s v="ORD0270"/>
    <x v="0"/>
    <s v="India"/>
    <x v="3"/>
    <s v="Offline"/>
    <s v="High"/>
    <n v="45196"/>
    <n v="353"/>
    <n v="435.28"/>
    <n v="68.42"/>
    <n v="153653.84"/>
    <n v="129501.57999999999"/>
  </r>
  <r>
    <s v="ORD0271"/>
    <x v="3"/>
    <s v="UK"/>
    <x v="3"/>
    <s v="Offline"/>
    <s v="High"/>
    <n v="45197"/>
    <n v="81"/>
    <n v="239.08"/>
    <n v="74.17"/>
    <n v="19365.48"/>
    <n v="13357.710000000003"/>
  </r>
  <r>
    <s v="ORD0272"/>
    <x v="1"/>
    <s v="Germany"/>
    <x v="2"/>
    <s v="Offline"/>
    <s v="High"/>
    <n v="45198"/>
    <n v="404"/>
    <n v="270"/>
    <n v="156.29"/>
    <n v="109080"/>
    <n v="45938.840000000004"/>
  </r>
  <r>
    <s v="ORD0273"/>
    <x v="1"/>
    <s v="USA"/>
    <x v="2"/>
    <s v="Offline"/>
    <s v="High"/>
    <n v="45199"/>
    <n v="73"/>
    <n v="93.33"/>
    <n v="162.13"/>
    <n v="6813.09"/>
    <n v="-5022.3999999999996"/>
  </r>
  <r>
    <s v="ORD0274"/>
    <x v="1"/>
    <s v="India"/>
    <x v="0"/>
    <s v="Online"/>
    <s v="Medium"/>
    <n v="45200"/>
    <n v="214"/>
    <n v="159.57"/>
    <n v="349.96"/>
    <n v="34147.979999999996"/>
    <n v="-40743.46"/>
  </r>
  <r>
    <s v="ORD0275"/>
    <x v="2"/>
    <s v="Australia"/>
    <x v="0"/>
    <s v="Offline"/>
    <s v="Low"/>
    <n v="45201"/>
    <n v="218"/>
    <n v="118.97"/>
    <n v="205.02"/>
    <n v="25935.46"/>
    <n v="-18758.900000000001"/>
  </r>
  <r>
    <s v="ORD0276"/>
    <x v="1"/>
    <s v="Germany"/>
    <x v="4"/>
    <s v="Offline"/>
    <s v="High"/>
    <n v="45202"/>
    <n v="81"/>
    <n v="107.06"/>
    <n v="289.92"/>
    <n v="8671.86"/>
    <n v="-14811.660000000002"/>
  </r>
  <r>
    <s v="ORD0277"/>
    <x v="2"/>
    <s v="India"/>
    <x v="4"/>
    <s v="Offline"/>
    <s v="Low"/>
    <n v="45203"/>
    <n v="286"/>
    <n v="320.79000000000002"/>
    <n v="43.45"/>
    <n v="91745.94"/>
    <n v="79319.240000000005"/>
  </r>
  <r>
    <s v="ORD0278"/>
    <x v="3"/>
    <s v="Australia"/>
    <x v="0"/>
    <s v="Online"/>
    <s v="High"/>
    <n v="45204"/>
    <n v="283"/>
    <n v="132.16"/>
    <n v="91.72"/>
    <n v="37401.279999999999"/>
    <n v="11444.519999999999"/>
  </r>
  <r>
    <s v="ORD0279"/>
    <x v="2"/>
    <s v="India"/>
    <x v="0"/>
    <s v="Online"/>
    <s v="High"/>
    <n v="45205"/>
    <n v="487"/>
    <n v="317.85000000000002"/>
    <n v="281.77"/>
    <n v="154792.95000000001"/>
    <n v="17570.960000000021"/>
  </r>
  <r>
    <s v="ORD0280"/>
    <x v="3"/>
    <s v="UK"/>
    <x v="1"/>
    <s v="Offline"/>
    <s v="Low"/>
    <n v="45206"/>
    <n v="329"/>
    <n v="33.94"/>
    <n v="23.02"/>
    <n v="11166.259999999998"/>
    <n v="3592.6799999999994"/>
  </r>
  <r>
    <s v="ORD0281"/>
    <x v="1"/>
    <s v="India"/>
    <x v="2"/>
    <s v="Online"/>
    <s v="Medium"/>
    <n v="45207"/>
    <n v="347"/>
    <n v="75.180000000000007"/>
    <n v="195.67"/>
    <n v="26087.460000000003"/>
    <n v="-41810.029999999992"/>
  </r>
  <r>
    <s v="ORD0282"/>
    <x v="1"/>
    <s v="India"/>
    <x v="4"/>
    <s v="Offline"/>
    <s v="High"/>
    <n v="45208"/>
    <n v="375"/>
    <n v="140.9"/>
    <n v="240.55"/>
    <n v="52837.5"/>
    <n v="-37368.75"/>
  </r>
  <r>
    <s v="ORD0283"/>
    <x v="3"/>
    <s v="India"/>
    <x v="2"/>
    <s v="Online"/>
    <s v="High"/>
    <n v="45209"/>
    <n v="104"/>
    <n v="300.54000000000002"/>
    <n v="241.65"/>
    <n v="31256.160000000003"/>
    <n v="6124.5600000000013"/>
  </r>
  <r>
    <s v="ORD0284"/>
    <x v="0"/>
    <s v="Germany"/>
    <x v="2"/>
    <s v="Online"/>
    <s v="High"/>
    <n v="45210"/>
    <n v="175"/>
    <n v="339.54"/>
    <n v="11.13"/>
    <n v="59419.5"/>
    <n v="57471.750000000007"/>
  </r>
  <r>
    <s v="ORD0285"/>
    <x v="3"/>
    <s v="India"/>
    <x v="0"/>
    <s v="Online"/>
    <s v="Low"/>
    <n v="45211"/>
    <n v="41"/>
    <n v="224.14"/>
    <n v="130.19999999999999"/>
    <n v="9189.74"/>
    <n v="3851.54"/>
  </r>
  <r>
    <s v="ORD0286"/>
    <x v="0"/>
    <s v="Australia"/>
    <x v="1"/>
    <s v="Online"/>
    <s v="Medium"/>
    <n v="45212"/>
    <n v="20"/>
    <n v="225.67"/>
    <n v="255.32"/>
    <n v="4513.3999999999996"/>
    <n v="-593.00000000000011"/>
  </r>
  <r>
    <s v="ORD0287"/>
    <x v="2"/>
    <s v="UK"/>
    <x v="3"/>
    <s v="Offline"/>
    <s v="Low"/>
    <n v="45213"/>
    <n v="310"/>
    <n v="363.64"/>
    <n v="61.3"/>
    <n v="112728.4"/>
    <n v="93725.4"/>
  </r>
  <r>
    <s v="ORD0288"/>
    <x v="2"/>
    <s v="UK"/>
    <x v="1"/>
    <s v="Offline"/>
    <s v="Low"/>
    <n v="45214"/>
    <n v="226"/>
    <n v="249.64"/>
    <n v="278.77999999999997"/>
    <n v="56418.64"/>
    <n v="-6585.6399999999967"/>
  </r>
  <r>
    <s v="ORD0289"/>
    <x v="2"/>
    <s v="India"/>
    <x v="1"/>
    <s v="Offline"/>
    <s v="Medium"/>
    <n v="45215"/>
    <n v="255.9"/>
    <n v="173.84"/>
    <n v="298.88"/>
    <n v="44485.656000000003"/>
    <n v="-31997.735999999997"/>
  </r>
  <r>
    <s v="ORD0290"/>
    <x v="1"/>
    <s v="Germany"/>
    <x v="2"/>
    <s v="Online"/>
    <s v="Low"/>
    <n v="45216"/>
    <n v="111"/>
    <n v="410.26"/>
    <n v="392.82"/>
    <n v="45538.86"/>
    <n v="1935.8399999999997"/>
  </r>
  <r>
    <s v="ORD0291"/>
    <x v="2"/>
    <s v="Germany"/>
    <x v="1"/>
    <s v="Offline"/>
    <s v="Medium"/>
    <n v="45217"/>
    <n v="434"/>
    <n v="303.58999999999997"/>
    <n v="85.52"/>
    <n v="131758.06"/>
    <n v="94642.37999999999"/>
  </r>
  <r>
    <s v="ORD0292"/>
    <x v="0"/>
    <s v="Australia"/>
    <x v="4"/>
    <s v="Offline"/>
    <s v="High"/>
    <n v="45218"/>
    <n v="401"/>
    <n v="171.93"/>
    <n v="330.4"/>
    <n v="68943.930000000008"/>
    <n v="-63546.469999999987"/>
  </r>
  <r>
    <s v="ORD0293"/>
    <x v="2"/>
    <s v="India"/>
    <x v="2"/>
    <s v="Offline"/>
    <s v="Medium"/>
    <n v="45219"/>
    <n v="276"/>
    <n v="453.23"/>
    <n v="209.08"/>
    <n v="125091.48000000001"/>
    <n v="67385.400000000009"/>
  </r>
  <r>
    <s v="ORD0294"/>
    <x v="3"/>
    <s v="UK"/>
    <x v="4"/>
    <s v="Online"/>
    <s v="High"/>
    <n v="45220"/>
    <n v="255.9"/>
    <n v="387.45"/>
    <n v="150.63999999999999"/>
    <n v="99148.455000000002"/>
    <n v="60599.679000000004"/>
  </r>
  <r>
    <s v="ORD0295"/>
    <x v="3"/>
    <s v="Germany"/>
    <x v="3"/>
    <s v="Online"/>
    <s v="Low"/>
    <n v="45221"/>
    <n v="188"/>
    <n v="136.12"/>
    <n v="50.71"/>
    <n v="25590.560000000001"/>
    <n v="16057.08"/>
  </r>
  <r>
    <s v="ORD0296"/>
    <x v="1"/>
    <s v="India"/>
    <x v="2"/>
    <s v="Online"/>
    <s v="Low"/>
    <n v="45222"/>
    <n v="97"/>
    <n v="324.42"/>
    <n v="294.73"/>
    <n v="31468.74"/>
    <n v="2879.93"/>
  </r>
  <r>
    <s v="ORD0297"/>
    <x v="3"/>
    <s v="Germany"/>
    <x v="3"/>
    <s v="Offline"/>
    <s v="High"/>
    <n v="45223"/>
    <n v="50"/>
    <n v="299.89999999999998"/>
    <n v="95.87"/>
    <n v="14994.999999999998"/>
    <n v="10201.499999999998"/>
  </r>
  <r>
    <s v="ORD0298"/>
    <x v="0"/>
    <s v="Germany"/>
    <x v="2"/>
    <s v="Offline"/>
    <s v="Low"/>
    <n v="45224"/>
    <n v="410"/>
    <n v="203.59"/>
    <n v="149.83000000000001"/>
    <n v="83471.899999999994"/>
    <n v="22041.599999999995"/>
  </r>
  <r>
    <s v="ORD0299"/>
    <x v="2"/>
    <s v="UK"/>
    <x v="0"/>
    <s v="Offline"/>
    <s v="Medium"/>
    <n v="45225"/>
    <n v="85"/>
    <n v="186.64"/>
    <n v="26.89"/>
    <n v="15864.4"/>
    <n v="13578.75"/>
  </r>
  <r>
    <s v="ORD0300"/>
    <x v="1"/>
    <s v="USA"/>
    <x v="1"/>
    <s v="Online"/>
    <s v="High"/>
    <n v="45226"/>
    <n v="386"/>
    <n v="175.06"/>
    <n v="320.94"/>
    <n v="67573.16"/>
    <n v="-56309.68"/>
  </r>
  <r>
    <s v="ORD0301"/>
    <x v="2"/>
    <s v="Australia"/>
    <x v="0"/>
    <s v="Online"/>
    <s v="Low"/>
    <n v="45227"/>
    <n v="55"/>
    <n v="310.49"/>
    <n v="307.10000000000002"/>
    <n v="17076.95"/>
    <n v="186.44999999999925"/>
  </r>
  <r>
    <s v="ORD0302"/>
    <x v="2"/>
    <s v="Australia"/>
    <x v="3"/>
    <s v="Offline"/>
    <s v="High"/>
    <n v="45228"/>
    <n v="169"/>
    <n v="223.99"/>
    <n v="293.98"/>
    <n v="37854.310000000005"/>
    <n v="-11828.310000000001"/>
  </r>
  <r>
    <s v="ORD0303"/>
    <x v="0"/>
    <s v="UK"/>
    <x v="1"/>
    <s v="Online"/>
    <s v="Medium"/>
    <n v="45229"/>
    <n v="472"/>
    <n v="416.77"/>
    <n v="121.18"/>
    <n v="196715.44"/>
    <n v="139518.47999999998"/>
  </r>
  <r>
    <s v="ORD0304"/>
    <x v="3"/>
    <s v="Germany"/>
    <x v="2"/>
    <s v="Online"/>
    <s v="Medium"/>
    <n v="45230"/>
    <n v="89"/>
    <n v="336.45"/>
    <n v="71.05"/>
    <n v="29944.05"/>
    <n v="23620.6"/>
  </r>
  <r>
    <s v="ORD0305"/>
    <x v="3"/>
    <s v="India"/>
    <x v="1"/>
    <s v="Online"/>
    <s v="Low"/>
    <n v="45231"/>
    <n v="319"/>
    <n v="39.619999999999997"/>
    <n v="255.75"/>
    <n v="12638.779999999999"/>
    <n v="-68945.47"/>
  </r>
  <r>
    <s v="ORD0306"/>
    <x v="2"/>
    <s v="Germany"/>
    <x v="1"/>
    <s v="Online"/>
    <s v="Medium"/>
    <n v="45232"/>
    <n v="95"/>
    <n v="321.88"/>
    <n v="199.47"/>
    <n v="30578.6"/>
    <n v="11628.949999999999"/>
  </r>
  <r>
    <s v="ORD0307"/>
    <x v="1"/>
    <s v="UK"/>
    <x v="1"/>
    <s v="Offline"/>
    <s v="High"/>
    <n v="45233"/>
    <n v="101"/>
    <n v="139.22"/>
    <n v="72.94"/>
    <n v="14061.22"/>
    <n v="6694.28"/>
  </r>
  <r>
    <s v="ORD0308"/>
    <x v="3"/>
    <s v="Australia"/>
    <x v="1"/>
    <s v="Online"/>
    <s v="Medium"/>
    <n v="45234"/>
    <n v="157"/>
    <n v="249.64"/>
    <n v="274.99"/>
    <n v="39193.479999999996"/>
    <n v="-3979.9500000000035"/>
  </r>
  <r>
    <s v="ORD0309"/>
    <x v="1"/>
    <s v="Germany"/>
    <x v="1"/>
    <s v="Online"/>
    <s v="High"/>
    <n v="45235"/>
    <n v="170"/>
    <n v="341.67"/>
    <n v="396.47"/>
    <n v="58083.9"/>
    <n v="-9316.0000000000018"/>
  </r>
  <r>
    <s v="ORD0310"/>
    <x v="3"/>
    <s v="Australia"/>
    <x v="4"/>
    <s v="Online"/>
    <s v="High"/>
    <n v="45236"/>
    <n v="211"/>
    <n v="119.26"/>
    <n v="299.39"/>
    <n v="25163.86"/>
    <n v="-38007.43"/>
  </r>
  <r>
    <s v="ORD0311"/>
    <x v="1"/>
    <s v="India"/>
    <x v="3"/>
    <s v="Online"/>
    <s v="Medium"/>
    <n v="45237"/>
    <n v="433"/>
    <n v="231.15"/>
    <n v="296.51"/>
    <n v="100087.95"/>
    <n v="-28300.879999999994"/>
  </r>
  <r>
    <s v="ORD0312"/>
    <x v="0"/>
    <s v="Australia"/>
    <x v="0"/>
    <s v="Offline"/>
    <s v="Low"/>
    <n v="45238"/>
    <n v="425"/>
    <n v="99.21"/>
    <n v="380.22"/>
    <n v="42164.25"/>
    <n v="-119429.25000000001"/>
  </r>
  <r>
    <s v="ORD0313"/>
    <x v="1"/>
    <s v="Australia"/>
    <x v="2"/>
    <s v="Offline"/>
    <s v="Medium"/>
    <n v="45239"/>
    <n v="251"/>
    <n v="30.91"/>
    <n v="82.77"/>
    <n v="7758.41"/>
    <n v="-13016.86"/>
  </r>
  <r>
    <s v="ORD0314"/>
    <x v="0"/>
    <s v="USA"/>
    <x v="1"/>
    <s v="Online"/>
    <s v="High"/>
    <n v="45240"/>
    <n v="255.9"/>
    <n v="192.35"/>
    <n v="227.09"/>
    <n v="49222.364999999998"/>
    <n v="-8889.9660000000022"/>
  </r>
  <r>
    <s v="ORD0315"/>
    <x v="0"/>
    <s v="USA"/>
    <x v="0"/>
    <s v="Online"/>
    <s v="High"/>
    <n v="45241"/>
    <n v="11"/>
    <n v="184.66"/>
    <n v="391.9"/>
    <n v="2031.26"/>
    <n v="-2279.64"/>
  </r>
  <r>
    <s v="ORD0316"/>
    <x v="1"/>
    <s v="USA"/>
    <x v="2"/>
    <s v="Online"/>
    <s v="Medium"/>
    <n v="45242"/>
    <n v="234"/>
    <n v="497.76"/>
    <n v="67.790000000000006"/>
    <n v="116475.84"/>
    <n v="100612.98"/>
  </r>
  <r>
    <s v="ORD0317"/>
    <x v="0"/>
    <s v="Australia"/>
    <x v="2"/>
    <s v="Online"/>
    <s v="Low"/>
    <n v="45243"/>
    <n v="255.9"/>
    <n v="225.94"/>
    <n v="280.7"/>
    <n v="57818.046000000002"/>
    <n v="-14013.083999999997"/>
  </r>
  <r>
    <s v="ORD0318"/>
    <x v="2"/>
    <s v="UK"/>
    <x v="4"/>
    <s v="Online"/>
    <s v="Low"/>
    <n v="45244"/>
    <n v="242"/>
    <n v="170.12"/>
    <n v="235.15"/>
    <n v="41169.040000000001"/>
    <n v="-15737.26"/>
  </r>
  <r>
    <s v="ORD0319"/>
    <x v="0"/>
    <s v="Australia"/>
    <x v="3"/>
    <s v="Online"/>
    <s v="High"/>
    <n v="45245"/>
    <n v="470"/>
    <n v="292.33999999999997"/>
    <n v="235.42"/>
    <n v="137399.79999999999"/>
    <n v="26752.399999999994"/>
  </r>
  <r>
    <s v="ORD0320"/>
    <x v="3"/>
    <s v="UK"/>
    <x v="3"/>
    <s v="Offline"/>
    <s v="High"/>
    <n v="45246"/>
    <n v="423"/>
    <n v="48.94"/>
    <n v="279.67"/>
    <n v="20701.62"/>
    <n v="-97598.790000000008"/>
  </r>
  <r>
    <s v="ORD0321"/>
    <x v="1"/>
    <s v="UK"/>
    <x v="0"/>
    <s v="Online"/>
    <s v="Low"/>
    <n v="45247"/>
    <n v="426"/>
    <n v="481.02"/>
    <n v="371.99"/>
    <n v="204914.52"/>
    <n v="46446.779999999992"/>
  </r>
  <r>
    <s v="ORD0322"/>
    <x v="2"/>
    <s v="USA"/>
    <x v="3"/>
    <s v="Offline"/>
    <s v="Medium"/>
    <n v="45248"/>
    <n v="86"/>
    <n v="319.31"/>
    <n v="313.47000000000003"/>
    <n v="27460.66"/>
    <n v="502.23999999999785"/>
  </r>
  <r>
    <s v="ORD0323"/>
    <x v="1"/>
    <s v="Germany"/>
    <x v="1"/>
    <s v="Offline"/>
    <s v="High"/>
    <n v="45249"/>
    <n v="125"/>
    <n v="378.64"/>
    <n v="24.34"/>
    <n v="47330"/>
    <n v="44287.5"/>
  </r>
  <r>
    <s v="ORD0324"/>
    <x v="3"/>
    <s v="India"/>
    <x v="1"/>
    <s v="Online"/>
    <s v="High"/>
    <n v="45250"/>
    <n v="163"/>
    <n v="89.39"/>
    <n v="341.39"/>
    <n v="14570.57"/>
    <n v="-41076"/>
  </r>
  <r>
    <s v="ORD0325"/>
    <x v="3"/>
    <s v="USA"/>
    <x v="0"/>
    <s v="Offline"/>
    <s v="Low"/>
    <n v="45251"/>
    <n v="415"/>
    <n v="207.69"/>
    <n v="91.77"/>
    <n v="86191.35"/>
    <n v="48106.8"/>
  </r>
  <r>
    <s v="ORD0326"/>
    <x v="3"/>
    <s v="USA"/>
    <x v="3"/>
    <s v="Offline"/>
    <s v="Medium"/>
    <n v="45252"/>
    <n v="112"/>
    <n v="214.23"/>
    <n v="152.01"/>
    <n v="23993.759999999998"/>
    <n v="6968.6399999999994"/>
  </r>
  <r>
    <s v="ORD0327"/>
    <x v="0"/>
    <s v="Germany"/>
    <x v="1"/>
    <s v="Offline"/>
    <s v="Low"/>
    <n v="45253"/>
    <n v="203"/>
    <n v="411.79"/>
    <n v="185.77"/>
    <n v="83593.37000000001"/>
    <n v="45882.060000000005"/>
  </r>
  <r>
    <s v="ORD0328"/>
    <x v="0"/>
    <s v="India"/>
    <x v="4"/>
    <s v="Offline"/>
    <s v="Medium"/>
    <n v="45254"/>
    <n v="255.9"/>
    <n v="5.61"/>
    <n v="193.4"/>
    <n v="1435.5990000000002"/>
    <n v="-48055.460999999996"/>
  </r>
  <r>
    <s v="ORD0329"/>
    <x v="1"/>
    <s v="Australia"/>
    <x v="0"/>
    <s v="Offline"/>
    <s v="Medium"/>
    <n v="45255"/>
    <n v="368"/>
    <n v="153.91999999999999"/>
    <n v="175.2"/>
    <n v="56642.559999999998"/>
    <n v="-7831.0400000000009"/>
  </r>
  <r>
    <s v="ORD0330"/>
    <x v="1"/>
    <s v="Australia"/>
    <x v="4"/>
    <s v="Offline"/>
    <s v="Medium"/>
    <n v="45256"/>
    <n v="99"/>
    <n v="490.71"/>
    <n v="375.07"/>
    <n v="48580.29"/>
    <n v="11448.359999999999"/>
  </r>
  <r>
    <s v="ORD0331"/>
    <x v="2"/>
    <s v="USA"/>
    <x v="4"/>
    <s v="Online"/>
    <s v="High"/>
    <n v="45257"/>
    <n v="183"/>
    <n v="240.07"/>
    <n v="283"/>
    <n v="43932.81"/>
    <n v="-7856.1900000000014"/>
  </r>
  <r>
    <s v="ORD0332"/>
    <x v="2"/>
    <s v="India"/>
    <x v="4"/>
    <s v="Offline"/>
    <s v="Low"/>
    <n v="45258"/>
    <n v="131"/>
    <n v="194.35"/>
    <n v="253.21"/>
    <n v="25459.85"/>
    <n v="-7710.6600000000017"/>
  </r>
  <r>
    <s v="ORD0333"/>
    <x v="1"/>
    <s v="USA"/>
    <x v="2"/>
    <s v="Offline"/>
    <s v="Low"/>
    <n v="45259"/>
    <n v="152"/>
    <n v="64.319999999999993"/>
    <n v="21.84"/>
    <n v="9776.64"/>
    <n v="6456.9599999999982"/>
  </r>
  <r>
    <s v="ORD0334"/>
    <x v="0"/>
    <s v="UK"/>
    <x v="2"/>
    <s v="Offline"/>
    <s v="Medium"/>
    <n v="45260"/>
    <n v="491"/>
    <n v="487.21"/>
    <n v="361.76"/>
    <n v="239220.11"/>
    <n v="61595.95"/>
  </r>
  <r>
    <s v="ORD0335"/>
    <x v="3"/>
    <s v="USA"/>
    <x v="4"/>
    <s v="Online"/>
    <s v="High"/>
    <n v="45261"/>
    <n v="115"/>
    <n v="14.91"/>
    <n v="363.94"/>
    <n v="1714.65"/>
    <n v="-40138.449999999997"/>
  </r>
  <r>
    <s v="ORD0336"/>
    <x v="1"/>
    <s v="USA"/>
    <x v="0"/>
    <s v="Offline"/>
    <s v="High"/>
    <n v="45262"/>
    <n v="384"/>
    <n v="369.9"/>
    <n v="312.52"/>
    <n v="142041.59999999998"/>
    <n v="22033.919999999998"/>
  </r>
  <r>
    <s v="ORD0337"/>
    <x v="2"/>
    <s v="Australia"/>
    <x v="1"/>
    <s v="Online"/>
    <s v="Low"/>
    <n v="45263"/>
    <n v="437"/>
    <n v="385.46"/>
    <n v="4.8"/>
    <n v="168446.02"/>
    <n v="166348.41999999998"/>
  </r>
  <r>
    <s v="ORD0338"/>
    <x v="0"/>
    <s v="Australia"/>
    <x v="1"/>
    <s v="Offline"/>
    <s v="High"/>
    <n v="45264"/>
    <n v="314"/>
    <n v="125.61"/>
    <n v="24.8"/>
    <n v="39441.54"/>
    <n v="31654.34"/>
  </r>
  <r>
    <s v="ORD0339"/>
    <x v="1"/>
    <s v="Australia"/>
    <x v="3"/>
    <s v="Online"/>
    <s v="High"/>
    <n v="45265"/>
    <n v="369"/>
    <n v="337.42"/>
    <n v="91.64"/>
    <n v="124507.98000000001"/>
    <n v="90692.82"/>
  </r>
  <r>
    <s v="ORD0340"/>
    <x v="1"/>
    <s v="UK"/>
    <x v="0"/>
    <s v="Online"/>
    <s v="Medium"/>
    <n v="45266"/>
    <n v="468"/>
    <n v="51"/>
    <n v="54.28"/>
    <n v="23868"/>
    <n v="-1535.0400000000004"/>
  </r>
  <r>
    <s v="ORD0341"/>
    <x v="0"/>
    <s v="Australia"/>
    <x v="2"/>
    <s v="Offline"/>
    <s v="High"/>
    <n v="45267"/>
    <n v="326"/>
    <n v="132.24"/>
    <n v="160.74"/>
    <n v="43110.240000000005"/>
    <n v="-9291"/>
  </r>
  <r>
    <s v="ORD0342"/>
    <x v="1"/>
    <s v="India"/>
    <x v="4"/>
    <s v="Offline"/>
    <s v="Medium"/>
    <n v="45268"/>
    <n v="460"/>
    <n v="395.01"/>
    <n v="369.2"/>
    <n v="181704.6"/>
    <n v="11872.6"/>
  </r>
  <r>
    <s v="ORD0343"/>
    <x v="0"/>
    <s v="Germany"/>
    <x v="3"/>
    <s v="Online"/>
    <s v="Low"/>
    <n v="45269"/>
    <n v="132"/>
    <n v="433.02"/>
    <n v="189.88"/>
    <n v="57158.64"/>
    <n v="32094.48"/>
  </r>
  <r>
    <s v="ORD0344"/>
    <x v="3"/>
    <s v="India"/>
    <x v="1"/>
    <s v="Offline"/>
    <s v="High"/>
    <n v="45270"/>
    <n v="399"/>
    <n v="306.2"/>
    <n v="7.33"/>
    <n v="122173.79999999999"/>
    <n v="119249.13"/>
  </r>
  <r>
    <s v="ORD0345"/>
    <x v="0"/>
    <s v="India"/>
    <x v="2"/>
    <s v="Online"/>
    <s v="Low"/>
    <n v="45271"/>
    <n v="18"/>
    <n v="255.89"/>
    <n v="114.53"/>
    <n v="4606.0199999999995"/>
    <n v="2544.4799999999996"/>
  </r>
  <r>
    <s v="ORD0346"/>
    <x v="0"/>
    <s v="Australia"/>
    <x v="2"/>
    <s v="Online"/>
    <s v="Low"/>
    <n v="45272"/>
    <n v="271"/>
    <n v="83.86"/>
    <n v="19.75"/>
    <n v="22726.06"/>
    <n v="17373.810000000001"/>
  </r>
  <r>
    <s v="ORD0347"/>
    <x v="0"/>
    <s v="Germany"/>
    <x v="4"/>
    <s v="Online"/>
    <s v="High"/>
    <n v="45273"/>
    <n v="82"/>
    <n v="36.24"/>
    <n v="16.440000000000001"/>
    <n v="2971.6800000000003"/>
    <n v="1623.6000000000001"/>
  </r>
  <r>
    <s v="ORD0348"/>
    <x v="1"/>
    <s v="Germany"/>
    <x v="1"/>
    <s v="Online"/>
    <s v="High"/>
    <n v="45274"/>
    <n v="368"/>
    <n v="63.24"/>
    <n v="111.74"/>
    <n v="23272.32"/>
    <n v="-17847.999999999996"/>
  </r>
  <r>
    <s v="ORD0349"/>
    <x v="1"/>
    <s v="Germany"/>
    <x v="0"/>
    <s v="Online"/>
    <s v="Low"/>
    <n v="45275"/>
    <n v="232"/>
    <n v="117.54"/>
    <n v="111.69"/>
    <n v="27269.280000000002"/>
    <n v="1357.2000000000021"/>
  </r>
  <r>
    <s v="ORD0350"/>
    <x v="0"/>
    <s v="UK"/>
    <x v="2"/>
    <s v="Offline"/>
    <s v="High"/>
    <n v="45276"/>
    <n v="425"/>
    <n v="174.13"/>
    <n v="315.27999999999997"/>
    <n v="74005.25"/>
    <n v="-59988.74999999999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90EF47-FFD2-432D-9D5F-424667E6B24F}" name="PivotTable3" cacheId="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2">
  <location ref="N6:O11" firstHeaderRow="1" firstDataRow="1" firstDataCol="1"/>
  <pivotFields count="12">
    <pivotField showAll="0"/>
    <pivotField axis="axisRow" showAll="0">
      <items count="5">
        <item x="0"/>
        <item x="2"/>
        <item x="3"/>
        <item x="1"/>
        <item t="default"/>
      </items>
    </pivotField>
    <pivotField showAll="0">
      <items count="6">
        <item x="4"/>
        <item x="0"/>
        <item x="1"/>
        <item x="3"/>
        <item x="2"/>
        <item t="default"/>
      </items>
    </pivotField>
    <pivotField showAll="0">
      <items count="6">
        <item h="1" x="0"/>
        <item x="2"/>
        <item h="1" x="4"/>
        <item h="1" x="1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numFmtId="1" showAll="0"/>
    <pivotField dataField="1"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Average of Profit" fld="11" subtotal="average" baseField="1" baseItem="1"/>
  </dataFields>
  <formats count="14">
    <format dxfId="0">
      <pivotArea collapsedLevelsAreSubtotals="1" fieldPosition="0">
        <references count="1">
          <reference field="1" count="0"/>
        </references>
      </pivotArea>
    </format>
    <format dxfId="1">
      <pivotArea grandRow="1" outline="0" collapsedLevelsAreSubtotals="1" fieldPosition="0"/>
    </format>
    <format dxfId="2">
      <pivotArea type="all" dataOnly="0" outline="0" fieldPosition="0"/>
    </format>
    <format dxfId="3">
      <pivotArea outline="0" collapsedLevelsAreSubtotals="1" fieldPosition="0"/>
    </format>
    <format dxfId="4">
      <pivotArea field="1" type="button" dataOnly="0" labelOnly="1" outline="0" axis="axisRow" fieldPosition="0"/>
    </format>
    <format dxfId="5">
      <pivotArea dataOnly="0" labelOnly="1" fieldPosition="0">
        <references count="1">
          <reference field="1" count="0"/>
        </references>
      </pivotArea>
    </format>
    <format dxfId="6">
      <pivotArea dataOnly="0" labelOnly="1" grandRow="1" outline="0" fieldPosition="0"/>
    </format>
    <format dxfId="7">
      <pivotArea dataOnly="0" labelOnly="1" outline="0" axis="axisValues" fieldPosition="0"/>
    </format>
    <format dxfId="8">
      <pivotArea type="all" dataOnly="0" outline="0" fieldPosition="0"/>
    </format>
    <format dxfId="9">
      <pivotArea outline="0" collapsedLevelsAreSubtotals="1" fieldPosition="0"/>
    </format>
    <format dxfId="10">
      <pivotArea field="1" type="button" dataOnly="0" labelOnly="1" outline="0" axis="axisRow" fieldPosition="0"/>
    </format>
    <format dxfId="11">
      <pivotArea dataOnly="0" labelOnly="1" fieldPosition="0">
        <references count="1">
          <reference field="1" count="0"/>
        </references>
      </pivotArea>
    </format>
    <format dxfId="12">
      <pivotArea dataOnly="0" labelOnly="1" grandRow="1" outline="0" fieldPosition="0"/>
    </format>
    <format dxfId="13">
      <pivotArea dataOnly="0" labelOnly="1" outline="0" axis="axisValues" fieldPosition="0"/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2DC096B-EA56-4048-A636-409F3D311FCE}" name="PivotTable5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0">
  <location ref="N6:S13" firstHeaderRow="1" firstDataRow="2" firstDataCol="1"/>
  <pivotFields count="12">
    <pivotField showAll="0"/>
    <pivotField axis="axisCol" showAll="0">
      <items count="5">
        <item x="0"/>
        <item x="2"/>
        <item x="3"/>
        <item x="1"/>
        <item t="default"/>
      </items>
    </pivotField>
    <pivotField showAll="0"/>
    <pivotField axis="axisRow" showAll="0">
      <items count="6">
        <item x="0"/>
        <item x="2"/>
        <item x="4"/>
        <item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dataField="1" numFmtId="1" showAll="0"/>
    <pivotField showAll="0"/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1"/>
  </colFields>
  <colItems count="5">
    <i>
      <x/>
    </i>
    <i>
      <x v="1"/>
    </i>
    <i>
      <x v="2"/>
    </i>
    <i>
      <x v="3"/>
    </i>
    <i t="grand">
      <x/>
    </i>
  </colItems>
  <dataFields count="1">
    <dataField name="Sum of Total Revenue" fld="10" baseField="0" baseItem="0" numFmtId="1"/>
  </dataFields>
  <formats count="11">
    <format dxfId="14">
      <pivotArea outline="0" collapsedLevelsAreSubtotals="1" fieldPosition="0"/>
    </format>
    <format dxfId="15">
      <pivotArea type="all" dataOnly="0" outline="0" fieldPosition="0"/>
    </format>
    <format dxfId="16">
      <pivotArea outline="0" collapsedLevelsAreSubtotals="1" fieldPosition="0"/>
    </format>
    <format dxfId="17">
      <pivotArea type="origin" dataOnly="0" labelOnly="1" outline="0" fieldPosition="0"/>
    </format>
    <format dxfId="18">
      <pivotArea field="1" type="button" dataOnly="0" labelOnly="1" outline="0" axis="axisCol" fieldPosition="0"/>
    </format>
    <format dxfId="19">
      <pivotArea type="topRight" dataOnly="0" labelOnly="1" outline="0" fieldPosition="0"/>
    </format>
    <format dxfId="20">
      <pivotArea field="3" type="button" dataOnly="0" labelOnly="1" outline="0" axis="axisRow" fieldPosition="0"/>
    </format>
    <format dxfId="21">
      <pivotArea dataOnly="0" labelOnly="1" fieldPosition="0">
        <references count="1">
          <reference field="3" count="0"/>
        </references>
      </pivotArea>
    </format>
    <format dxfId="22">
      <pivotArea dataOnly="0" labelOnly="1" grandRow="1" outline="0" fieldPosition="0"/>
    </format>
    <format dxfId="23">
      <pivotArea dataOnly="0" labelOnly="1" fieldPosition="0">
        <references count="1">
          <reference field="1" count="0"/>
        </references>
      </pivotArea>
    </format>
    <format dxfId="24">
      <pivotArea dataOnly="0" labelOnly="1" grandCol="1" outline="0" fieldPosition="0"/>
    </format>
  </formats>
  <chartFormats count="8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8" format="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8" format="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8" format="1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8" format="1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1"/>
  <sheetViews>
    <sheetView topLeftCell="A322" workbookViewId="0">
      <selection sqref="A1:J351"/>
    </sheetView>
  </sheetViews>
  <sheetFormatPr defaultRowHeight="15" x14ac:dyDescent="0.25"/>
  <cols>
    <col min="1" max="6" width="12.7109375" customWidth="1"/>
    <col min="7" max="7" width="15.85546875" bestFit="1" customWidth="1"/>
    <col min="8" max="10" width="12.7109375" customWidth="1"/>
  </cols>
  <sheetData>
    <row r="1" spans="1:10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 spans="1:10" x14ac:dyDescent="0.25">
      <c r="A2" s="1" t="s">
        <v>10</v>
      </c>
      <c r="B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2">
        <v>44927</v>
      </c>
      <c r="H2" s="1">
        <v>235</v>
      </c>
      <c r="I2" s="1">
        <v>152.91999999999999</v>
      </c>
      <c r="J2" s="1">
        <v>153.6</v>
      </c>
    </row>
    <row r="3" spans="1:10" x14ac:dyDescent="0.25">
      <c r="A3" s="1" t="s">
        <v>16</v>
      </c>
      <c r="B3" s="1" t="s">
        <v>17</v>
      </c>
      <c r="C3" s="1" t="s">
        <v>18</v>
      </c>
      <c r="D3" s="1" t="s">
        <v>19</v>
      </c>
      <c r="E3" s="1" t="s">
        <v>14</v>
      </c>
      <c r="F3" s="1" t="s">
        <v>20</v>
      </c>
      <c r="G3" s="2">
        <v>44928</v>
      </c>
      <c r="H3" s="1">
        <v>341</v>
      </c>
      <c r="I3" s="1">
        <v>467.92</v>
      </c>
      <c r="J3" s="1">
        <v>139.84</v>
      </c>
    </row>
    <row r="4" spans="1:10" x14ac:dyDescent="0.25">
      <c r="A4" s="1" t="s">
        <v>21</v>
      </c>
      <c r="B4" s="1" t="s">
        <v>22</v>
      </c>
      <c r="C4" s="1" t="s">
        <v>18</v>
      </c>
      <c r="D4" s="1" t="s">
        <v>23</v>
      </c>
      <c r="E4" s="1" t="s">
        <v>24</v>
      </c>
      <c r="F4" s="1" t="s">
        <v>15</v>
      </c>
      <c r="G4" s="2">
        <v>44929</v>
      </c>
      <c r="H4" s="1">
        <v>179</v>
      </c>
      <c r="I4" s="1">
        <v>473.94</v>
      </c>
      <c r="J4" s="1">
        <v>97.14</v>
      </c>
    </row>
    <row r="5" spans="1:10" x14ac:dyDescent="0.25">
      <c r="A5" s="1" t="s">
        <v>25</v>
      </c>
      <c r="B5" s="1" t="s">
        <v>11</v>
      </c>
      <c r="C5" s="1" t="s">
        <v>26</v>
      </c>
      <c r="D5" s="1" t="s">
        <v>27</v>
      </c>
      <c r="E5" s="1" t="s">
        <v>24</v>
      </c>
      <c r="F5" s="1" t="s">
        <v>28</v>
      </c>
      <c r="G5" s="2">
        <v>44930</v>
      </c>
      <c r="H5" s="1">
        <v>18</v>
      </c>
      <c r="I5" s="1">
        <v>314.52999999999997</v>
      </c>
      <c r="J5" s="1">
        <v>204.87</v>
      </c>
    </row>
    <row r="6" spans="1:10" x14ac:dyDescent="0.25">
      <c r="A6" s="1" t="s">
        <v>29</v>
      </c>
      <c r="B6" s="1" t="s">
        <v>11</v>
      </c>
      <c r="C6" s="1" t="s">
        <v>18</v>
      </c>
      <c r="D6" s="1" t="s">
        <v>27</v>
      </c>
      <c r="E6" s="1" t="s">
        <v>24</v>
      </c>
      <c r="F6" s="1" t="s">
        <v>28</v>
      </c>
      <c r="G6" s="2">
        <v>44931</v>
      </c>
      <c r="H6" s="1">
        <v>472</v>
      </c>
      <c r="I6" s="1">
        <v>392.79</v>
      </c>
      <c r="J6" s="1">
        <v>330.46</v>
      </c>
    </row>
    <row r="7" spans="1:10" x14ac:dyDescent="0.25">
      <c r="A7" s="1" t="s">
        <v>30</v>
      </c>
      <c r="B7" s="1" t="s">
        <v>17</v>
      </c>
      <c r="C7" s="1" t="s">
        <v>31</v>
      </c>
      <c r="D7" s="1" t="s">
        <v>23</v>
      </c>
      <c r="E7" s="1" t="s">
        <v>14</v>
      </c>
      <c r="F7" s="1" t="s">
        <v>15</v>
      </c>
      <c r="G7" s="2">
        <v>44932</v>
      </c>
      <c r="H7" s="1">
        <v>49</v>
      </c>
      <c r="I7" s="1">
        <v>308.07</v>
      </c>
      <c r="J7" s="1">
        <v>113.32</v>
      </c>
    </row>
    <row r="8" spans="1:10" x14ac:dyDescent="0.25">
      <c r="A8" s="1" t="s">
        <v>32</v>
      </c>
      <c r="B8" s="1" t="s">
        <v>22</v>
      </c>
      <c r="C8" s="1" t="s">
        <v>12</v>
      </c>
      <c r="D8" s="1" t="s">
        <v>23</v>
      </c>
      <c r="E8" s="1" t="s">
        <v>14</v>
      </c>
      <c r="F8" s="1" t="s">
        <v>20</v>
      </c>
      <c r="G8" s="2">
        <v>44933</v>
      </c>
      <c r="H8" s="1">
        <v>34</v>
      </c>
      <c r="I8" s="1">
        <v>244.78</v>
      </c>
      <c r="J8" s="1">
        <v>377.07</v>
      </c>
    </row>
    <row r="9" spans="1:10" x14ac:dyDescent="0.25">
      <c r="A9" s="1" t="s">
        <v>33</v>
      </c>
      <c r="B9" s="1" t="s">
        <v>22</v>
      </c>
      <c r="C9" s="1" t="s">
        <v>18</v>
      </c>
      <c r="D9" s="1" t="s">
        <v>13</v>
      </c>
      <c r="E9" s="1" t="s">
        <v>14</v>
      </c>
      <c r="F9" s="1" t="s">
        <v>15</v>
      </c>
      <c r="G9" s="2">
        <v>44934</v>
      </c>
      <c r="H9" s="1">
        <v>270</v>
      </c>
      <c r="I9" s="1">
        <v>332.11</v>
      </c>
      <c r="J9" s="1">
        <v>349.59</v>
      </c>
    </row>
    <row r="10" spans="1:10" x14ac:dyDescent="0.25">
      <c r="A10" s="1" t="s">
        <v>34</v>
      </c>
      <c r="B10" s="1" t="s">
        <v>11</v>
      </c>
      <c r="C10" s="1" t="s">
        <v>18</v>
      </c>
      <c r="D10" s="1" t="s">
        <v>13</v>
      </c>
      <c r="E10" s="1" t="s">
        <v>14</v>
      </c>
      <c r="F10" s="1" t="s">
        <v>20</v>
      </c>
      <c r="G10" s="2">
        <v>44935</v>
      </c>
      <c r="H10" s="1">
        <v>404</v>
      </c>
      <c r="I10" s="1">
        <v>278.74</v>
      </c>
      <c r="J10" s="1">
        <v>66.38</v>
      </c>
    </row>
    <row r="11" spans="1:10" x14ac:dyDescent="0.25">
      <c r="A11" s="1" t="s">
        <v>35</v>
      </c>
      <c r="B11" s="1"/>
      <c r="C11" s="1" t="s">
        <v>26</v>
      </c>
      <c r="D11" s="1" t="s">
        <v>27</v>
      </c>
      <c r="E11" s="1" t="s">
        <v>14</v>
      </c>
      <c r="F11" s="1" t="s">
        <v>28</v>
      </c>
      <c r="G11" s="2">
        <v>44936</v>
      </c>
      <c r="H11" s="1">
        <v>452</v>
      </c>
      <c r="I11" s="1">
        <v>300.75</v>
      </c>
      <c r="J11" s="1">
        <v>314.94</v>
      </c>
    </row>
    <row r="12" spans="1:10" x14ac:dyDescent="0.25">
      <c r="A12" s="1" t="s">
        <v>36</v>
      </c>
      <c r="B12" s="1" t="s">
        <v>11</v>
      </c>
      <c r="C12" s="1" t="s">
        <v>26</v>
      </c>
      <c r="D12" s="1" t="s">
        <v>19</v>
      </c>
      <c r="E12" s="1" t="s">
        <v>14</v>
      </c>
      <c r="F12" s="1" t="s">
        <v>20</v>
      </c>
      <c r="G12" s="2">
        <v>44937</v>
      </c>
      <c r="H12" s="1">
        <v>235</v>
      </c>
      <c r="I12" s="1">
        <v>393</v>
      </c>
      <c r="J12" s="1">
        <v>230.69</v>
      </c>
    </row>
    <row r="13" spans="1:10" x14ac:dyDescent="0.25">
      <c r="A13" s="1" t="s">
        <v>37</v>
      </c>
      <c r="B13" s="1" t="s">
        <v>11</v>
      </c>
      <c r="C13" s="1" t="s">
        <v>31</v>
      </c>
      <c r="D13" s="1" t="s">
        <v>27</v>
      </c>
      <c r="E13" s="1" t="s">
        <v>24</v>
      </c>
      <c r="F13" s="1" t="s">
        <v>28</v>
      </c>
      <c r="G13" s="2">
        <v>44938</v>
      </c>
      <c r="H13" s="1">
        <v>481</v>
      </c>
      <c r="I13" s="1">
        <v>243.05</v>
      </c>
      <c r="J13" s="1">
        <v>227.5</v>
      </c>
    </row>
    <row r="14" spans="1:10" x14ac:dyDescent="0.25">
      <c r="A14" s="1" t="s">
        <v>38</v>
      </c>
      <c r="B14" s="1" t="s">
        <v>11</v>
      </c>
      <c r="C14" s="1" t="s">
        <v>12</v>
      </c>
      <c r="D14" s="1" t="s">
        <v>19</v>
      </c>
      <c r="E14" s="1" t="s">
        <v>24</v>
      </c>
      <c r="F14" s="1" t="s">
        <v>20</v>
      </c>
      <c r="G14" s="2">
        <v>44939</v>
      </c>
      <c r="H14" s="1">
        <v>133</v>
      </c>
      <c r="I14" s="1">
        <v>25.17</v>
      </c>
      <c r="J14" s="1">
        <v>157.63999999999999</v>
      </c>
    </row>
    <row r="15" spans="1:10" x14ac:dyDescent="0.25">
      <c r="A15" s="1" t="s">
        <v>39</v>
      </c>
      <c r="B15" s="1" t="s">
        <v>11</v>
      </c>
      <c r="C15" s="1" t="s">
        <v>26</v>
      </c>
      <c r="D15" s="1" t="s">
        <v>19</v>
      </c>
      <c r="E15" s="1" t="s">
        <v>24</v>
      </c>
      <c r="F15" s="1" t="s">
        <v>20</v>
      </c>
      <c r="G15" s="2">
        <v>44940</v>
      </c>
      <c r="H15" s="1">
        <v>472</v>
      </c>
      <c r="I15" s="1">
        <v>86.18</v>
      </c>
      <c r="J15" s="1">
        <v>201.46</v>
      </c>
    </row>
    <row r="16" spans="1:10" x14ac:dyDescent="0.25">
      <c r="A16" s="1" t="s">
        <v>40</v>
      </c>
      <c r="B16" s="1" t="s">
        <v>17</v>
      </c>
      <c r="C16" s="1" t="s">
        <v>18</v>
      </c>
      <c r="D16" s="1" t="s">
        <v>13</v>
      </c>
      <c r="E16" s="1" t="s">
        <v>24</v>
      </c>
      <c r="F16" s="1" t="s">
        <v>20</v>
      </c>
      <c r="G16" s="2">
        <v>44941</v>
      </c>
      <c r="H16" s="1">
        <v>47</v>
      </c>
      <c r="I16" s="1">
        <v>222.11</v>
      </c>
      <c r="J16" s="1">
        <v>160.08000000000001</v>
      </c>
    </row>
    <row r="17" spans="1:10" x14ac:dyDescent="0.25">
      <c r="A17" s="1" t="s">
        <v>41</v>
      </c>
      <c r="B17" s="1" t="s">
        <v>22</v>
      </c>
      <c r="C17" s="1" t="s">
        <v>12</v>
      </c>
      <c r="D17" s="1" t="s">
        <v>42</v>
      </c>
      <c r="E17" s="1" t="s">
        <v>14</v>
      </c>
      <c r="F17" s="1" t="s">
        <v>15</v>
      </c>
      <c r="G17" s="2">
        <v>44942</v>
      </c>
      <c r="H17" s="1">
        <v>337</v>
      </c>
      <c r="I17" s="1">
        <v>363.79</v>
      </c>
      <c r="J17" s="1">
        <v>216.81</v>
      </c>
    </row>
    <row r="18" spans="1:10" x14ac:dyDescent="0.25">
      <c r="A18" s="1" t="s">
        <v>43</v>
      </c>
      <c r="B18" s="1" t="s">
        <v>17</v>
      </c>
      <c r="C18" s="1" t="s">
        <v>12</v>
      </c>
      <c r="D18" s="1" t="s">
        <v>42</v>
      </c>
      <c r="E18" s="1" t="s">
        <v>14</v>
      </c>
      <c r="F18" s="1" t="s">
        <v>15</v>
      </c>
      <c r="G18" s="2">
        <v>44943</v>
      </c>
      <c r="H18" s="1">
        <v>260</v>
      </c>
      <c r="I18" s="1">
        <v>298.67</v>
      </c>
      <c r="J18" s="1">
        <v>251.92</v>
      </c>
    </row>
    <row r="19" spans="1:10" x14ac:dyDescent="0.25">
      <c r="A19" s="1" t="s">
        <v>44</v>
      </c>
      <c r="B19" s="1"/>
      <c r="C19" s="1" t="s">
        <v>18</v>
      </c>
      <c r="D19" s="1" t="s">
        <v>23</v>
      </c>
      <c r="E19" s="1" t="s">
        <v>24</v>
      </c>
      <c r="F19" s="1" t="s">
        <v>28</v>
      </c>
      <c r="G19" s="2">
        <v>44944</v>
      </c>
      <c r="H19" s="1">
        <v>398</v>
      </c>
      <c r="I19" s="1">
        <v>326.89999999999998</v>
      </c>
      <c r="J19" s="1">
        <v>270.37</v>
      </c>
    </row>
    <row r="20" spans="1:10" x14ac:dyDescent="0.25">
      <c r="A20" s="1" t="s">
        <v>45</v>
      </c>
      <c r="B20" s="1" t="s">
        <v>17</v>
      </c>
      <c r="C20" s="1" t="s">
        <v>26</v>
      </c>
      <c r="D20" s="1" t="s">
        <v>13</v>
      </c>
      <c r="E20" s="1" t="s">
        <v>14</v>
      </c>
      <c r="F20" s="1" t="s">
        <v>28</v>
      </c>
      <c r="G20" s="2">
        <v>44945</v>
      </c>
      <c r="H20" s="1">
        <v>185</v>
      </c>
      <c r="I20" s="1">
        <v>242.24</v>
      </c>
      <c r="J20" s="1">
        <v>213.93</v>
      </c>
    </row>
    <row r="21" spans="1:10" x14ac:dyDescent="0.25">
      <c r="A21" s="1" t="s">
        <v>46</v>
      </c>
      <c r="B21" s="1" t="s">
        <v>11</v>
      </c>
      <c r="C21" s="1" t="s">
        <v>18</v>
      </c>
      <c r="D21" s="1" t="s">
        <v>19</v>
      </c>
      <c r="E21" s="1" t="s">
        <v>24</v>
      </c>
      <c r="F21" s="1" t="s">
        <v>15</v>
      </c>
      <c r="G21" s="2">
        <v>44946</v>
      </c>
      <c r="H21" s="1">
        <v>99</v>
      </c>
      <c r="I21" s="1">
        <v>309.79000000000002</v>
      </c>
      <c r="J21" s="1">
        <v>289.13</v>
      </c>
    </row>
    <row r="22" spans="1:10" x14ac:dyDescent="0.25">
      <c r="A22" s="1" t="s">
        <v>47</v>
      </c>
      <c r="B22" s="1" t="s">
        <v>48</v>
      </c>
      <c r="C22" s="1" t="s">
        <v>12</v>
      </c>
      <c r="D22" s="1" t="s">
        <v>42</v>
      </c>
      <c r="E22" s="1" t="s">
        <v>24</v>
      </c>
      <c r="F22" s="1" t="s">
        <v>28</v>
      </c>
      <c r="G22" s="2">
        <v>44947</v>
      </c>
      <c r="H22" s="1">
        <v>411</v>
      </c>
      <c r="I22" s="1">
        <v>167.86</v>
      </c>
      <c r="J22" s="1">
        <v>58.23</v>
      </c>
    </row>
    <row r="23" spans="1:10" x14ac:dyDescent="0.25">
      <c r="A23" s="1" t="s">
        <v>49</v>
      </c>
      <c r="B23" s="1" t="s">
        <v>22</v>
      </c>
      <c r="C23" s="1" t="s">
        <v>50</v>
      </c>
      <c r="D23" s="1" t="s">
        <v>19</v>
      </c>
      <c r="E23" s="1" t="s">
        <v>24</v>
      </c>
      <c r="F23" s="1" t="s">
        <v>15</v>
      </c>
      <c r="G23" s="2">
        <v>44948</v>
      </c>
      <c r="H23" s="1">
        <v>463</v>
      </c>
      <c r="I23" s="1">
        <v>237.74</v>
      </c>
      <c r="J23" s="1">
        <v>86.37</v>
      </c>
    </row>
    <row r="24" spans="1:10" x14ac:dyDescent="0.25">
      <c r="A24" s="1" t="s">
        <v>51</v>
      </c>
      <c r="B24" s="1" t="s">
        <v>48</v>
      </c>
      <c r="C24" s="1" t="s">
        <v>50</v>
      </c>
      <c r="D24" s="1" t="s">
        <v>42</v>
      </c>
      <c r="E24" s="1" t="s">
        <v>14</v>
      </c>
      <c r="F24" s="1" t="s">
        <v>20</v>
      </c>
      <c r="G24" s="2">
        <v>44949</v>
      </c>
      <c r="H24" s="1">
        <v>46</v>
      </c>
      <c r="I24" s="1">
        <v>373.42</v>
      </c>
      <c r="J24" s="1">
        <v>327.86</v>
      </c>
    </row>
    <row r="25" spans="1:10" x14ac:dyDescent="0.25">
      <c r="A25" s="1" t="s">
        <v>52</v>
      </c>
      <c r="B25" s="1" t="s">
        <v>17</v>
      </c>
      <c r="C25" s="1" t="s">
        <v>31</v>
      </c>
      <c r="D25" s="1" t="s">
        <v>42</v>
      </c>
      <c r="E25" s="1" t="s">
        <v>24</v>
      </c>
      <c r="F25" s="1" t="s">
        <v>28</v>
      </c>
      <c r="G25" s="2">
        <v>44950</v>
      </c>
      <c r="H25" s="1">
        <v>325</v>
      </c>
      <c r="I25" s="1">
        <v>436.56</v>
      </c>
      <c r="J25" s="1">
        <v>130.37</v>
      </c>
    </row>
    <row r="26" spans="1:10" x14ac:dyDescent="0.25">
      <c r="A26" s="1" t="s">
        <v>53</v>
      </c>
      <c r="B26" s="1" t="s">
        <v>17</v>
      </c>
      <c r="C26" s="1" t="s">
        <v>18</v>
      </c>
      <c r="D26" s="1"/>
      <c r="E26" s="1" t="s">
        <v>24</v>
      </c>
      <c r="F26" s="1" t="s">
        <v>28</v>
      </c>
      <c r="G26" s="2">
        <v>44951</v>
      </c>
      <c r="H26" s="1">
        <v>185</v>
      </c>
      <c r="I26" s="1">
        <v>219.66</v>
      </c>
      <c r="J26" s="1">
        <v>11.11</v>
      </c>
    </row>
    <row r="27" spans="1:10" x14ac:dyDescent="0.25">
      <c r="A27" s="1" t="s">
        <v>54</v>
      </c>
      <c r="B27" s="1" t="s">
        <v>48</v>
      </c>
      <c r="C27" s="1" t="s">
        <v>18</v>
      </c>
      <c r="D27" s="1" t="s">
        <v>13</v>
      </c>
      <c r="E27" s="1" t="s">
        <v>24</v>
      </c>
      <c r="F27" s="1" t="s">
        <v>15</v>
      </c>
      <c r="G27" s="2">
        <v>44952</v>
      </c>
      <c r="H27" s="1">
        <v>470</v>
      </c>
      <c r="I27" s="1">
        <v>26.61</v>
      </c>
      <c r="J27" s="1">
        <v>63.21</v>
      </c>
    </row>
    <row r="28" spans="1:10" x14ac:dyDescent="0.25">
      <c r="A28" s="1" t="s">
        <v>55</v>
      </c>
      <c r="B28" s="1" t="s">
        <v>48</v>
      </c>
      <c r="C28" s="1" t="s">
        <v>31</v>
      </c>
      <c r="D28" s="1" t="s">
        <v>27</v>
      </c>
      <c r="E28" s="1" t="s">
        <v>14</v>
      </c>
      <c r="F28" s="1" t="s">
        <v>28</v>
      </c>
      <c r="G28" s="2">
        <v>44953</v>
      </c>
      <c r="H28" s="1">
        <v>293</v>
      </c>
      <c r="I28" s="1">
        <v>85.03</v>
      </c>
      <c r="J28" s="1">
        <v>91</v>
      </c>
    </row>
    <row r="29" spans="1:10" x14ac:dyDescent="0.25">
      <c r="A29" s="1" t="s">
        <v>56</v>
      </c>
      <c r="B29" s="1" t="s">
        <v>48</v>
      </c>
      <c r="C29" s="1" t="s">
        <v>31</v>
      </c>
      <c r="D29" s="1" t="s">
        <v>19</v>
      </c>
      <c r="E29" s="1" t="s">
        <v>14</v>
      </c>
      <c r="F29" s="1" t="s">
        <v>28</v>
      </c>
      <c r="G29" s="2">
        <v>44954</v>
      </c>
      <c r="H29" s="1">
        <v>462</v>
      </c>
      <c r="I29" s="1"/>
      <c r="J29" s="1">
        <v>383.01</v>
      </c>
    </row>
    <row r="30" spans="1:10" x14ac:dyDescent="0.25">
      <c r="A30" s="1" t="s">
        <v>57</v>
      </c>
      <c r="B30" s="1" t="s">
        <v>17</v>
      </c>
      <c r="C30" s="1" t="s">
        <v>31</v>
      </c>
      <c r="D30" s="1" t="s">
        <v>13</v>
      </c>
      <c r="E30" s="1" t="s">
        <v>24</v>
      </c>
      <c r="F30" s="1" t="s">
        <v>20</v>
      </c>
      <c r="G30" s="2">
        <v>44955</v>
      </c>
      <c r="H30" s="1">
        <v>470</v>
      </c>
      <c r="I30" s="1">
        <v>328.37</v>
      </c>
      <c r="J30" s="1">
        <v>230.07</v>
      </c>
    </row>
    <row r="31" spans="1:10" x14ac:dyDescent="0.25">
      <c r="A31" s="1" t="s">
        <v>58</v>
      </c>
      <c r="B31" s="1" t="s">
        <v>17</v>
      </c>
      <c r="C31" s="1" t="s">
        <v>12</v>
      </c>
      <c r="D31" s="1" t="s">
        <v>13</v>
      </c>
      <c r="E31" s="1" t="s">
        <v>14</v>
      </c>
      <c r="F31" s="1" t="s">
        <v>28</v>
      </c>
      <c r="G31" s="2">
        <v>44956</v>
      </c>
      <c r="H31" s="1">
        <v>90</v>
      </c>
      <c r="I31" s="1">
        <v>169.5</v>
      </c>
      <c r="J31" s="1">
        <v>373.23</v>
      </c>
    </row>
    <row r="32" spans="1:10" x14ac:dyDescent="0.25">
      <c r="A32" s="1" t="s">
        <v>59</v>
      </c>
      <c r="B32" s="1"/>
      <c r="C32" s="1" t="s">
        <v>18</v>
      </c>
      <c r="D32" s="1" t="s">
        <v>13</v>
      </c>
      <c r="E32" s="1" t="s">
        <v>14</v>
      </c>
      <c r="F32" s="1" t="s">
        <v>20</v>
      </c>
      <c r="G32" s="2">
        <v>44957</v>
      </c>
      <c r="H32" s="1">
        <v>123</v>
      </c>
      <c r="I32" s="1">
        <v>273.52999999999997</v>
      </c>
      <c r="J32" s="1">
        <v>230.92</v>
      </c>
    </row>
    <row r="33" spans="1:10" x14ac:dyDescent="0.25">
      <c r="A33" s="1" t="s">
        <v>60</v>
      </c>
      <c r="B33" s="1" t="s">
        <v>22</v>
      </c>
      <c r="C33" s="1" t="s">
        <v>12</v>
      </c>
      <c r="D33" s="1" t="s">
        <v>13</v>
      </c>
      <c r="E33" s="1" t="s">
        <v>14</v>
      </c>
      <c r="F33" s="1" t="s">
        <v>15</v>
      </c>
      <c r="G33" s="2">
        <v>44958</v>
      </c>
      <c r="H33" s="1">
        <v>49</v>
      </c>
      <c r="I33" s="1">
        <v>249.17</v>
      </c>
      <c r="J33" s="1">
        <v>192.78</v>
      </c>
    </row>
    <row r="34" spans="1:10" x14ac:dyDescent="0.25">
      <c r="A34" s="1" t="s">
        <v>61</v>
      </c>
      <c r="B34" s="1" t="s">
        <v>17</v>
      </c>
      <c r="C34" s="1" t="s">
        <v>31</v>
      </c>
      <c r="D34" s="1" t="s">
        <v>13</v>
      </c>
      <c r="E34" s="1" t="s">
        <v>14</v>
      </c>
      <c r="F34" s="1" t="s">
        <v>28</v>
      </c>
      <c r="G34" s="2">
        <v>44959</v>
      </c>
      <c r="H34" s="1">
        <v>310</v>
      </c>
      <c r="I34" s="1">
        <v>45.36</v>
      </c>
      <c r="J34" s="1">
        <v>126.86</v>
      </c>
    </row>
    <row r="35" spans="1:10" x14ac:dyDescent="0.25">
      <c r="A35" s="1" t="s">
        <v>62</v>
      </c>
      <c r="B35" s="1" t="s">
        <v>48</v>
      </c>
      <c r="C35" s="1" t="s">
        <v>18</v>
      </c>
      <c r="D35" s="1" t="s">
        <v>23</v>
      </c>
      <c r="E35" s="1" t="s">
        <v>14</v>
      </c>
      <c r="F35" s="1" t="s">
        <v>20</v>
      </c>
      <c r="G35" s="2">
        <v>44960</v>
      </c>
      <c r="H35" s="1">
        <v>233</v>
      </c>
      <c r="I35" s="1">
        <v>204.61</v>
      </c>
      <c r="J35" s="1">
        <v>243.34</v>
      </c>
    </row>
    <row r="36" spans="1:10" x14ac:dyDescent="0.25">
      <c r="A36" s="1" t="s">
        <v>63</v>
      </c>
      <c r="B36" s="1" t="s">
        <v>48</v>
      </c>
      <c r="C36" s="1" t="s">
        <v>12</v>
      </c>
      <c r="D36" s="1" t="s">
        <v>19</v>
      </c>
      <c r="E36" s="1" t="s">
        <v>14</v>
      </c>
      <c r="F36" s="1" t="s">
        <v>15</v>
      </c>
      <c r="G36" s="2">
        <v>44961</v>
      </c>
      <c r="H36" s="1">
        <v>327</v>
      </c>
      <c r="I36" s="1">
        <v>114.18</v>
      </c>
      <c r="J36" s="1">
        <v>57.4</v>
      </c>
    </row>
    <row r="37" spans="1:10" x14ac:dyDescent="0.25">
      <c r="A37" s="1" t="s">
        <v>64</v>
      </c>
      <c r="B37" s="1" t="s">
        <v>22</v>
      </c>
      <c r="C37" s="1" t="s">
        <v>12</v>
      </c>
      <c r="D37" s="1" t="s">
        <v>13</v>
      </c>
      <c r="E37" s="1" t="s">
        <v>14</v>
      </c>
      <c r="F37" s="1" t="s">
        <v>28</v>
      </c>
      <c r="G37" s="2">
        <v>44962</v>
      </c>
      <c r="H37" s="1">
        <v>358</v>
      </c>
      <c r="I37" s="1">
        <v>212.11</v>
      </c>
      <c r="J37" s="1">
        <v>359.51</v>
      </c>
    </row>
    <row r="38" spans="1:10" x14ac:dyDescent="0.25">
      <c r="A38" s="1" t="s">
        <v>65</v>
      </c>
      <c r="B38" s="1" t="s">
        <v>17</v>
      </c>
      <c r="C38" s="1" t="s">
        <v>31</v>
      </c>
      <c r="D38" s="1" t="s">
        <v>19</v>
      </c>
      <c r="E38" s="1" t="s">
        <v>14</v>
      </c>
      <c r="F38" s="1" t="s">
        <v>15</v>
      </c>
      <c r="G38" s="2">
        <v>44963</v>
      </c>
      <c r="H38" s="1">
        <v>124</v>
      </c>
      <c r="I38" s="1"/>
      <c r="J38" s="1">
        <v>332.07</v>
      </c>
    </row>
    <row r="39" spans="1:10" x14ac:dyDescent="0.25">
      <c r="A39" s="1" t="s">
        <v>66</v>
      </c>
      <c r="B39" s="1" t="s">
        <v>22</v>
      </c>
      <c r="C39" s="1" t="s">
        <v>18</v>
      </c>
      <c r="D39" s="1" t="s">
        <v>23</v>
      </c>
      <c r="E39" s="1" t="s">
        <v>14</v>
      </c>
      <c r="F39" s="1" t="s">
        <v>28</v>
      </c>
      <c r="G39" s="2">
        <v>44964</v>
      </c>
      <c r="H39" s="1">
        <v>195</v>
      </c>
      <c r="I39" s="1">
        <v>421.02</v>
      </c>
      <c r="J39" s="1">
        <v>128.38</v>
      </c>
    </row>
    <row r="40" spans="1:10" x14ac:dyDescent="0.25">
      <c r="A40" s="1" t="s">
        <v>67</v>
      </c>
      <c r="B40" s="1" t="s">
        <v>22</v>
      </c>
      <c r="C40" s="1" t="s">
        <v>31</v>
      </c>
      <c r="D40" s="1" t="s">
        <v>23</v>
      </c>
      <c r="E40" s="1" t="s">
        <v>14</v>
      </c>
      <c r="F40" s="1" t="s">
        <v>15</v>
      </c>
      <c r="G40" s="2">
        <v>44965</v>
      </c>
      <c r="H40" s="1"/>
      <c r="I40" s="1">
        <v>91.23</v>
      </c>
      <c r="J40" s="1">
        <v>381.21</v>
      </c>
    </row>
    <row r="41" spans="1:10" x14ac:dyDescent="0.25">
      <c r="A41" s="1" t="s">
        <v>68</v>
      </c>
      <c r="B41" s="1" t="s">
        <v>11</v>
      </c>
      <c r="C41" s="1" t="s">
        <v>18</v>
      </c>
      <c r="D41" s="1" t="s">
        <v>19</v>
      </c>
      <c r="E41" s="1" t="s">
        <v>24</v>
      </c>
      <c r="F41" s="1" t="s">
        <v>15</v>
      </c>
      <c r="G41" s="2">
        <v>44966</v>
      </c>
      <c r="H41" s="1">
        <v>65</v>
      </c>
      <c r="I41" s="1">
        <v>480.59</v>
      </c>
      <c r="J41" s="1">
        <v>330.43</v>
      </c>
    </row>
    <row r="42" spans="1:10" x14ac:dyDescent="0.25">
      <c r="A42" s="1" t="s">
        <v>69</v>
      </c>
      <c r="B42" s="1" t="s">
        <v>11</v>
      </c>
      <c r="C42" s="1" t="s">
        <v>50</v>
      </c>
      <c r="D42" s="1" t="s">
        <v>42</v>
      </c>
      <c r="E42" s="1" t="s">
        <v>24</v>
      </c>
      <c r="F42" s="1" t="s">
        <v>20</v>
      </c>
      <c r="G42" s="2">
        <v>44967</v>
      </c>
      <c r="H42" s="1">
        <v>49</v>
      </c>
      <c r="I42" s="1">
        <v>210.87</v>
      </c>
      <c r="J42" s="1">
        <v>267.19</v>
      </c>
    </row>
    <row r="43" spans="1:10" x14ac:dyDescent="0.25">
      <c r="A43" s="1" t="s">
        <v>70</v>
      </c>
      <c r="B43" s="1" t="s">
        <v>11</v>
      </c>
      <c r="C43" s="1" t="s">
        <v>26</v>
      </c>
      <c r="D43" s="1" t="s">
        <v>27</v>
      </c>
      <c r="E43" s="1" t="s">
        <v>14</v>
      </c>
      <c r="F43" s="1" t="s">
        <v>15</v>
      </c>
      <c r="G43" s="2">
        <v>44968</v>
      </c>
      <c r="H43" s="1">
        <v>363</v>
      </c>
      <c r="I43" s="1">
        <v>423.89</v>
      </c>
      <c r="J43" s="1">
        <v>50.46</v>
      </c>
    </row>
    <row r="44" spans="1:10" x14ac:dyDescent="0.25">
      <c r="A44" s="1" t="s">
        <v>71</v>
      </c>
      <c r="B44" s="1" t="s">
        <v>48</v>
      </c>
      <c r="C44" s="1" t="s">
        <v>26</v>
      </c>
      <c r="D44" s="1" t="s">
        <v>42</v>
      </c>
      <c r="E44" s="1" t="s">
        <v>24</v>
      </c>
      <c r="F44" s="1" t="s">
        <v>28</v>
      </c>
      <c r="G44" s="2">
        <v>44969</v>
      </c>
      <c r="H44" s="1">
        <v>49</v>
      </c>
      <c r="I44" s="1">
        <v>316.24</v>
      </c>
      <c r="J44" s="1">
        <v>192.34</v>
      </c>
    </row>
    <row r="45" spans="1:10" x14ac:dyDescent="0.25">
      <c r="A45" s="1" t="s">
        <v>72</v>
      </c>
      <c r="B45" s="1" t="s">
        <v>17</v>
      </c>
      <c r="C45" s="1" t="s">
        <v>26</v>
      </c>
      <c r="D45" s="1" t="s">
        <v>42</v>
      </c>
      <c r="E45" s="1" t="s">
        <v>24</v>
      </c>
      <c r="F45" s="1" t="s">
        <v>28</v>
      </c>
      <c r="G45" s="2">
        <v>44970</v>
      </c>
      <c r="H45" s="1">
        <v>356</v>
      </c>
      <c r="I45" s="1">
        <v>369</v>
      </c>
      <c r="J45" s="1">
        <v>203.43</v>
      </c>
    </row>
    <row r="46" spans="1:10" x14ac:dyDescent="0.25">
      <c r="A46" s="1" t="s">
        <v>73</v>
      </c>
      <c r="B46" s="1" t="s">
        <v>17</v>
      </c>
      <c r="C46" s="1" t="s">
        <v>31</v>
      </c>
      <c r="D46" s="1" t="s">
        <v>42</v>
      </c>
      <c r="E46" s="1" t="s">
        <v>14</v>
      </c>
      <c r="F46" s="1" t="s">
        <v>20</v>
      </c>
      <c r="G46" s="2">
        <v>44971</v>
      </c>
      <c r="H46" s="1">
        <v>470</v>
      </c>
      <c r="I46" s="1"/>
      <c r="J46" s="1">
        <v>94.56</v>
      </c>
    </row>
    <row r="47" spans="1:10" x14ac:dyDescent="0.25">
      <c r="A47" s="1" t="s">
        <v>74</v>
      </c>
      <c r="B47" s="1" t="s">
        <v>17</v>
      </c>
      <c r="C47" s="1" t="s">
        <v>50</v>
      </c>
      <c r="D47" s="1" t="s">
        <v>13</v>
      </c>
      <c r="E47" s="1" t="s">
        <v>14</v>
      </c>
      <c r="F47" s="1" t="s">
        <v>28</v>
      </c>
      <c r="G47" s="2">
        <v>44972</v>
      </c>
      <c r="H47" s="1">
        <v>246</v>
      </c>
      <c r="I47" s="1">
        <v>254.9</v>
      </c>
      <c r="J47" s="1">
        <v>33.83</v>
      </c>
    </row>
    <row r="48" spans="1:10" x14ac:dyDescent="0.25">
      <c r="A48" s="1" t="s">
        <v>75</v>
      </c>
      <c r="B48" s="1" t="s">
        <v>17</v>
      </c>
      <c r="C48" s="1" t="s">
        <v>18</v>
      </c>
      <c r="D48" s="1" t="s">
        <v>23</v>
      </c>
      <c r="E48" s="1" t="s">
        <v>14</v>
      </c>
      <c r="F48" s="1" t="s">
        <v>28</v>
      </c>
      <c r="G48" s="2">
        <v>44973</v>
      </c>
      <c r="H48" s="1">
        <v>298</v>
      </c>
      <c r="I48" s="1">
        <v>273.93</v>
      </c>
      <c r="J48" s="1">
        <v>311.14</v>
      </c>
    </row>
    <row r="49" spans="1:10" x14ac:dyDescent="0.25">
      <c r="A49" s="1" t="s">
        <v>76</v>
      </c>
      <c r="B49" s="1" t="s">
        <v>11</v>
      </c>
      <c r="C49" s="1" t="s">
        <v>12</v>
      </c>
      <c r="D49" s="1" t="s">
        <v>42</v>
      </c>
      <c r="E49" s="1" t="s">
        <v>24</v>
      </c>
      <c r="F49" s="1" t="s">
        <v>28</v>
      </c>
      <c r="G49" s="2">
        <v>44974</v>
      </c>
      <c r="H49" s="1">
        <v>271</v>
      </c>
      <c r="I49" s="1">
        <v>259.43</v>
      </c>
      <c r="J49" s="1">
        <v>50.57</v>
      </c>
    </row>
    <row r="50" spans="1:10" x14ac:dyDescent="0.25">
      <c r="A50" s="1" t="s">
        <v>77</v>
      </c>
      <c r="B50" s="1" t="s">
        <v>48</v>
      </c>
      <c r="C50" s="1" t="s">
        <v>18</v>
      </c>
      <c r="D50" s="1" t="s">
        <v>23</v>
      </c>
      <c r="E50" s="1" t="s">
        <v>24</v>
      </c>
      <c r="F50" s="1" t="s">
        <v>15</v>
      </c>
      <c r="G50" s="2">
        <v>44975</v>
      </c>
      <c r="H50" s="1">
        <v>225</v>
      </c>
      <c r="I50" s="1">
        <v>296.08999999999997</v>
      </c>
      <c r="J50" s="1">
        <v>238.53</v>
      </c>
    </row>
    <row r="51" spans="1:10" x14ac:dyDescent="0.25">
      <c r="A51" s="1" t="s">
        <v>78</v>
      </c>
      <c r="B51" s="1"/>
      <c r="C51" s="1" t="s">
        <v>12</v>
      </c>
      <c r="D51" s="1" t="s">
        <v>19</v>
      </c>
      <c r="E51" s="1" t="s">
        <v>14</v>
      </c>
      <c r="F51" s="1" t="s">
        <v>15</v>
      </c>
      <c r="G51" s="2">
        <v>44976</v>
      </c>
      <c r="H51" s="1">
        <v>156</v>
      </c>
      <c r="I51" s="1">
        <v>19.55</v>
      </c>
      <c r="J51" s="1">
        <v>374.71</v>
      </c>
    </row>
    <row r="52" spans="1:10" x14ac:dyDescent="0.25">
      <c r="A52" s="1" t="s">
        <v>79</v>
      </c>
      <c r="B52" s="1" t="s">
        <v>11</v>
      </c>
      <c r="C52" s="1" t="s">
        <v>18</v>
      </c>
      <c r="D52" s="1" t="s">
        <v>27</v>
      </c>
      <c r="E52" s="1" t="s">
        <v>14</v>
      </c>
      <c r="F52" s="1" t="s">
        <v>28</v>
      </c>
      <c r="G52" s="2">
        <v>44977</v>
      </c>
      <c r="H52" s="1">
        <v>345</v>
      </c>
      <c r="I52" s="1">
        <v>200.78</v>
      </c>
      <c r="J52" s="1">
        <v>350.69</v>
      </c>
    </row>
    <row r="53" spans="1:10" x14ac:dyDescent="0.25">
      <c r="A53" s="1" t="s">
        <v>80</v>
      </c>
      <c r="B53" s="1" t="s">
        <v>48</v>
      </c>
      <c r="C53" s="1" t="s">
        <v>50</v>
      </c>
      <c r="D53" s="1" t="s">
        <v>19</v>
      </c>
      <c r="E53" s="1" t="s">
        <v>14</v>
      </c>
      <c r="F53" s="1" t="s">
        <v>20</v>
      </c>
      <c r="G53" s="2">
        <v>44978</v>
      </c>
      <c r="H53" s="1">
        <v>177</v>
      </c>
      <c r="I53" s="1">
        <v>305.06</v>
      </c>
      <c r="J53" s="1">
        <v>112.55</v>
      </c>
    </row>
    <row r="54" spans="1:10" x14ac:dyDescent="0.25">
      <c r="A54" s="1" t="s">
        <v>81</v>
      </c>
      <c r="B54" s="1" t="s">
        <v>11</v>
      </c>
      <c r="C54" s="1" t="s">
        <v>12</v>
      </c>
      <c r="D54" s="1" t="s">
        <v>19</v>
      </c>
      <c r="E54" s="1" t="s">
        <v>24</v>
      </c>
      <c r="F54" s="1" t="s">
        <v>15</v>
      </c>
      <c r="G54" s="2">
        <v>44979</v>
      </c>
      <c r="H54" s="1">
        <v>101</v>
      </c>
      <c r="I54" s="1">
        <v>300.87</v>
      </c>
      <c r="J54" s="1">
        <v>340.88</v>
      </c>
    </row>
    <row r="55" spans="1:10" x14ac:dyDescent="0.25">
      <c r="A55" s="1" t="s">
        <v>82</v>
      </c>
      <c r="B55" s="1" t="s">
        <v>17</v>
      </c>
      <c r="C55" s="1" t="s">
        <v>31</v>
      </c>
      <c r="D55" s="1" t="s">
        <v>13</v>
      </c>
      <c r="E55" s="1" t="s">
        <v>24</v>
      </c>
      <c r="F55" s="1" t="s">
        <v>20</v>
      </c>
      <c r="G55" s="2">
        <v>44980</v>
      </c>
      <c r="H55" s="1">
        <v>362</v>
      </c>
      <c r="I55" s="1">
        <v>397.51</v>
      </c>
      <c r="J55" s="1">
        <v>2.13</v>
      </c>
    </row>
    <row r="56" spans="1:10" x14ac:dyDescent="0.25">
      <c r="A56" s="1" t="s">
        <v>83</v>
      </c>
      <c r="B56" s="1" t="s">
        <v>11</v>
      </c>
      <c r="C56" s="1" t="s">
        <v>18</v>
      </c>
      <c r="D56" s="1" t="s">
        <v>27</v>
      </c>
      <c r="E56" s="1" t="s">
        <v>24</v>
      </c>
      <c r="F56" s="1" t="s">
        <v>28</v>
      </c>
      <c r="G56" s="2">
        <v>44981</v>
      </c>
      <c r="H56" s="1">
        <v>68</v>
      </c>
      <c r="I56" s="1">
        <v>329.23</v>
      </c>
      <c r="J56" s="1">
        <v>9.0399999999999991</v>
      </c>
    </row>
    <row r="57" spans="1:10" x14ac:dyDescent="0.25">
      <c r="A57" s="1" t="s">
        <v>84</v>
      </c>
      <c r="B57" s="1" t="s">
        <v>17</v>
      </c>
      <c r="C57" s="1" t="s">
        <v>18</v>
      </c>
      <c r="D57" s="1" t="s">
        <v>19</v>
      </c>
      <c r="E57" s="1" t="s">
        <v>24</v>
      </c>
      <c r="F57" s="1" t="s">
        <v>28</v>
      </c>
      <c r="G57" s="2">
        <v>44982</v>
      </c>
      <c r="H57" s="1">
        <v>68</v>
      </c>
      <c r="I57" s="1">
        <v>496.11</v>
      </c>
      <c r="J57" s="1">
        <v>241.82</v>
      </c>
    </row>
    <row r="58" spans="1:10" x14ac:dyDescent="0.25">
      <c r="A58" s="1" t="s">
        <v>85</v>
      </c>
      <c r="B58" s="1" t="s">
        <v>17</v>
      </c>
      <c r="C58" s="1" t="s">
        <v>12</v>
      </c>
      <c r="D58" s="1" t="s">
        <v>19</v>
      </c>
      <c r="E58" s="1" t="s">
        <v>14</v>
      </c>
      <c r="F58" s="1" t="s">
        <v>15</v>
      </c>
      <c r="G58" s="2">
        <v>44983</v>
      </c>
      <c r="H58" s="1">
        <v>313</v>
      </c>
      <c r="I58" s="1">
        <v>145.51</v>
      </c>
      <c r="J58" s="1">
        <v>147.19</v>
      </c>
    </row>
    <row r="59" spans="1:10" x14ac:dyDescent="0.25">
      <c r="A59" s="1" t="s">
        <v>86</v>
      </c>
      <c r="B59" s="1" t="s">
        <v>22</v>
      </c>
      <c r="C59" s="1" t="s">
        <v>31</v>
      </c>
      <c r="D59" s="1" t="s">
        <v>27</v>
      </c>
      <c r="E59" s="1" t="s">
        <v>14</v>
      </c>
      <c r="F59" s="1" t="s">
        <v>28</v>
      </c>
      <c r="G59" s="2">
        <v>44984</v>
      </c>
      <c r="H59" s="1">
        <v>178</v>
      </c>
      <c r="I59" s="1">
        <v>182.78</v>
      </c>
      <c r="J59" s="1">
        <v>155.81</v>
      </c>
    </row>
    <row r="60" spans="1:10" x14ac:dyDescent="0.25">
      <c r="A60" s="1" t="s">
        <v>87</v>
      </c>
      <c r="B60" s="1" t="s">
        <v>11</v>
      </c>
      <c r="C60" s="1" t="s">
        <v>31</v>
      </c>
      <c r="D60" s="1" t="s">
        <v>27</v>
      </c>
      <c r="E60" s="1" t="s">
        <v>14</v>
      </c>
      <c r="F60" s="1" t="s">
        <v>15</v>
      </c>
      <c r="G60" s="2">
        <v>44985</v>
      </c>
      <c r="H60" s="1">
        <v>278</v>
      </c>
      <c r="I60" s="1">
        <v>195</v>
      </c>
      <c r="J60" s="1">
        <v>226.65</v>
      </c>
    </row>
    <row r="61" spans="1:10" x14ac:dyDescent="0.25">
      <c r="A61" s="1" t="s">
        <v>88</v>
      </c>
      <c r="B61" s="1" t="s">
        <v>22</v>
      </c>
      <c r="C61" s="1" t="s">
        <v>50</v>
      </c>
      <c r="D61" s="1" t="s">
        <v>19</v>
      </c>
      <c r="E61" s="1" t="s">
        <v>14</v>
      </c>
      <c r="F61" s="1" t="s">
        <v>28</v>
      </c>
      <c r="G61" s="2">
        <v>44986</v>
      </c>
      <c r="H61" s="1">
        <v>372</v>
      </c>
      <c r="I61" s="1">
        <v>235.58</v>
      </c>
      <c r="J61" s="1">
        <v>78.33</v>
      </c>
    </row>
    <row r="62" spans="1:10" x14ac:dyDescent="0.25">
      <c r="A62" s="1" t="s">
        <v>89</v>
      </c>
      <c r="B62" s="1" t="s">
        <v>11</v>
      </c>
      <c r="C62" s="1" t="s">
        <v>31</v>
      </c>
      <c r="D62" s="1" t="s">
        <v>27</v>
      </c>
      <c r="E62" s="1" t="s">
        <v>24</v>
      </c>
      <c r="F62" s="1" t="s">
        <v>28</v>
      </c>
      <c r="G62" s="2">
        <v>44987</v>
      </c>
      <c r="H62" s="1">
        <v>54</v>
      </c>
      <c r="I62" s="1">
        <v>418.82</v>
      </c>
      <c r="J62" s="1">
        <v>86.28</v>
      </c>
    </row>
    <row r="63" spans="1:10" x14ac:dyDescent="0.25">
      <c r="A63" s="1" t="s">
        <v>90</v>
      </c>
      <c r="B63" s="1" t="s">
        <v>11</v>
      </c>
      <c r="C63" s="1" t="s">
        <v>31</v>
      </c>
      <c r="D63" s="1" t="s">
        <v>19</v>
      </c>
      <c r="E63" s="1" t="s">
        <v>24</v>
      </c>
      <c r="F63" s="1" t="s">
        <v>15</v>
      </c>
      <c r="G63" s="2">
        <v>44988</v>
      </c>
      <c r="H63" s="1">
        <v>354</v>
      </c>
      <c r="I63" s="1">
        <v>121.72</v>
      </c>
      <c r="J63" s="1">
        <v>194.87</v>
      </c>
    </row>
    <row r="64" spans="1:10" x14ac:dyDescent="0.25">
      <c r="A64" s="1" t="s">
        <v>91</v>
      </c>
      <c r="B64" s="1" t="s">
        <v>22</v>
      </c>
      <c r="C64" s="1" t="s">
        <v>31</v>
      </c>
      <c r="D64" s="1" t="s">
        <v>19</v>
      </c>
      <c r="E64" s="1" t="s">
        <v>14</v>
      </c>
      <c r="F64" s="1" t="s">
        <v>15</v>
      </c>
      <c r="G64" s="2">
        <v>44989</v>
      </c>
      <c r="H64" s="1">
        <v>190</v>
      </c>
      <c r="I64" s="1">
        <v>389.12</v>
      </c>
      <c r="J64" s="1">
        <v>302.19</v>
      </c>
    </row>
    <row r="65" spans="1:10" x14ac:dyDescent="0.25">
      <c r="A65" s="1" t="s">
        <v>92</v>
      </c>
      <c r="B65" s="1"/>
      <c r="C65" s="1" t="s">
        <v>26</v>
      </c>
      <c r="D65" s="1" t="s">
        <v>13</v>
      </c>
      <c r="E65" s="1" t="s">
        <v>14</v>
      </c>
      <c r="F65" s="1" t="s">
        <v>15</v>
      </c>
      <c r="G65" s="2">
        <v>44990</v>
      </c>
      <c r="H65" s="1">
        <v>179</v>
      </c>
      <c r="I65" s="1">
        <v>205.63</v>
      </c>
      <c r="J65" s="1">
        <v>248.56</v>
      </c>
    </row>
    <row r="66" spans="1:10" x14ac:dyDescent="0.25">
      <c r="A66" s="1" t="s">
        <v>93</v>
      </c>
      <c r="B66" s="1" t="s">
        <v>11</v>
      </c>
      <c r="C66" s="1" t="s">
        <v>50</v>
      </c>
      <c r="D66" s="1" t="s">
        <v>42</v>
      </c>
      <c r="E66" s="1" t="s">
        <v>24</v>
      </c>
      <c r="F66" s="1" t="s">
        <v>28</v>
      </c>
      <c r="G66" s="2">
        <v>44991</v>
      </c>
      <c r="H66" s="1">
        <v>365</v>
      </c>
      <c r="I66" s="1">
        <v>302.92</v>
      </c>
      <c r="J66" s="1">
        <v>120.35</v>
      </c>
    </row>
    <row r="67" spans="1:10" x14ac:dyDescent="0.25">
      <c r="A67" s="1" t="s">
        <v>94</v>
      </c>
      <c r="B67" s="1" t="s">
        <v>48</v>
      </c>
      <c r="C67" s="1" t="s">
        <v>18</v>
      </c>
      <c r="D67" s="1" t="s">
        <v>19</v>
      </c>
      <c r="E67" s="1" t="s">
        <v>14</v>
      </c>
      <c r="F67" s="1" t="s">
        <v>28</v>
      </c>
      <c r="G67" s="2">
        <v>44992</v>
      </c>
      <c r="H67" s="1">
        <v>200</v>
      </c>
      <c r="I67" s="1">
        <v>318.11</v>
      </c>
      <c r="J67" s="1">
        <v>173.27</v>
      </c>
    </row>
    <row r="68" spans="1:10" x14ac:dyDescent="0.25">
      <c r="A68" s="1" t="s">
        <v>95</v>
      </c>
      <c r="B68" s="1" t="s">
        <v>17</v>
      </c>
      <c r="C68" s="1" t="s">
        <v>12</v>
      </c>
      <c r="D68" s="1" t="s">
        <v>23</v>
      </c>
      <c r="E68" s="1" t="s">
        <v>24</v>
      </c>
      <c r="F68" s="1" t="s">
        <v>20</v>
      </c>
      <c r="G68" s="2">
        <v>44993</v>
      </c>
      <c r="H68" s="1">
        <v>164</v>
      </c>
      <c r="I68" s="1">
        <v>189.56</v>
      </c>
      <c r="J68" s="1">
        <v>69.92</v>
      </c>
    </row>
    <row r="69" spans="1:10" x14ac:dyDescent="0.25">
      <c r="A69" s="1" t="s">
        <v>96</v>
      </c>
      <c r="B69" s="1" t="s">
        <v>22</v>
      </c>
      <c r="C69" s="1" t="s">
        <v>18</v>
      </c>
      <c r="D69" s="1" t="s">
        <v>42</v>
      </c>
      <c r="E69" s="1" t="s">
        <v>14</v>
      </c>
      <c r="F69" s="1" t="s">
        <v>15</v>
      </c>
      <c r="G69" s="2">
        <v>44994</v>
      </c>
      <c r="H69" s="1">
        <v>431</v>
      </c>
      <c r="I69" s="1">
        <v>258.74</v>
      </c>
      <c r="J69" s="1">
        <v>31.7</v>
      </c>
    </row>
    <row r="70" spans="1:10" x14ac:dyDescent="0.25">
      <c r="A70" s="1" t="s">
        <v>97</v>
      </c>
      <c r="B70" s="1" t="s">
        <v>17</v>
      </c>
      <c r="C70" s="1" t="s">
        <v>50</v>
      </c>
      <c r="D70" s="1" t="s">
        <v>42</v>
      </c>
      <c r="E70" s="1" t="s">
        <v>14</v>
      </c>
      <c r="F70" s="1" t="s">
        <v>28</v>
      </c>
      <c r="G70" s="2">
        <v>44995</v>
      </c>
      <c r="H70" s="1">
        <v>197</v>
      </c>
      <c r="I70" s="1">
        <v>209.45</v>
      </c>
      <c r="J70" s="1">
        <v>313.51</v>
      </c>
    </row>
    <row r="71" spans="1:10" x14ac:dyDescent="0.25">
      <c r="A71" s="1" t="s">
        <v>98</v>
      </c>
      <c r="B71" s="1" t="s">
        <v>48</v>
      </c>
      <c r="C71" s="1" t="s">
        <v>12</v>
      </c>
      <c r="D71" s="1" t="s">
        <v>42</v>
      </c>
      <c r="E71" s="1" t="s">
        <v>14</v>
      </c>
      <c r="F71" s="1" t="s">
        <v>28</v>
      </c>
      <c r="G71" s="2">
        <v>44996</v>
      </c>
      <c r="H71" s="1">
        <v>16</v>
      </c>
      <c r="I71" s="1">
        <v>39.22</v>
      </c>
      <c r="J71" s="1">
        <v>107.62</v>
      </c>
    </row>
    <row r="72" spans="1:10" x14ac:dyDescent="0.25">
      <c r="A72" s="1" t="s">
        <v>99</v>
      </c>
      <c r="B72" s="1" t="s">
        <v>48</v>
      </c>
      <c r="C72" s="1" t="s">
        <v>50</v>
      </c>
      <c r="D72" s="1" t="s">
        <v>13</v>
      </c>
      <c r="E72" s="1" t="s">
        <v>14</v>
      </c>
      <c r="F72" s="1" t="s">
        <v>15</v>
      </c>
      <c r="G72" s="2">
        <v>44997</v>
      </c>
      <c r="H72" s="1">
        <v>142</v>
      </c>
      <c r="I72" s="1">
        <v>221.4</v>
      </c>
      <c r="J72" s="1">
        <v>72.75</v>
      </c>
    </row>
    <row r="73" spans="1:10" x14ac:dyDescent="0.25">
      <c r="A73" s="1" t="s">
        <v>100</v>
      </c>
      <c r="B73" s="1" t="s">
        <v>48</v>
      </c>
      <c r="C73" s="1" t="s">
        <v>31</v>
      </c>
      <c r="D73" s="1" t="s">
        <v>19</v>
      </c>
      <c r="E73" s="1" t="s">
        <v>14</v>
      </c>
      <c r="F73" s="1" t="s">
        <v>20</v>
      </c>
      <c r="G73" s="2">
        <v>44998</v>
      </c>
      <c r="H73" s="1">
        <v>244</v>
      </c>
      <c r="I73" s="1">
        <v>53.21</v>
      </c>
      <c r="J73" s="1">
        <v>277.26</v>
      </c>
    </row>
    <row r="74" spans="1:10" x14ac:dyDescent="0.25">
      <c r="A74" s="1" t="s">
        <v>101</v>
      </c>
      <c r="B74" s="1" t="s">
        <v>22</v>
      </c>
      <c r="C74" s="1" t="s">
        <v>12</v>
      </c>
      <c r="D74" s="1" t="s">
        <v>13</v>
      </c>
      <c r="E74" s="1" t="s">
        <v>14</v>
      </c>
      <c r="F74" s="1" t="s">
        <v>15</v>
      </c>
      <c r="G74" s="2">
        <v>44999</v>
      </c>
      <c r="H74" s="1">
        <v>54</v>
      </c>
      <c r="I74" s="1">
        <v>205.49</v>
      </c>
      <c r="J74" s="1">
        <v>247.98</v>
      </c>
    </row>
    <row r="75" spans="1:10" x14ac:dyDescent="0.25">
      <c r="A75" s="1" t="s">
        <v>102</v>
      </c>
      <c r="B75" s="1" t="s">
        <v>48</v>
      </c>
      <c r="C75" s="1" t="s">
        <v>31</v>
      </c>
      <c r="D75" s="1" t="s">
        <v>19</v>
      </c>
      <c r="E75" s="1" t="s">
        <v>14</v>
      </c>
      <c r="F75" s="1" t="s">
        <v>20</v>
      </c>
      <c r="G75" s="2">
        <v>45000</v>
      </c>
      <c r="H75" s="1">
        <v>323</v>
      </c>
      <c r="I75" s="1">
        <v>298.49</v>
      </c>
      <c r="J75" s="1">
        <v>254.01</v>
      </c>
    </row>
    <row r="76" spans="1:10" x14ac:dyDescent="0.25">
      <c r="A76" s="1" t="s">
        <v>103</v>
      </c>
      <c r="B76" s="1" t="s">
        <v>22</v>
      </c>
      <c r="C76" s="1" t="s">
        <v>18</v>
      </c>
      <c r="D76" s="1" t="s">
        <v>13</v>
      </c>
      <c r="E76" s="1" t="s">
        <v>24</v>
      </c>
      <c r="F76" s="1" t="s">
        <v>28</v>
      </c>
      <c r="G76" s="2">
        <v>45001</v>
      </c>
      <c r="H76" s="1">
        <v>258</v>
      </c>
      <c r="I76" s="1">
        <v>291.81</v>
      </c>
      <c r="J76" s="1">
        <v>93.1</v>
      </c>
    </row>
    <row r="77" spans="1:10" x14ac:dyDescent="0.25">
      <c r="A77" s="1" t="s">
        <v>104</v>
      </c>
      <c r="B77" s="1" t="s">
        <v>48</v>
      </c>
      <c r="C77" s="1" t="s">
        <v>18</v>
      </c>
      <c r="D77" s="1" t="s">
        <v>13</v>
      </c>
      <c r="E77" s="1" t="s">
        <v>24</v>
      </c>
      <c r="F77" s="1" t="s">
        <v>20</v>
      </c>
      <c r="G77" s="2">
        <v>45002</v>
      </c>
      <c r="H77" s="1">
        <v>40</v>
      </c>
      <c r="I77" s="1">
        <v>333</v>
      </c>
      <c r="J77" s="1">
        <v>94.59</v>
      </c>
    </row>
    <row r="78" spans="1:10" x14ac:dyDescent="0.25">
      <c r="A78" s="1" t="s">
        <v>105</v>
      </c>
      <c r="B78" s="1" t="s">
        <v>17</v>
      </c>
      <c r="C78" s="1" t="s">
        <v>12</v>
      </c>
      <c r="D78" s="1" t="s">
        <v>23</v>
      </c>
      <c r="E78" s="1" t="s">
        <v>24</v>
      </c>
      <c r="F78" s="1" t="s">
        <v>28</v>
      </c>
      <c r="G78" s="2">
        <v>45003</v>
      </c>
      <c r="H78" s="1">
        <v>32</v>
      </c>
      <c r="I78" s="1">
        <v>52.15</v>
      </c>
      <c r="J78" s="1">
        <v>89.88</v>
      </c>
    </row>
    <row r="79" spans="1:10" x14ac:dyDescent="0.25">
      <c r="A79" s="1" t="s">
        <v>106</v>
      </c>
      <c r="B79" s="1" t="s">
        <v>17</v>
      </c>
      <c r="C79" s="1" t="s">
        <v>12</v>
      </c>
      <c r="D79" s="1" t="s">
        <v>13</v>
      </c>
      <c r="E79" s="1" t="s">
        <v>24</v>
      </c>
      <c r="F79" s="1" t="s">
        <v>15</v>
      </c>
      <c r="G79" s="2">
        <v>45004</v>
      </c>
      <c r="H79" s="1">
        <v>435</v>
      </c>
      <c r="I79" s="1">
        <v>327.8</v>
      </c>
      <c r="J79" s="1">
        <v>71.150000000000006</v>
      </c>
    </row>
    <row r="80" spans="1:10" x14ac:dyDescent="0.25">
      <c r="A80" s="1" t="s">
        <v>107</v>
      </c>
      <c r="B80" s="1" t="s">
        <v>11</v>
      </c>
      <c r="C80" s="1" t="s">
        <v>50</v>
      </c>
      <c r="D80" s="1" t="s">
        <v>27</v>
      </c>
      <c r="E80" s="1" t="s">
        <v>24</v>
      </c>
      <c r="F80" s="1" t="s">
        <v>15</v>
      </c>
      <c r="G80" s="2">
        <v>45005</v>
      </c>
      <c r="H80" s="1">
        <v>403</v>
      </c>
      <c r="I80" s="1">
        <v>159.51</v>
      </c>
      <c r="J80" s="1">
        <v>262.98</v>
      </c>
    </row>
    <row r="81" spans="1:10" x14ac:dyDescent="0.25">
      <c r="A81" s="1" t="s">
        <v>108</v>
      </c>
      <c r="B81" s="1" t="s">
        <v>17</v>
      </c>
      <c r="C81" s="1" t="s">
        <v>50</v>
      </c>
      <c r="D81" s="1" t="s">
        <v>23</v>
      </c>
      <c r="E81" s="1" t="s">
        <v>14</v>
      </c>
      <c r="F81" s="1" t="s">
        <v>15</v>
      </c>
      <c r="G81" s="2">
        <v>45006</v>
      </c>
      <c r="H81" s="1">
        <v>169</v>
      </c>
      <c r="I81" s="1"/>
      <c r="J81" s="1">
        <v>339.51</v>
      </c>
    </row>
    <row r="82" spans="1:10" x14ac:dyDescent="0.25">
      <c r="A82" s="1" t="s">
        <v>109</v>
      </c>
      <c r="B82" s="1" t="s">
        <v>11</v>
      </c>
      <c r="C82" s="1" t="s">
        <v>31</v>
      </c>
      <c r="D82" s="1" t="s">
        <v>13</v>
      </c>
      <c r="E82" s="1" t="s">
        <v>14</v>
      </c>
      <c r="F82" s="1" t="s">
        <v>20</v>
      </c>
      <c r="G82" s="2">
        <v>45007</v>
      </c>
      <c r="H82" s="1">
        <v>372</v>
      </c>
      <c r="I82" s="1">
        <v>429.7</v>
      </c>
      <c r="J82" s="1">
        <v>290.27999999999997</v>
      </c>
    </row>
    <row r="83" spans="1:10" x14ac:dyDescent="0.25">
      <c r="A83" s="1" t="s">
        <v>110</v>
      </c>
      <c r="B83" s="1" t="s">
        <v>17</v>
      </c>
      <c r="C83" s="1" t="s">
        <v>12</v>
      </c>
      <c r="D83" s="1" t="s">
        <v>42</v>
      </c>
      <c r="E83" s="1" t="s">
        <v>24</v>
      </c>
      <c r="F83" s="1" t="s">
        <v>28</v>
      </c>
      <c r="G83" s="2">
        <v>45008</v>
      </c>
      <c r="H83" s="1">
        <v>446</v>
      </c>
      <c r="I83" s="1">
        <v>9.4700000000000006</v>
      </c>
      <c r="J83" s="1">
        <v>317.25</v>
      </c>
    </row>
    <row r="84" spans="1:10" x14ac:dyDescent="0.25">
      <c r="A84" s="1" t="s">
        <v>111</v>
      </c>
      <c r="B84" s="1" t="s">
        <v>22</v>
      </c>
      <c r="C84" s="1" t="s">
        <v>18</v>
      </c>
      <c r="D84" s="1" t="s">
        <v>27</v>
      </c>
      <c r="E84" s="1" t="s">
        <v>14</v>
      </c>
      <c r="F84" s="1" t="s">
        <v>15</v>
      </c>
      <c r="G84" s="2">
        <v>45009</v>
      </c>
      <c r="H84" s="1">
        <v>167</v>
      </c>
      <c r="I84" s="1">
        <v>296.26</v>
      </c>
      <c r="J84" s="1">
        <v>163.11000000000001</v>
      </c>
    </row>
    <row r="85" spans="1:10" x14ac:dyDescent="0.25">
      <c r="A85" s="1" t="s">
        <v>112</v>
      </c>
      <c r="B85" s="1" t="s">
        <v>17</v>
      </c>
      <c r="C85" s="1" t="s">
        <v>50</v>
      </c>
      <c r="D85" s="1" t="s">
        <v>27</v>
      </c>
      <c r="E85" s="1" t="s">
        <v>24</v>
      </c>
      <c r="F85" s="1" t="s">
        <v>15</v>
      </c>
      <c r="G85" s="2">
        <v>45010</v>
      </c>
      <c r="H85" s="1">
        <v>48</v>
      </c>
      <c r="I85" s="1">
        <v>301.36</v>
      </c>
      <c r="J85" s="1">
        <v>262.32</v>
      </c>
    </row>
    <row r="86" spans="1:10" x14ac:dyDescent="0.25">
      <c r="A86" s="1" t="s">
        <v>113</v>
      </c>
      <c r="B86" s="1" t="s">
        <v>11</v>
      </c>
      <c r="C86" s="1" t="s">
        <v>50</v>
      </c>
      <c r="D86" s="1" t="s">
        <v>27</v>
      </c>
      <c r="E86" s="1" t="s">
        <v>24</v>
      </c>
      <c r="F86" s="1" t="s">
        <v>28</v>
      </c>
      <c r="G86" s="2">
        <v>45011</v>
      </c>
      <c r="H86" s="1">
        <v>424</v>
      </c>
      <c r="I86" s="1">
        <v>201.35</v>
      </c>
      <c r="J86" s="1">
        <v>142.99</v>
      </c>
    </row>
    <row r="87" spans="1:10" x14ac:dyDescent="0.25">
      <c r="A87" s="1" t="s">
        <v>114</v>
      </c>
      <c r="B87" s="1" t="s">
        <v>11</v>
      </c>
      <c r="C87" s="1" t="s">
        <v>18</v>
      </c>
      <c r="D87" s="1" t="s">
        <v>23</v>
      </c>
      <c r="E87" s="1" t="s">
        <v>14</v>
      </c>
      <c r="F87" s="1" t="s">
        <v>15</v>
      </c>
      <c r="G87" s="2">
        <v>45012</v>
      </c>
      <c r="H87" s="1">
        <v>91</v>
      </c>
      <c r="I87" s="1">
        <v>122.33</v>
      </c>
      <c r="J87" s="1">
        <v>211.15</v>
      </c>
    </row>
    <row r="88" spans="1:10" x14ac:dyDescent="0.25">
      <c r="A88" s="1" t="s">
        <v>115</v>
      </c>
      <c r="B88" s="1" t="s">
        <v>48</v>
      </c>
      <c r="C88" s="1" t="s">
        <v>50</v>
      </c>
      <c r="D88" s="1" t="s">
        <v>13</v>
      </c>
      <c r="E88" s="1" t="s">
        <v>14</v>
      </c>
      <c r="F88" s="1" t="s">
        <v>28</v>
      </c>
      <c r="G88" s="2">
        <v>45013</v>
      </c>
      <c r="H88" s="1">
        <v>365</v>
      </c>
      <c r="I88" s="1">
        <v>121.16</v>
      </c>
      <c r="J88" s="1">
        <v>193.69</v>
      </c>
    </row>
    <row r="89" spans="1:10" x14ac:dyDescent="0.25">
      <c r="A89" s="1" t="s">
        <v>116</v>
      </c>
      <c r="B89" s="1" t="s">
        <v>22</v>
      </c>
      <c r="C89" s="1" t="s">
        <v>31</v>
      </c>
      <c r="D89" s="1" t="s">
        <v>13</v>
      </c>
      <c r="E89" s="1" t="s">
        <v>14</v>
      </c>
      <c r="F89" s="1" t="s">
        <v>28</v>
      </c>
      <c r="G89" s="2">
        <v>45014</v>
      </c>
      <c r="H89" s="1">
        <v>267</v>
      </c>
      <c r="I89" s="1">
        <v>442.44</v>
      </c>
      <c r="J89" s="1">
        <v>72.400000000000006</v>
      </c>
    </row>
    <row r="90" spans="1:10" x14ac:dyDescent="0.25">
      <c r="A90" s="1" t="s">
        <v>117</v>
      </c>
      <c r="B90" s="1" t="s">
        <v>17</v>
      </c>
      <c r="C90" s="1" t="s">
        <v>12</v>
      </c>
      <c r="D90" s="1" t="s">
        <v>42</v>
      </c>
      <c r="E90" s="1" t="s">
        <v>24</v>
      </c>
      <c r="F90" s="1" t="s">
        <v>28</v>
      </c>
      <c r="G90" s="2">
        <v>45015</v>
      </c>
      <c r="H90" s="1">
        <v>215</v>
      </c>
      <c r="I90" s="1">
        <v>223.8</v>
      </c>
      <c r="J90" s="1">
        <v>156.06</v>
      </c>
    </row>
    <row r="91" spans="1:10" x14ac:dyDescent="0.25">
      <c r="A91" s="1" t="s">
        <v>118</v>
      </c>
      <c r="B91" s="1" t="s">
        <v>48</v>
      </c>
      <c r="C91" s="1" t="s">
        <v>18</v>
      </c>
      <c r="D91" s="1" t="s">
        <v>42</v>
      </c>
      <c r="E91" s="1" t="s">
        <v>14</v>
      </c>
      <c r="F91" s="1" t="s">
        <v>28</v>
      </c>
      <c r="G91" s="2">
        <v>45016</v>
      </c>
      <c r="H91" s="1">
        <v>86</v>
      </c>
      <c r="I91" s="1">
        <v>168.79</v>
      </c>
      <c r="J91" s="1">
        <v>385.6</v>
      </c>
    </row>
    <row r="92" spans="1:10" x14ac:dyDescent="0.25">
      <c r="A92" s="1" t="s">
        <v>119</v>
      </c>
      <c r="B92" s="1" t="s">
        <v>17</v>
      </c>
      <c r="C92" s="1" t="s">
        <v>12</v>
      </c>
      <c r="D92" s="1" t="s">
        <v>27</v>
      </c>
      <c r="E92" s="1" t="s">
        <v>24</v>
      </c>
      <c r="F92" s="1" t="s">
        <v>28</v>
      </c>
      <c r="G92" s="2">
        <v>45017</v>
      </c>
      <c r="H92" s="1">
        <v>486</v>
      </c>
      <c r="I92" s="1">
        <v>227.14</v>
      </c>
      <c r="J92" s="1">
        <v>100.93</v>
      </c>
    </row>
    <row r="93" spans="1:10" x14ac:dyDescent="0.25">
      <c r="A93" s="1" t="s">
        <v>120</v>
      </c>
      <c r="B93" s="1" t="s">
        <v>17</v>
      </c>
      <c r="C93" s="1" t="s">
        <v>50</v>
      </c>
      <c r="D93" s="1" t="s">
        <v>42</v>
      </c>
      <c r="E93" s="1" t="s">
        <v>24</v>
      </c>
      <c r="F93" s="1" t="s">
        <v>20</v>
      </c>
      <c r="G93" s="2">
        <v>45018</v>
      </c>
      <c r="H93" s="1">
        <v>21</v>
      </c>
      <c r="I93" s="1"/>
      <c r="J93" s="1">
        <v>55.25</v>
      </c>
    </row>
    <row r="94" spans="1:10" x14ac:dyDescent="0.25">
      <c r="A94" s="1" t="s">
        <v>121</v>
      </c>
      <c r="B94" s="1" t="s">
        <v>48</v>
      </c>
      <c r="C94" s="1" t="s">
        <v>50</v>
      </c>
      <c r="D94" s="1" t="s">
        <v>23</v>
      </c>
      <c r="E94" s="1" t="s">
        <v>24</v>
      </c>
      <c r="F94" s="1" t="s">
        <v>15</v>
      </c>
      <c r="G94" s="2">
        <v>45019</v>
      </c>
      <c r="H94" s="1">
        <v>304</v>
      </c>
      <c r="I94" s="1">
        <v>77.150000000000006</v>
      </c>
      <c r="J94" s="1">
        <v>168.6</v>
      </c>
    </row>
    <row r="95" spans="1:10" x14ac:dyDescent="0.25">
      <c r="A95" s="1" t="s">
        <v>122</v>
      </c>
      <c r="B95" s="1" t="s">
        <v>48</v>
      </c>
      <c r="C95" s="1" t="s">
        <v>18</v>
      </c>
      <c r="D95" s="1" t="s">
        <v>13</v>
      </c>
      <c r="E95" s="1" t="s">
        <v>14</v>
      </c>
      <c r="F95" s="1" t="s">
        <v>20</v>
      </c>
      <c r="G95" s="2">
        <v>45020</v>
      </c>
      <c r="H95" s="1">
        <v>459</v>
      </c>
      <c r="I95" s="1">
        <v>227.47</v>
      </c>
      <c r="J95" s="1">
        <v>316.55</v>
      </c>
    </row>
    <row r="96" spans="1:10" x14ac:dyDescent="0.25">
      <c r="A96" s="1" t="s">
        <v>123</v>
      </c>
      <c r="B96" s="1" t="s">
        <v>48</v>
      </c>
      <c r="C96" s="1" t="s">
        <v>31</v>
      </c>
      <c r="D96" s="1" t="s">
        <v>27</v>
      </c>
      <c r="E96" s="1" t="s">
        <v>14</v>
      </c>
      <c r="F96" s="1" t="s">
        <v>15</v>
      </c>
      <c r="G96" s="2">
        <v>45021</v>
      </c>
      <c r="H96" s="1">
        <v>233</v>
      </c>
      <c r="I96" s="1">
        <v>296</v>
      </c>
      <c r="J96" s="1">
        <v>233.69</v>
      </c>
    </row>
    <row r="97" spans="1:10" x14ac:dyDescent="0.25">
      <c r="A97" s="1" t="s">
        <v>124</v>
      </c>
      <c r="B97" s="1" t="s">
        <v>48</v>
      </c>
      <c r="C97" s="1" t="s">
        <v>26</v>
      </c>
      <c r="D97" s="1" t="s">
        <v>42</v>
      </c>
      <c r="E97" s="1" t="s">
        <v>24</v>
      </c>
      <c r="F97" s="1" t="s">
        <v>20</v>
      </c>
      <c r="G97" s="2">
        <v>45022</v>
      </c>
      <c r="H97" s="1">
        <v>22</v>
      </c>
      <c r="I97" s="1">
        <v>474.55</v>
      </c>
      <c r="J97" s="1">
        <v>273.02999999999997</v>
      </c>
    </row>
    <row r="98" spans="1:10" x14ac:dyDescent="0.25">
      <c r="A98" s="1" t="s">
        <v>125</v>
      </c>
      <c r="B98" s="1" t="s">
        <v>48</v>
      </c>
      <c r="C98" s="1" t="s">
        <v>18</v>
      </c>
      <c r="D98" s="1" t="s">
        <v>23</v>
      </c>
      <c r="E98" s="1" t="s">
        <v>14</v>
      </c>
      <c r="F98" s="1" t="s">
        <v>28</v>
      </c>
      <c r="G98" s="2">
        <v>45023</v>
      </c>
      <c r="H98" s="1">
        <v>55</v>
      </c>
      <c r="I98" s="1">
        <v>130</v>
      </c>
      <c r="J98" s="1">
        <v>77.5</v>
      </c>
    </row>
    <row r="99" spans="1:10" x14ac:dyDescent="0.25">
      <c r="A99" s="1" t="s">
        <v>126</v>
      </c>
      <c r="B99" s="1" t="s">
        <v>17</v>
      </c>
      <c r="C99" s="1" t="s">
        <v>26</v>
      </c>
      <c r="D99" s="1" t="s">
        <v>23</v>
      </c>
      <c r="E99" s="1" t="s">
        <v>14</v>
      </c>
      <c r="F99" s="1" t="s">
        <v>15</v>
      </c>
      <c r="G99" s="2">
        <v>45024</v>
      </c>
      <c r="H99" s="1">
        <v>164</v>
      </c>
      <c r="I99" s="1">
        <v>182.83</v>
      </c>
      <c r="J99" s="1">
        <v>248.34</v>
      </c>
    </row>
    <row r="100" spans="1:10" x14ac:dyDescent="0.25">
      <c r="A100" s="1" t="s">
        <v>127</v>
      </c>
      <c r="B100" s="1" t="s">
        <v>48</v>
      </c>
      <c r="C100" s="1" t="s">
        <v>26</v>
      </c>
      <c r="D100" s="1" t="s">
        <v>42</v>
      </c>
      <c r="E100" s="1" t="s">
        <v>14</v>
      </c>
      <c r="F100" s="1" t="s">
        <v>15</v>
      </c>
      <c r="G100" s="2">
        <v>45025</v>
      </c>
      <c r="H100" s="1">
        <v>122</v>
      </c>
      <c r="I100" s="1">
        <v>192.78</v>
      </c>
      <c r="J100" s="1">
        <v>130.75</v>
      </c>
    </row>
    <row r="101" spans="1:10" x14ac:dyDescent="0.25">
      <c r="A101" s="1" t="s">
        <v>128</v>
      </c>
      <c r="B101" s="1" t="s">
        <v>22</v>
      </c>
      <c r="C101" s="1" t="s">
        <v>31</v>
      </c>
      <c r="D101" s="1" t="s">
        <v>13</v>
      </c>
      <c r="E101" s="1" t="s">
        <v>24</v>
      </c>
      <c r="F101" s="1" t="s">
        <v>20</v>
      </c>
      <c r="G101" s="2">
        <v>45026</v>
      </c>
      <c r="H101" s="1">
        <v>242</v>
      </c>
      <c r="I101" s="1">
        <v>304.74</v>
      </c>
      <c r="J101" s="1">
        <v>334.05</v>
      </c>
    </row>
    <row r="102" spans="1:10" x14ac:dyDescent="0.25">
      <c r="A102" s="1" t="s">
        <v>129</v>
      </c>
      <c r="B102" s="1" t="s">
        <v>11</v>
      </c>
      <c r="C102" s="1" t="s">
        <v>26</v>
      </c>
      <c r="D102" s="1" t="s">
        <v>42</v>
      </c>
      <c r="E102" s="1" t="s">
        <v>24</v>
      </c>
      <c r="F102" s="1" t="s">
        <v>20</v>
      </c>
      <c r="G102" s="2">
        <v>45027</v>
      </c>
      <c r="H102" s="1">
        <v>26</v>
      </c>
      <c r="I102" s="1">
        <v>181.58</v>
      </c>
      <c r="J102" s="1">
        <v>252.46</v>
      </c>
    </row>
    <row r="103" spans="1:10" x14ac:dyDescent="0.25">
      <c r="A103" s="1" t="s">
        <v>130</v>
      </c>
      <c r="B103" s="1" t="s">
        <v>48</v>
      </c>
      <c r="C103" s="1" t="s">
        <v>26</v>
      </c>
      <c r="D103" s="1" t="s">
        <v>27</v>
      </c>
      <c r="E103" s="1" t="s">
        <v>14</v>
      </c>
      <c r="F103" s="1" t="s">
        <v>15</v>
      </c>
      <c r="G103" s="2">
        <v>45028</v>
      </c>
      <c r="H103" s="1">
        <v>369</v>
      </c>
      <c r="I103" s="1">
        <v>269.08999999999997</v>
      </c>
      <c r="J103" s="1">
        <v>81.14</v>
      </c>
    </row>
    <row r="104" spans="1:10" x14ac:dyDescent="0.25">
      <c r="A104" s="1" t="s">
        <v>131</v>
      </c>
      <c r="B104" s="1" t="s">
        <v>48</v>
      </c>
      <c r="C104" s="1" t="s">
        <v>31</v>
      </c>
      <c r="D104" s="1" t="s">
        <v>42</v>
      </c>
      <c r="E104" s="1" t="s">
        <v>24</v>
      </c>
      <c r="F104" s="1" t="s">
        <v>20</v>
      </c>
      <c r="G104" s="2">
        <v>45029</v>
      </c>
      <c r="H104" s="1">
        <v>232</v>
      </c>
      <c r="I104" s="1">
        <v>391.99</v>
      </c>
      <c r="J104" s="1">
        <v>27.72</v>
      </c>
    </row>
    <row r="105" spans="1:10" x14ac:dyDescent="0.25">
      <c r="A105" s="1" t="s">
        <v>132</v>
      </c>
      <c r="B105" s="1" t="s">
        <v>17</v>
      </c>
      <c r="C105" s="1" t="s">
        <v>26</v>
      </c>
      <c r="D105" s="1" t="s">
        <v>23</v>
      </c>
      <c r="E105" s="1" t="s">
        <v>14</v>
      </c>
      <c r="F105" s="1" t="s">
        <v>20</v>
      </c>
      <c r="G105" s="2">
        <v>45030</v>
      </c>
      <c r="H105" s="1">
        <v>363</v>
      </c>
      <c r="I105" s="1">
        <v>354.17</v>
      </c>
      <c r="J105" s="1">
        <v>18.97</v>
      </c>
    </row>
    <row r="106" spans="1:10" x14ac:dyDescent="0.25">
      <c r="A106" s="1" t="s">
        <v>133</v>
      </c>
      <c r="B106" s="1" t="s">
        <v>48</v>
      </c>
      <c r="C106" s="1" t="s">
        <v>26</v>
      </c>
      <c r="D106" s="1" t="s">
        <v>42</v>
      </c>
      <c r="E106" s="1" t="s">
        <v>14</v>
      </c>
      <c r="F106" s="1" t="s">
        <v>20</v>
      </c>
      <c r="G106" s="2">
        <v>45031</v>
      </c>
      <c r="H106" s="1">
        <v>197</v>
      </c>
      <c r="I106" s="1">
        <v>225.95</v>
      </c>
      <c r="J106" s="1">
        <v>149.82</v>
      </c>
    </row>
    <row r="107" spans="1:10" x14ac:dyDescent="0.25">
      <c r="A107" s="1" t="s">
        <v>134</v>
      </c>
      <c r="B107" s="1" t="s">
        <v>48</v>
      </c>
      <c r="C107" s="1" t="s">
        <v>26</v>
      </c>
      <c r="D107" s="1" t="s">
        <v>13</v>
      </c>
      <c r="E107" s="1" t="s">
        <v>14</v>
      </c>
      <c r="F107" s="1" t="s">
        <v>28</v>
      </c>
      <c r="G107" s="2">
        <v>45032</v>
      </c>
      <c r="H107" s="1">
        <v>457</v>
      </c>
      <c r="I107" s="1">
        <v>432.79</v>
      </c>
      <c r="J107" s="1">
        <v>107.81</v>
      </c>
    </row>
    <row r="108" spans="1:10" x14ac:dyDescent="0.25">
      <c r="A108" s="1" t="s">
        <v>135</v>
      </c>
      <c r="B108" s="1" t="s">
        <v>48</v>
      </c>
      <c r="C108" s="1" t="s">
        <v>18</v>
      </c>
      <c r="D108" s="1" t="s">
        <v>19</v>
      </c>
      <c r="E108" s="1" t="s">
        <v>14</v>
      </c>
      <c r="F108" s="1" t="s">
        <v>28</v>
      </c>
      <c r="G108" s="2">
        <v>45033</v>
      </c>
      <c r="H108" s="1">
        <v>353</v>
      </c>
      <c r="I108" s="1">
        <v>281.27999999999997</v>
      </c>
      <c r="J108" s="1">
        <v>259.14</v>
      </c>
    </row>
    <row r="109" spans="1:10" x14ac:dyDescent="0.25">
      <c r="A109" s="1" t="s">
        <v>136</v>
      </c>
      <c r="B109" s="1" t="s">
        <v>17</v>
      </c>
      <c r="C109" s="1" t="s">
        <v>18</v>
      </c>
      <c r="D109" s="1" t="s">
        <v>42</v>
      </c>
      <c r="E109" s="1" t="s">
        <v>24</v>
      </c>
      <c r="F109" s="1" t="s">
        <v>20</v>
      </c>
      <c r="G109" s="2">
        <v>45034</v>
      </c>
      <c r="H109" s="1">
        <v>374</v>
      </c>
      <c r="I109" s="1">
        <v>272.25</v>
      </c>
      <c r="J109" s="1">
        <v>200.73</v>
      </c>
    </row>
    <row r="110" spans="1:10" x14ac:dyDescent="0.25">
      <c r="A110" s="1" t="s">
        <v>137</v>
      </c>
      <c r="B110" s="1" t="s">
        <v>48</v>
      </c>
      <c r="C110" s="1" t="s">
        <v>18</v>
      </c>
      <c r="D110" s="1" t="s">
        <v>13</v>
      </c>
      <c r="E110" s="1" t="s">
        <v>24</v>
      </c>
      <c r="F110" s="1" t="s">
        <v>20</v>
      </c>
      <c r="G110" s="2">
        <v>45035</v>
      </c>
      <c r="H110" s="1">
        <v>172</v>
      </c>
      <c r="I110" s="1">
        <v>21.92</v>
      </c>
      <c r="J110" s="1">
        <v>107.88</v>
      </c>
    </row>
    <row r="111" spans="1:10" x14ac:dyDescent="0.25">
      <c r="A111" s="1" t="s">
        <v>138</v>
      </c>
      <c r="B111" s="1" t="s">
        <v>11</v>
      </c>
      <c r="C111" s="1" t="s">
        <v>31</v>
      </c>
      <c r="D111" s="1" t="s">
        <v>13</v>
      </c>
      <c r="E111" s="1" t="s">
        <v>24</v>
      </c>
      <c r="F111" s="1" t="s">
        <v>28</v>
      </c>
      <c r="G111" s="2">
        <v>45036</v>
      </c>
      <c r="H111" s="1">
        <v>335</v>
      </c>
      <c r="I111" s="1">
        <v>493.41</v>
      </c>
      <c r="J111" s="1">
        <v>61.4</v>
      </c>
    </row>
    <row r="112" spans="1:10" x14ac:dyDescent="0.25">
      <c r="A112" s="1" t="s">
        <v>139</v>
      </c>
      <c r="B112" s="1" t="s">
        <v>17</v>
      </c>
      <c r="C112" s="1" t="s">
        <v>50</v>
      </c>
      <c r="D112" s="1" t="s">
        <v>23</v>
      </c>
      <c r="E112" s="1" t="s">
        <v>14</v>
      </c>
      <c r="F112" s="1" t="s">
        <v>28</v>
      </c>
      <c r="G112" s="2">
        <v>45037</v>
      </c>
      <c r="H112" s="1">
        <v>476</v>
      </c>
      <c r="I112" s="1">
        <v>65.87</v>
      </c>
      <c r="J112" s="1">
        <v>52.63</v>
      </c>
    </row>
    <row r="113" spans="1:10" x14ac:dyDescent="0.25">
      <c r="A113" s="1" t="s">
        <v>140</v>
      </c>
      <c r="B113" s="1" t="s">
        <v>11</v>
      </c>
      <c r="C113" s="1" t="s">
        <v>26</v>
      </c>
      <c r="D113" s="1" t="s">
        <v>13</v>
      </c>
      <c r="E113" s="1" t="s">
        <v>14</v>
      </c>
      <c r="F113" s="1" t="s">
        <v>15</v>
      </c>
      <c r="G113" s="2">
        <v>45038</v>
      </c>
      <c r="H113" s="1">
        <v>423</v>
      </c>
      <c r="I113" s="1">
        <v>119.41</v>
      </c>
      <c r="J113" s="1">
        <v>346.13</v>
      </c>
    </row>
    <row r="114" spans="1:10" x14ac:dyDescent="0.25">
      <c r="A114" s="1" t="s">
        <v>141</v>
      </c>
      <c r="B114" s="1" t="s">
        <v>17</v>
      </c>
      <c r="C114" s="1" t="s">
        <v>26</v>
      </c>
      <c r="D114" s="1" t="s">
        <v>13</v>
      </c>
      <c r="E114" s="1" t="s">
        <v>14</v>
      </c>
      <c r="F114" s="1" t="s">
        <v>15</v>
      </c>
      <c r="G114" s="2">
        <v>45039</v>
      </c>
      <c r="H114" s="1">
        <v>464</v>
      </c>
      <c r="I114" s="1">
        <v>30.59</v>
      </c>
      <c r="J114" s="1">
        <v>98.9</v>
      </c>
    </row>
    <row r="115" spans="1:10" x14ac:dyDescent="0.25">
      <c r="A115" s="1" t="s">
        <v>142</v>
      </c>
      <c r="B115" s="1" t="s">
        <v>48</v>
      </c>
      <c r="C115" s="1" t="s">
        <v>31</v>
      </c>
      <c r="D115" s="1" t="s">
        <v>13</v>
      </c>
      <c r="E115" s="1" t="s">
        <v>24</v>
      </c>
      <c r="F115" s="1" t="s">
        <v>28</v>
      </c>
      <c r="G115" s="2">
        <v>45040</v>
      </c>
      <c r="H115" s="1">
        <v>83</v>
      </c>
      <c r="I115" s="1">
        <v>321.8</v>
      </c>
      <c r="J115" s="1">
        <v>261.38</v>
      </c>
    </row>
    <row r="116" spans="1:10" x14ac:dyDescent="0.25">
      <c r="A116" s="1" t="s">
        <v>143</v>
      </c>
      <c r="B116" s="1" t="s">
        <v>11</v>
      </c>
      <c r="C116" s="1" t="s">
        <v>26</v>
      </c>
      <c r="D116" s="1" t="s">
        <v>13</v>
      </c>
      <c r="E116" s="1" t="s">
        <v>14</v>
      </c>
      <c r="F116" s="1" t="s">
        <v>20</v>
      </c>
      <c r="G116" s="2">
        <v>45041</v>
      </c>
      <c r="H116" s="1">
        <v>242</v>
      </c>
      <c r="I116" s="1">
        <v>116.23</v>
      </c>
      <c r="J116" s="1">
        <v>324.64999999999998</v>
      </c>
    </row>
    <row r="117" spans="1:10" x14ac:dyDescent="0.25">
      <c r="A117" s="1" t="s">
        <v>144</v>
      </c>
      <c r="B117" s="1" t="s">
        <v>17</v>
      </c>
      <c r="C117" s="1" t="s">
        <v>18</v>
      </c>
      <c r="D117" s="1" t="s">
        <v>27</v>
      </c>
      <c r="E117" s="1" t="s">
        <v>24</v>
      </c>
      <c r="F117" s="1" t="s">
        <v>20</v>
      </c>
      <c r="G117" s="2">
        <v>45042</v>
      </c>
      <c r="H117" s="1">
        <v>233</v>
      </c>
      <c r="I117" s="1">
        <v>94.11</v>
      </c>
      <c r="J117" s="1">
        <v>246.4</v>
      </c>
    </row>
    <row r="118" spans="1:10" x14ac:dyDescent="0.25">
      <c r="A118" s="1" t="s">
        <v>145</v>
      </c>
      <c r="B118" s="1" t="s">
        <v>22</v>
      </c>
      <c r="C118" s="1" t="s">
        <v>50</v>
      </c>
      <c r="D118" s="1" t="s">
        <v>27</v>
      </c>
      <c r="E118" s="1" t="s">
        <v>24</v>
      </c>
      <c r="F118" s="1" t="s">
        <v>20</v>
      </c>
      <c r="G118" s="2">
        <v>45043</v>
      </c>
      <c r="H118" s="1">
        <v>491</v>
      </c>
      <c r="I118" s="1">
        <v>48.84</v>
      </c>
      <c r="J118" s="1">
        <v>344.11</v>
      </c>
    </row>
    <row r="119" spans="1:10" x14ac:dyDescent="0.25">
      <c r="A119" s="1" t="s">
        <v>146</v>
      </c>
      <c r="B119" s="1"/>
      <c r="C119" s="1" t="s">
        <v>12</v>
      </c>
      <c r="D119" s="1" t="s">
        <v>23</v>
      </c>
      <c r="E119" s="1" t="s">
        <v>24</v>
      </c>
      <c r="F119" s="1" t="s">
        <v>20</v>
      </c>
      <c r="G119" s="2">
        <v>45044</v>
      </c>
      <c r="H119" s="1">
        <v>328</v>
      </c>
      <c r="I119" s="1">
        <v>56.14</v>
      </c>
      <c r="J119" s="1">
        <v>158.16999999999999</v>
      </c>
    </row>
    <row r="120" spans="1:10" x14ac:dyDescent="0.25">
      <c r="A120" s="1" t="s">
        <v>147</v>
      </c>
      <c r="B120" s="1" t="s">
        <v>17</v>
      </c>
      <c r="C120" s="1" t="s">
        <v>26</v>
      </c>
      <c r="D120" s="1" t="s">
        <v>42</v>
      </c>
      <c r="E120" s="1" t="s">
        <v>24</v>
      </c>
      <c r="F120" s="1" t="s">
        <v>15</v>
      </c>
      <c r="G120" s="2">
        <v>45045</v>
      </c>
      <c r="H120" s="1">
        <v>421</v>
      </c>
      <c r="I120" s="1">
        <v>294.41000000000003</v>
      </c>
      <c r="J120" s="1">
        <v>382.58</v>
      </c>
    </row>
    <row r="121" spans="1:10" x14ac:dyDescent="0.25">
      <c r="A121" s="1" t="s">
        <v>148</v>
      </c>
      <c r="B121" s="1" t="s">
        <v>22</v>
      </c>
      <c r="C121" s="1" t="s">
        <v>18</v>
      </c>
      <c r="D121" s="1" t="s">
        <v>13</v>
      </c>
      <c r="E121" s="1" t="s">
        <v>24</v>
      </c>
      <c r="F121" s="1" t="s">
        <v>28</v>
      </c>
      <c r="G121" s="2">
        <v>45046</v>
      </c>
      <c r="H121" s="1">
        <v>69</v>
      </c>
      <c r="I121" s="1">
        <v>345.66</v>
      </c>
      <c r="J121" s="1">
        <v>54.99</v>
      </c>
    </row>
    <row r="122" spans="1:10" x14ac:dyDescent="0.25">
      <c r="A122" s="1" t="s">
        <v>149</v>
      </c>
      <c r="B122" s="1" t="s">
        <v>17</v>
      </c>
      <c r="C122" s="1" t="s">
        <v>12</v>
      </c>
      <c r="D122" s="1" t="s">
        <v>42</v>
      </c>
      <c r="E122" s="1" t="s">
        <v>24</v>
      </c>
      <c r="F122" s="1" t="s">
        <v>20</v>
      </c>
      <c r="G122" s="2">
        <v>45047</v>
      </c>
      <c r="H122" s="1">
        <v>344</v>
      </c>
      <c r="I122" s="1">
        <v>201.7</v>
      </c>
      <c r="J122" s="1">
        <v>42.66</v>
      </c>
    </row>
    <row r="123" spans="1:10" x14ac:dyDescent="0.25">
      <c r="A123" s="1" t="s">
        <v>150</v>
      </c>
      <c r="B123" s="1"/>
      <c r="C123" s="1" t="s">
        <v>50</v>
      </c>
      <c r="D123" s="1" t="s">
        <v>42</v>
      </c>
      <c r="E123" s="1" t="s">
        <v>14</v>
      </c>
      <c r="F123" s="1" t="s">
        <v>15</v>
      </c>
      <c r="G123" s="2">
        <v>45048</v>
      </c>
      <c r="H123" s="1">
        <v>231</v>
      </c>
      <c r="I123" s="1">
        <v>242.55</v>
      </c>
      <c r="J123" s="1">
        <v>264.16000000000003</v>
      </c>
    </row>
    <row r="124" spans="1:10" x14ac:dyDescent="0.25">
      <c r="A124" s="1" t="s">
        <v>151</v>
      </c>
      <c r="B124" s="1" t="s">
        <v>48</v>
      </c>
      <c r="C124" s="1" t="s">
        <v>12</v>
      </c>
      <c r="D124" s="1" t="s">
        <v>23</v>
      </c>
      <c r="E124" s="1" t="s">
        <v>14</v>
      </c>
      <c r="F124" s="1" t="s">
        <v>20</v>
      </c>
      <c r="G124" s="2">
        <v>45049</v>
      </c>
      <c r="H124" s="1">
        <v>46</v>
      </c>
      <c r="I124" s="1">
        <v>344.55</v>
      </c>
      <c r="J124" s="1">
        <v>377.25</v>
      </c>
    </row>
    <row r="125" spans="1:10" x14ac:dyDescent="0.25">
      <c r="A125" s="1" t="s">
        <v>152</v>
      </c>
      <c r="B125" s="1" t="s">
        <v>11</v>
      </c>
      <c r="C125" s="1" t="s">
        <v>18</v>
      </c>
      <c r="D125" s="1" t="s">
        <v>13</v>
      </c>
      <c r="E125" s="1" t="s">
        <v>24</v>
      </c>
      <c r="F125" s="1" t="s">
        <v>28</v>
      </c>
      <c r="G125" s="2">
        <v>45050</v>
      </c>
      <c r="H125" s="1">
        <v>486</v>
      </c>
      <c r="I125" s="1">
        <v>13.6</v>
      </c>
      <c r="J125" s="1">
        <v>323.94</v>
      </c>
    </row>
    <row r="126" spans="1:10" x14ac:dyDescent="0.25">
      <c r="A126" s="1" t="s">
        <v>153</v>
      </c>
      <c r="B126" s="1" t="s">
        <v>22</v>
      </c>
      <c r="C126" s="1" t="s">
        <v>12</v>
      </c>
      <c r="D126" s="1" t="s">
        <v>13</v>
      </c>
      <c r="E126" s="1" t="s">
        <v>24</v>
      </c>
      <c r="F126" s="1" t="s">
        <v>15</v>
      </c>
      <c r="G126" s="2">
        <v>45051</v>
      </c>
      <c r="H126" s="1">
        <v>287</v>
      </c>
      <c r="I126" s="1">
        <v>164.95</v>
      </c>
      <c r="J126" s="1">
        <v>32.409999999999997</v>
      </c>
    </row>
    <row r="127" spans="1:10" x14ac:dyDescent="0.25">
      <c r="A127" s="1" t="s">
        <v>154</v>
      </c>
      <c r="B127" s="1" t="s">
        <v>17</v>
      </c>
      <c r="C127" s="1" t="s">
        <v>31</v>
      </c>
      <c r="D127" s="1" t="s">
        <v>19</v>
      </c>
      <c r="E127" s="1" t="s">
        <v>14</v>
      </c>
      <c r="F127" s="1" t="s">
        <v>28</v>
      </c>
      <c r="G127" s="2">
        <v>45052</v>
      </c>
      <c r="H127" s="1">
        <v>205</v>
      </c>
      <c r="I127" s="1">
        <v>486.68</v>
      </c>
      <c r="J127" s="1">
        <v>113.19</v>
      </c>
    </row>
    <row r="128" spans="1:10" x14ac:dyDescent="0.25">
      <c r="A128" s="1" t="s">
        <v>155</v>
      </c>
      <c r="B128" s="1" t="s">
        <v>48</v>
      </c>
      <c r="C128" s="1" t="s">
        <v>12</v>
      </c>
      <c r="D128" s="1" t="s">
        <v>42</v>
      </c>
      <c r="E128" s="1" t="s">
        <v>24</v>
      </c>
      <c r="F128" s="1" t="s">
        <v>28</v>
      </c>
      <c r="G128" s="2">
        <v>45053</v>
      </c>
      <c r="H128" s="1">
        <v>413</v>
      </c>
      <c r="I128" s="1">
        <v>292.16000000000003</v>
      </c>
      <c r="J128" s="1">
        <v>372.27</v>
      </c>
    </row>
    <row r="129" spans="1:10" x14ac:dyDescent="0.25">
      <c r="A129" s="1" t="s">
        <v>156</v>
      </c>
      <c r="B129" s="1" t="s">
        <v>22</v>
      </c>
      <c r="C129" s="1" t="s">
        <v>26</v>
      </c>
      <c r="D129" s="1" t="s">
        <v>42</v>
      </c>
      <c r="E129" s="1" t="s">
        <v>24</v>
      </c>
      <c r="F129" s="1" t="s">
        <v>15</v>
      </c>
      <c r="G129" s="2">
        <v>45054</v>
      </c>
      <c r="H129" s="1">
        <v>361</v>
      </c>
      <c r="I129" s="1">
        <v>130.84</v>
      </c>
      <c r="J129" s="1">
        <v>102.72</v>
      </c>
    </row>
    <row r="130" spans="1:10" x14ac:dyDescent="0.25">
      <c r="A130" s="1" t="s">
        <v>157</v>
      </c>
      <c r="B130" s="1" t="s">
        <v>17</v>
      </c>
      <c r="C130" s="1" t="s">
        <v>26</v>
      </c>
      <c r="D130" s="1" t="s">
        <v>27</v>
      </c>
      <c r="E130" s="1" t="s">
        <v>14</v>
      </c>
      <c r="F130" s="1" t="s">
        <v>15</v>
      </c>
      <c r="G130" s="2">
        <v>45055</v>
      </c>
      <c r="H130" s="1">
        <v>493</v>
      </c>
      <c r="I130" s="1">
        <v>263.26</v>
      </c>
      <c r="J130" s="1">
        <v>312.91000000000003</v>
      </c>
    </row>
    <row r="131" spans="1:10" x14ac:dyDescent="0.25">
      <c r="A131" s="1" t="s">
        <v>158</v>
      </c>
      <c r="B131" s="1" t="s">
        <v>17</v>
      </c>
      <c r="C131" s="1" t="s">
        <v>31</v>
      </c>
      <c r="D131" s="1" t="s">
        <v>19</v>
      </c>
      <c r="E131" s="1" t="s">
        <v>24</v>
      </c>
      <c r="F131" s="1" t="s">
        <v>15</v>
      </c>
      <c r="G131" s="2">
        <v>45056</v>
      </c>
      <c r="H131" s="1">
        <v>251</v>
      </c>
      <c r="I131" s="1">
        <v>174.61</v>
      </c>
      <c r="J131" s="1">
        <v>330.4</v>
      </c>
    </row>
    <row r="132" spans="1:10" x14ac:dyDescent="0.25">
      <c r="A132" s="1" t="s">
        <v>159</v>
      </c>
      <c r="B132" s="1" t="s">
        <v>17</v>
      </c>
      <c r="C132" s="1" t="s">
        <v>18</v>
      </c>
      <c r="D132" s="1" t="s">
        <v>27</v>
      </c>
      <c r="E132" s="1" t="s">
        <v>24</v>
      </c>
      <c r="F132" s="1" t="s">
        <v>15</v>
      </c>
      <c r="G132" s="2">
        <v>45057</v>
      </c>
      <c r="H132" s="1"/>
      <c r="I132" s="1">
        <v>268.45999999999998</v>
      </c>
      <c r="J132" s="1">
        <v>199.19</v>
      </c>
    </row>
    <row r="133" spans="1:10" x14ac:dyDescent="0.25">
      <c r="A133" s="1" t="s">
        <v>160</v>
      </c>
      <c r="B133" s="1" t="s">
        <v>22</v>
      </c>
      <c r="C133" s="1" t="s">
        <v>26</v>
      </c>
      <c r="D133" s="1" t="s">
        <v>27</v>
      </c>
      <c r="E133" s="1" t="s">
        <v>24</v>
      </c>
      <c r="F133" s="1" t="s">
        <v>15</v>
      </c>
      <c r="G133" s="2">
        <v>45058</v>
      </c>
      <c r="H133" s="1">
        <v>228</v>
      </c>
      <c r="I133" s="1">
        <v>67.239999999999995</v>
      </c>
      <c r="J133" s="1">
        <v>155.77000000000001</v>
      </c>
    </row>
    <row r="134" spans="1:10" x14ac:dyDescent="0.25">
      <c r="A134" s="1" t="s">
        <v>161</v>
      </c>
      <c r="B134" s="1" t="s">
        <v>22</v>
      </c>
      <c r="C134" s="1" t="s">
        <v>50</v>
      </c>
      <c r="D134" s="1" t="s">
        <v>27</v>
      </c>
      <c r="E134" s="1" t="s">
        <v>14</v>
      </c>
      <c r="F134" s="1" t="s">
        <v>15</v>
      </c>
      <c r="G134" s="2">
        <v>45059</v>
      </c>
      <c r="H134" s="1">
        <v>201</v>
      </c>
      <c r="I134" s="1">
        <v>70.69</v>
      </c>
      <c r="J134" s="1">
        <v>181.15</v>
      </c>
    </row>
    <row r="135" spans="1:10" x14ac:dyDescent="0.25">
      <c r="A135" s="1" t="s">
        <v>162</v>
      </c>
      <c r="B135" s="1" t="s">
        <v>22</v>
      </c>
      <c r="C135" s="1" t="s">
        <v>26</v>
      </c>
      <c r="D135" s="1" t="s">
        <v>23</v>
      </c>
      <c r="E135" s="1" t="s">
        <v>14</v>
      </c>
      <c r="F135" s="1" t="s">
        <v>15</v>
      </c>
      <c r="G135" s="2">
        <v>45060</v>
      </c>
      <c r="H135" s="1">
        <v>26</v>
      </c>
      <c r="I135" s="1">
        <v>76.05</v>
      </c>
      <c r="J135" s="1">
        <v>92.33</v>
      </c>
    </row>
    <row r="136" spans="1:10" x14ac:dyDescent="0.25">
      <c r="A136" s="1" t="s">
        <v>163</v>
      </c>
      <c r="B136" s="1" t="s">
        <v>11</v>
      </c>
      <c r="C136" s="1" t="s">
        <v>26</v>
      </c>
      <c r="D136" s="1" t="s">
        <v>23</v>
      </c>
      <c r="E136" s="1" t="s">
        <v>14</v>
      </c>
      <c r="F136" s="1" t="s">
        <v>20</v>
      </c>
      <c r="G136" s="2">
        <v>45061</v>
      </c>
      <c r="H136" s="1">
        <v>21</v>
      </c>
      <c r="I136" s="1">
        <v>470.21</v>
      </c>
      <c r="J136" s="1">
        <v>355.98</v>
      </c>
    </row>
    <row r="137" spans="1:10" x14ac:dyDescent="0.25">
      <c r="A137" s="1" t="s">
        <v>164</v>
      </c>
      <c r="B137" s="1" t="s">
        <v>22</v>
      </c>
      <c r="C137" s="1" t="s">
        <v>18</v>
      </c>
      <c r="D137" s="1" t="s">
        <v>27</v>
      </c>
      <c r="E137" s="1" t="s">
        <v>24</v>
      </c>
      <c r="F137" s="1" t="s">
        <v>28</v>
      </c>
      <c r="G137" s="2">
        <v>45062</v>
      </c>
      <c r="H137" s="1">
        <v>415</v>
      </c>
      <c r="I137" s="1">
        <v>367.78</v>
      </c>
      <c r="J137" s="1">
        <v>181.35</v>
      </c>
    </row>
    <row r="138" spans="1:10" x14ac:dyDescent="0.25">
      <c r="A138" s="1" t="s">
        <v>165</v>
      </c>
      <c r="B138" s="1" t="s">
        <v>22</v>
      </c>
      <c r="C138" s="1" t="s">
        <v>12</v>
      </c>
      <c r="D138" s="1" t="s">
        <v>19</v>
      </c>
      <c r="E138" s="1" t="s">
        <v>24</v>
      </c>
      <c r="F138" s="1" t="s">
        <v>15</v>
      </c>
      <c r="G138" s="2">
        <v>45063</v>
      </c>
      <c r="H138" s="1">
        <v>410</v>
      </c>
      <c r="I138" s="1">
        <v>85.38</v>
      </c>
      <c r="J138" s="1">
        <v>353.22</v>
      </c>
    </row>
    <row r="139" spans="1:10" x14ac:dyDescent="0.25">
      <c r="A139" s="1" t="s">
        <v>166</v>
      </c>
      <c r="B139" s="1" t="s">
        <v>22</v>
      </c>
      <c r="C139" s="1" t="s">
        <v>26</v>
      </c>
      <c r="D139" s="1" t="s">
        <v>42</v>
      </c>
      <c r="E139" s="1" t="s">
        <v>14</v>
      </c>
      <c r="F139" s="1" t="s">
        <v>20</v>
      </c>
      <c r="G139" s="2">
        <v>45064</v>
      </c>
      <c r="H139" s="1">
        <v>403</v>
      </c>
      <c r="I139" s="1">
        <v>98.23</v>
      </c>
      <c r="J139" s="1">
        <v>44.07</v>
      </c>
    </row>
    <row r="140" spans="1:10" x14ac:dyDescent="0.25">
      <c r="A140" s="1" t="s">
        <v>167</v>
      </c>
      <c r="B140" s="1" t="s">
        <v>11</v>
      </c>
      <c r="C140" s="1" t="s">
        <v>31</v>
      </c>
      <c r="D140" s="1" t="s">
        <v>19</v>
      </c>
      <c r="E140" s="1" t="s">
        <v>24</v>
      </c>
      <c r="F140" s="1" t="s">
        <v>20</v>
      </c>
      <c r="G140" s="2">
        <v>45065</v>
      </c>
      <c r="H140" s="1">
        <v>383</v>
      </c>
      <c r="I140" s="1">
        <v>366.76</v>
      </c>
      <c r="J140" s="1">
        <v>395.33</v>
      </c>
    </row>
    <row r="141" spans="1:10" x14ac:dyDescent="0.25">
      <c r="A141" s="1" t="s">
        <v>168</v>
      </c>
      <c r="B141" s="1" t="s">
        <v>22</v>
      </c>
      <c r="C141" s="1" t="s">
        <v>12</v>
      </c>
      <c r="D141" s="1" t="s">
        <v>13</v>
      </c>
      <c r="E141" s="1" t="s">
        <v>24</v>
      </c>
      <c r="F141" s="1" t="s">
        <v>20</v>
      </c>
      <c r="G141" s="2">
        <v>45066</v>
      </c>
      <c r="H141" s="1">
        <v>202</v>
      </c>
      <c r="I141" s="1">
        <v>82.3</v>
      </c>
      <c r="J141" s="1">
        <v>178.42</v>
      </c>
    </row>
    <row r="142" spans="1:10" x14ac:dyDescent="0.25">
      <c r="A142" s="1" t="s">
        <v>169</v>
      </c>
      <c r="B142" s="1" t="s">
        <v>17</v>
      </c>
      <c r="C142" s="1" t="s">
        <v>50</v>
      </c>
      <c r="D142" s="1" t="s">
        <v>23</v>
      </c>
      <c r="E142" s="1" t="s">
        <v>24</v>
      </c>
      <c r="F142" s="1" t="s">
        <v>28</v>
      </c>
      <c r="G142" s="2">
        <v>45067</v>
      </c>
      <c r="H142" s="1">
        <v>31</v>
      </c>
      <c r="I142" s="1">
        <v>121.11</v>
      </c>
      <c r="J142" s="1">
        <v>21.04</v>
      </c>
    </row>
    <row r="143" spans="1:10" x14ac:dyDescent="0.25">
      <c r="A143" s="1" t="s">
        <v>170</v>
      </c>
      <c r="B143" s="1" t="s">
        <v>22</v>
      </c>
      <c r="C143" s="1" t="s">
        <v>18</v>
      </c>
      <c r="D143" s="1" t="s">
        <v>42</v>
      </c>
      <c r="E143" s="1" t="s">
        <v>24</v>
      </c>
      <c r="F143" s="1" t="s">
        <v>15</v>
      </c>
      <c r="G143" s="2">
        <v>45068</v>
      </c>
      <c r="H143" s="1">
        <v>483</v>
      </c>
      <c r="I143" s="1">
        <v>481.86</v>
      </c>
      <c r="J143" s="1">
        <v>17.13</v>
      </c>
    </row>
    <row r="144" spans="1:10" x14ac:dyDescent="0.25">
      <c r="A144" s="1" t="s">
        <v>171</v>
      </c>
      <c r="B144" s="1" t="s">
        <v>17</v>
      </c>
      <c r="C144" s="1" t="s">
        <v>50</v>
      </c>
      <c r="D144" s="1" t="s">
        <v>42</v>
      </c>
      <c r="E144" s="1" t="s">
        <v>24</v>
      </c>
      <c r="F144" s="1" t="s">
        <v>20</v>
      </c>
      <c r="G144" s="2">
        <v>45069</v>
      </c>
      <c r="H144" s="1">
        <v>129</v>
      </c>
      <c r="I144" s="1">
        <v>131.38</v>
      </c>
      <c r="J144" s="1">
        <v>298.99</v>
      </c>
    </row>
    <row r="145" spans="1:10" x14ac:dyDescent="0.25">
      <c r="A145" s="1" t="s">
        <v>172</v>
      </c>
      <c r="B145" s="1" t="s">
        <v>17</v>
      </c>
      <c r="C145" s="1" t="s">
        <v>12</v>
      </c>
      <c r="D145" s="1" t="s">
        <v>13</v>
      </c>
      <c r="E145" s="1" t="s">
        <v>14</v>
      </c>
      <c r="F145" s="1" t="s">
        <v>28</v>
      </c>
      <c r="G145" s="2">
        <v>45070</v>
      </c>
      <c r="H145" s="1">
        <v>219</v>
      </c>
      <c r="I145" s="1">
        <v>332.51</v>
      </c>
      <c r="J145" s="1">
        <v>264.3</v>
      </c>
    </row>
    <row r="146" spans="1:10" x14ac:dyDescent="0.25">
      <c r="A146" s="1" t="s">
        <v>173</v>
      </c>
      <c r="B146" s="1" t="s">
        <v>17</v>
      </c>
      <c r="C146" s="1" t="s">
        <v>12</v>
      </c>
      <c r="D146" s="1" t="s">
        <v>13</v>
      </c>
      <c r="E146" s="1" t="s">
        <v>24</v>
      </c>
      <c r="F146" s="1" t="s">
        <v>28</v>
      </c>
      <c r="G146" s="2">
        <v>45071</v>
      </c>
      <c r="H146" s="1">
        <v>315</v>
      </c>
      <c r="I146" s="1">
        <v>489.42</v>
      </c>
      <c r="J146" s="1">
        <v>321.25</v>
      </c>
    </row>
    <row r="147" spans="1:10" x14ac:dyDescent="0.25">
      <c r="A147" s="1" t="s">
        <v>174</v>
      </c>
      <c r="B147" s="1" t="s">
        <v>11</v>
      </c>
      <c r="C147" s="1" t="s">
        <v>12</v>
      </c>
      <c r="D147" s="1" t="s">
        <v>27</v>
      </c>
      <c r="E147" s="1" t="s">
        <v>14</v>
      </c>
      <c r="F147" s="1" t="s">
        <v>28</v>
      </c>
      <c r="G147" s="2">
        <v>45072</v>
      </c>
      <c r="H147" s="1">
        <v>279</v>
      </c>
      <c r="I147" s="1">
        <v>190.28</v>
      </c>
      <c r="J147" s="1">
        <v>43.94</v>
      </c>
    </row>
    <row r="148" spans="1:10" x14ac:dyDescent="0.25">
      <c r="A148" s="1" t="s">
        <v>175</v>
      </c>
      <c r="B148" s="1" t="s">
        <v>11</v>
      </c>
      <c r="C148" s="1" t="s">
        <v>50</v>
      </c>
      <c r="D148" s="1" t="s">
        <v>23</v>
      </c>
      <c r="E148" s="1" t="s">
        <v>24</v>
      </c>
      <c r="F148" s="1" t="s">
        <v>20</v>
      </c>
      <c r="G148" s="2">
        <v>45073</v>
      </c>
      <c r="H148" s="1">
        <v>201</v>
      </c>
      <c r="I148" s="1">
        <v>13.67</v>
      </c>
      <c r="J148" s="1">
        <v>16.16</v>
      </c>
    </row>
    <row r="149" spans="1:10" x14ac:dyDescent="0.25">
      <c r="A149" s="1" t="s">
        <v>176</v>
      </c>
      <c r="B149" s="1" t="s">
        <v>11</v>
      </c>
      <c r="C149" s="1" t="s">
        <v>12</v>
      </c>
      <c r="D149" s="1" t="s">
        <v>23</v>
      </c>
      <c r="E149" s="1" t="s">
        <v>14</v>
      </c>
      <c r="F149" s="1" t="s">
        <v>15</v>
      </c>
      <c r="G149" s="2">
        <v>45074</v>
      </c>
      <c r="H149" s="1">
        <v>184</v>
      </c>
      <c r="I149" s="1">
        <v>125.85</v>
      </c>
      <c r="J149" s="1">
        <v>204.41</v>
      </c>
    </row>
    <row r="150" spans="1:10" x14ac:dyDescent="0.25">
      <c r="A150" s="1" t="s">
        <v>177</v>
      </c>
      <c r="B150" s="1" t="s">
        <v>22</v>
      </c>
      <c r="C150" s="1" t="s">
        <v>50</v>
      </c>
      <c r="D150" s="1" t="s">
        <v>19</v>
      </c>
      <c r="E150" s="1" t="s">
        <v>24</v>
      </c>
      <c r="F150" s="1" t="s">
        <v>20</v>
      </c>
      <c r="G150" s="2">
        <v>45075</v>
      </c>
      <c r="H150" s="1">
        <v>294</v>
      </c>
      <c r="I150" s="1">
        <v>416.28</v>
      </c>
      <c r="J150" s="1">
        <v>156.26</v>
      </c>
    </row>
    <row r="151" spans="1:10" x14ac:dyDescent="0.25">
      <c r="A151" s="1" t="s">
        <v>178</v>
      </c>
      <c r="B151" s="1" t="s">
        <v>17</v>
      </c>
      <c r="C151" s="1" t="s">
        <v>12</v>
      </c>
      <c r="D151" s="1" t="s">
        <v>27</v>
      </c>
      <c r="E151" s="1" t="s">
        <v>14</v>
      </c>
      <c r="F151" s="1" t="s">
        <v>20</v>
      </c>
      <c r="G151" s="2">
        <v>45076</v>
      </c>
      <c r="H151" s="1">
        <v>213</v>
      </c>
      <c r="I151" s="1">
        <v>432.98</v>
      </c>
      <c r="J151" s="1">
        <v>185.85</v>
      </c>
    </row>
    <row r="152" spans="1:10" x14ac:dyDescent="0.25">
      <c r="A152" s="1" t="s">
        <v>179</v>
      </c>
      <c r="B152" s="1" t="s">
        <v>11</v>
      </c>
      <c r="C152" s="1" t="s">
        <v>31</v>
      </c>
      <c r="D152" s="1" t="s">
        <v>27</v>
      </c>
      <c r="E152" s="1" t="s">
        <v>24</v>
      </c>
      <c r="F152" s="1" t="s">
        <v>15</v>
      </c>
      <c r="G152" s="2">
        <v>45077</v>
      </c>
      <c r="H152" s="1">
        <v>173</v>
      </c>
      <c r="I152" s="1">
        <v>385.42</v>
      </c>
      <c r="J152" s="1">
        <v>396.65</v>
      </c>
    </row>
    <row r="153" spans="1:10" x14ac:dyDescent="0.25">
      <c r="A153" s="1" t="s">
        <v>180</v>
      </c>
      <c r="B153" s="1" t="s">
        <v>11</v>
      </c>
      <c r="C153" s="1" t="s">
        <v>12</v>
      </c>
      <c r="D153" s="1" t="s">
        <v>27</v>
      </c>
      <c r="E153" s="1" t="s">
        <v>14</v>
      </c>
      <c r="F153" s="1" t="s">
        <v>15</v>
      </c>
      <c r="G153" s="2">
        <v>45078</v>
      </c>
      <c r="H153" s="1">
        <v>260</v>
      </c>
      <c r="I153" s="1">
        <v>60.99</v>
      </c>
      <c r="J153" s="1">
        <v>388.36</v>
      </c>
    </row>
    <row r="154" spans="1:10" x14ac:dyDescent="0.25">
      <c r="A154" s="1" t="s">
        <v>181</v>
      </c>
      <c r="B154" s="1" t="s">
        <v>22</v>
      </c>
      <c r="C154" s="1" t="s">
        <v>50</v>
      </c>
      <c r="D154" s="1" t="s">
        <v>27</v>
      </c>
      <c r="E154" s="1" t="s">
        <v>24</v>
      </c>
      <c r="F154" s="1" t="s">
        <v>15</v>
      </c>
      <c r="G154" s="2">
        <v>45079</v>
      </c>
      <c r="H154" s="1">
        <v>236</v>
      </c>
      <c r="I154" s="1">
        <v>398.78</v>
      </c>
      <c r="J154" s="1">
        <v>377.04</v>
      </c>
    </row>
    <row r="155" spans="1:10" x14ac:dyDescent="0.25">
      <c r="A155" s="1" t="s">
        <v>182</v>
      </c>
      <c r="B155" s="1" t="s">
        <v>11</v>
      </c>
      <c r="C155" s="1" t="s">
        <v>26</v>
      </c>
      <c r="D155" s="1" t="s">
        <v>23</v>
      </c>
      <c r="E155" s="1" t="s">
        <v>14</v>
      </c>
      <c r="F155" s="1" t="s">
        <v>28</v>
      </c>
      <c r="G155" s="2">
        <v>45080</v>
      </c>
      <c r="H155" s="1">
        <v>445</v>
      </c>
      <c r="I155" s="1">
        <v>459.75</v>
      </c>
      <c r="J155" s="1">
        <v>313.97000000000003</v>
      </c>
    </row>
    <row r="156" spans="1:10" x14ac:dyDescent="0.25">
      <c r="A156" s="1" t="s">
        <v>183</v>
      </c>
      <c r="B156" s="1" t="s">
        <v>22</v>
      </c>
      <c r="C156" s="1" t="s">
        <v>12</v>
      </c>
      <c r="D156" s="1" t="s">
        <v>23</v>
      </c>
      <c r="E156" s="1" t="s">
        <v>24</v>
      </c>
      <c r="F156" s="1" t="s">
        <v>15</v>
      </c>
      <c r="G156" s="2">
        <v>45081</v>
      </c>
      <c r="H156" s="1">
        <v>390</v>
      </c>
      <c r="I156" s="1">
        <v>302.3</v>
      </c>
      <c r="J156" s="1">
        <v>143.22999999999999</v>
      </c>
    </row>
    <row r="157" spans="1:10" x14ac:dyDescent="0.25">
      <c r="A157" s="1" t="s">
        <v>184</v>
      </c>
      <c r="B157" s="1" t="s">
        <v>48</v>
      </c>
      <c r="C157" s="1" t="s">
        <v>26</v>
      </c>
      <c r="D157" s="1" t="s">
        <v>27</v>
      </c>
      <c r="E157" s="1" t="s">
        <v>14</v>
      </c>
      <c r="F157" s="1" t="s">
        <v>20</v>
      </c>
      <c r="G157" s="2">
        <v>45082</v>
      </c>
      <c r="H157" s="1">
        <v>469</v>
      </c>
      <c r="I157" s="1">
        <v>470.73</v>
      </c>
      <c r="J157" s="1">
        <v>166.03</v>
      </c>
    </row>
    <row r="158" spans="1:10" x14ac:dyDescent="0.25">
      <c r="A158" s="1" t="s">
        <v>185</v>
      </c>
      <c r="B158" s="1" t="s">
        <v>11</v>
      </c>
      <c r="C158" s="1" t="s">
        <v>31</v>
      </c>
      <c r="D158" s="1" t="s">
        <v>19</v>
      </c>
      <c r="E158" s="1" t="s">
        <v>14</v>
      </c>
      <c r="F158" s="1" t="s">
        <v>15</v>
      </c>
      <c r="G158" s="2">
        <v>45083</v>
      </c>
      <c r="H158" s="1">
        <v>16</v>
      </c>
      <c r="I158" s="1"/>
      <c r="J158" s="1">
        <v>220.75</v>
      </c>
    </row>
    <row r="159" spans="1:10" x14ac:dyDescent="0.25">
      <c r="A159" s="1" t="s">
        <v>186</v>
      </c>
      <c r="B159" s="1" t="s">
        <v>48</v>
      </c>
      <c r="C159" s="1" t="s">
        <v>18</v>
      </c>
      <c r="D159" s="1" t="s">
        <v>42</v>
      </c>
      <c r="E159" s="1" t="s">
        <v>24</v>
      </c>
      <c r="F159" s="1" t="s">
        <v>20</v>
      </c>
      <c r="G159" s="2">
        <v>45084</v>
      </c>
      <c r="H159" s="1">
        <v>38</v>
      </c>
      <c r="I159" s="1">
        <v>335.15</v>
      </c>
      <c r="J159" s="1">
        <v>332.55</v>
      </c>
    </row>
    <row r="160" spans="1:10" x14ac:dyDescent="0.25">
      <c r="A160" s="1" t="s">
        <v>187</v>
      </c>
      <c r="B160" s="1" t="s">
        <v>22</v>
      </c>
      <c r="C160" s="1" t="s">
        <v>31</v>
      </c>
      <c r="D160" s="1"/>
      <c r="E160" s="1" t="s">
        <v>24</v>
      </c>
      <c r="F160" s="1" t="s">
        <v>28</v>
      </c>
      <c r="G160" s="2">
        <v>45085</v>
      </c>
      <c r="H160" s="1">
        <v>404</v>
      </c>
      <c r="I160" s="1">
        <v>290.70999999999998</v>
      </c>
      <c r="J160" s="1">
        <v>29.35</v>
      </c>
    </row>
    <row r="161" spans="1:10" x14ac:dyDescent="0.25">
      <c r="A161" s="1" t="s">
        <v>188</v>
      </c>
      <c r="B161" s="1" t="s">
        <v>17</v>
      </c>
      <c r="C161" s="1" t="s">
        <v>12</v>
      </c>
      <c r="D161" s="1" t="s">
        <v>19</v>
      </c>
      <c r="E161" s="1" t="s">
        <v>14</v>
      </c>
      <c r="F161" s="1" t="s">
        <v>20</v>
      </c>
      <c r="G161" s="2">
        <v>45086</v>
      </c>
      <c r="H161" s="1">
        <v>42</v>
      </c>
      <c r="I161" s="1">
        <v>177.54</v>
      </c>
      <c r="J161" s="1">
        <v>170.87</v>
      </c>
    </row>
    <row r="162" spans="1:10" x14ac:dyDescent="0.25">
      <c r="A162" s="1" t="s">
        <v>189</v>
      </c>
      <c r="B162" s="1" t="s">
        <v>11</v>
      </c>
      <c r="C162" s="1" t="s">
        <v>26</v>
      </c>
      <c r="D162" s="1" t="s">
        <v>27</v>
      </c>
      <c r="E162" s="1" t="s">
        <v>24</v>
      </c>
      <c r="F162" s="1" t="s">
        <v>20</v>
      </c>
      <c r="G162" s="2">
        <v>45087</v>
      </c>
      <c r="H162" s="1">
        <v>143</v>
      </c>
      <c r="I162" s="1">
        <v>83.85</v>
      </c>
      <c r="J162" s="1">
        <v>34.880000000000003</v>
      </c>
    </row>
    <row r="163" spans="1:10" x14ac:dyDescent="0.25">
      <c r="A163" s="1" t="s">
        <v>190</v>
      </c>
      <c r="B163" s="1" t="s">
        <v>22</v>
      </c>
      <c r="C163" s="1" t="s">
        <v>26</v>
      </c>
      <c r="D163" s="1" t="s">
        <v>23</v>
      </c>
      <c r="E163" s="1" t="s">
        <v>14</v>
      </c>
      <c r="F163" s="1" t="s">
        <v>15</v>
      </c>
      <c r="G163" s="2">
        <v>45088</v>
      </c>
      <c r="H163" s="1">
        <v>376</v>
      </c>
      <c r="I163" s="1">
        <v>304.45</v>
      </c>
      <c r="J163" s="1">
        <v>206.83</v>
      </c>
    </row>
    <row r="164" spans="1:10" x14ac:dyDescent="0.25">
      <c r="A164" s="1" t="s">
        <v>191</v>
      </c>
      <c r="B164" s="1" t="s">
        <v>17</v>
      </c>
      <c r="C164" s="1" t="s">
        <v>50</v>
      </c>
      <c r="D164" s="1" t="s">
        <v>42</v>
      </c>
      <c r="E164" s="1" t="s">
        <v>14</v>
      </c>
      <c r="F164" s="1" t="s">
        <v>15</v>
      </c>
      <c r="G164" s="2">
        <v>45089</v>
      </c>
      <c r="H164" s="1">
        <v>88</v>
      </c>
      <c r="I164" s="1">
        <v>162.47</v>
      </c>
      <c r="J164" s="1">
        <v>359.76</v>
      </c>
    </row>
    <row r="165" spans="1:10" x14ac:dyDescent="0.25">
      <c r="A165" s="1" t="s">
        <v>192</v>
      </c>
      <c r="B165" s="1" t="s">
        <v>17</v>
      </c>
      <c r="C165" s="1" t="s">
        <v>26</v>
      </c>
      <c r="D165" s="1" t="s">
        <v>13</v>
      </c>
      <c r="E165" s="1" t="s">
        <v>14</v>
      </c>
      <c r="F165" s="1" t="s">
        <v>20</v>
      </c>
      <c r="G165" s="2">
        <v>45090</v>
      </c>
      <c r="H165" s="1">
        <v>425</v>
      </c>
      <c r="I165" s="1">
        <v>433.89</v>
      </c>
      <c r="J165" s="1">
        <v>313.43</v>
      </c>
    </row>
    <row r="166" spans="1:10" x14ac:dyDescent="0.25">
      <c r="A166" s="1" t="s">
        <v>193</v>
      </c>
      <c r="B166" s="1" t="s">
        <v>48</v>
      </c>
      <c r="C166" s="1" t="s">
        <v>50</v>
      </c>
      <c r="D166" s="1" t="s">
        <v>13</v>
      </c>
      <c r="E166" s="1" t="s">
        <v>24</v>
      </c>
      <c r="F166" s="1" t="s">
        <v>15</v>
      </c>
      <c r="G166" s="2">
        <v>45091</v>
      </c>
      <c r="H166" s="1">
        <v>444</v>
      </c>
      <c r="I166" s="1">
        <v>496.7</v>
      </c>
      <c r="J166" s="1">
        <v>92.68</v>
      </c>
    </row>
    <row r="167" spans="1:10" x14ac:dyDescent="0.25">
      <c r="A167" s="1" t="s">
        <v>194</v>
      </c>
      <c r="B167" s="1" t="s">
        <v>22</v>
      </c>
      <c r="C167" s="1" t="s">
        <v>18</v>
      </c>
      <c r="D167" s="1" t="s">
        <v>19</v>
      </c>
      <c r="E167" s="1" t="s">
        <v>14</v>
      </c>
      <c r="F167" s="1" t="s">
        <v>28</v>
      </c>
      <c r="G167" s="2">
        <v>45092</v>
      </c>
      <c r="H167" s="1">
        <v>468</v>
      </c>
      <c r="I167" s="1">
        <v>377.45</v>
      </c>
      <c r="J167" s="1">
        <v>390.44</v>
      </c>
    </row>
    <row r="168" spans="1:10" x14ac:dyDescent="0.25">
      <c r="A168" s="1" t="s">
        <v>195</v>
      </c>
      <c r="B168" s="1" t="s">
        <v>17</v>
      </c>
      <c r="C168" s="1" t="s">
        <v>12</v>
      </c>
      <c r="D168" s="1" t="s">
        <v>27</v>
      </c>
      <c r="E168" s="1" t="s">
        <v>14</v>
      </c>
      <c r="F168" s="1" t="s">
        <v>28</v>
      </c>
      <c r="G168" s="2">
        <v>45093</v>
      </c>
      <c r="H168" s="1">
        <v>67</v>
      </c>
      <c r="I168" s="1">
        <v>49.79</v>
      </c>
      <c r="J168" s="1">
        <v>267.61</v>
      </c>
    </row>
    <row r="169" spans="1:10" x14ac:dyDescent="0.25">
      <c r="A169" s="1" t="s">
        <v>196</v>
      </c>
      <c r="B169" s="1" t="s">
        <v>11</v>
      </c>
      <c r="C169" s="1" t="s">
        <v>50</v>
      </c>
      <c r="D169" s="1" t="s">
        <v>42</v>
      </c>
      <c r="E169" s="1" t="s">
        <v>24</v>
      </c>
      <c r="F169" s="1" t="s">
        <v>15</v>
      </c>
      <c r="G169" s="2">
        <v>45094</v>
      </c>
      <c r="H169" s="1">
        <v>480</v>
      </c>
      <c r="I169" s="1">
        <v>147.9</v>
      </c>
      <c r="J169" s="1">
        <v>6.15</v>
      </c>
    </row>
    <row r="170" spans="1:10" x14ac:dyDescent="0.25">
      <c r="A170" s="1" t="s">
        <v>197</v>
      </c>
      <c r="B170" s="1" t="s">
        <v>11</v>
      </c>
      <c r="C170" s="1" t="s">
        <v>18</v>
      </c>
      <c r="D170" s="1" t="s">
        <v>27</v>
      </c>
      <c r="E170" s="1" t="s">
        <v>24</v>
      </c>
      <c r="F170" s="1" t="s">
        <v>28</v>
      </c>
      <c r="G170" s="2">
        <v>45095</v>
      </c>
      <c r="H170" s="1">
        <v>35</v>
      </c>
      <c r="I170" s="1">
        <v>59.01</v>
      </c>
      <c r="J170" s="1">
        <v>103.65</v>
      </c>
    </row>
    <row r="171" spans="1:10" x14ac:dyDescent="0.25">
      <c r="A171" s="1" t="s">
        <v>198</v>
      </c>
      <c r="B171" s="1" t="s">
        <v>48</v>
      </c>
      <c r="C171" s="1" t="s">
        <v>26</v>
      </c>
      <c r="D171" s="1" t="s">
        <v>42</v>
      </c>
      <c r="E171" s="1" t="s">
        <v>24</v>
      </c>
      <c r="F171" s="1" t="s">
        <v>15</v>
      </c>
      <c r="G171" s="2">
        <v>45096</v>
      </c>
      <c r="H171" s="1">
        <v>491</v>
      </c>
      <c r="I171" s="1">
        <v>327</v>
      </c>
      <c r="J171" s="1">
        <v>105.76</v>
      </c>
    </row>
    <row r="172" spans="1:10" x14ac:dyDescent="0.25">
      <c r="A172" s="1" t="s">
        <v>199</v>
      </c>
      <c r="B172" s="1" t="s">
        <v>17</v>
      </c>
      <c r="C172" s="1" t="s">
        <v>26</v>
      </c>
      <c r="D172" s="1" t="s">
        <v>19</v>
      </c>
      <c r="E172" s="1" t="s">
        <v>24</v>
      </c>
      <c r="F172" s="1" t="s">
        <v>20</v>
      </c>
      <c r="G172" s="2">
        <v>45097</v>
      </c>
      <c r="H172" s="1">
        <v>439</v>
      </c>
      <c r="I172" s="1">
        <v>383.77</v>
      </c>
      <c r="J172" s="1">
        <v>29.56</v>
      </c>
    </row>
    <row r="173" spans="1:10" x14ac:dyDescent="0.25">
      <c r="A173" s="1" t="s">
        <v>200</v>
      </c>
      <c r="B173" s="1" t="s">
        <v>22</v>
      </c>
      <c r="C173" s="1" t="s">
        <v>18</v>
      </c>
      <c r="D173" s="1" t="s">
        <v>19</v>
      </c>
      <c r="E173" s="1" t="s">
        <v>14</v>
      </c>
      <c r="F173" s="1" t="s">
        <v>20</v>
      </c>
      <c r="G173" s="2">
        <v>45098</v>
      </c>
      <c r="H173" s="1">
        <v>235</v>
      </c>
      <c r="I173" s="1">
        <v>463.21</v>
      </c>
      <c r="J173" s="1">
        <v>384.01</v>
      </c>
    </row>
    <row r="174" spans="1:10" x14ac:dyDescent="0.25">
      <c r="A174" s="1" t="s">
        <v>201</v>
      </c>
      <c r="B174" s="1" t="s">
        <v>11</v>
      </c>
      <c r="C174" s="1" t="s">
        <v>26</v>
      </c>
      <c r="D174" s="1" t="s">
        <v>13</v>
      </c>
      <c r="E174" s="1" t="s">
        <v>14</v>
      </c>
      <c r="F174" s="1" t="s">
        <v>28</v>
      </c>
      <c r="G174" s="2">
        <v>45099</v>
      </c>
      <c r="H174" s="1">
        <v>294</v>
      </c>
      <c r="I174" s="1">
        <v>221.9</v>
      </c>
      <c r="J174" s="1">
        <v>192.35</v>
      </c>
    </row>
    <row r="175" spans="1:10" x14ac:dyDescent="0.25">
      <c r="A175" s="1" t="s">
        <v>202</v>
      </c>
      <c r="B175" s="1" t="s">
        <v>17</v>
      </c>
      <c r="C175" s="1" t="s">
        <v>18</v>
      </c>
      <c r="D175" s="1" t="s">
        <v>27</v>
      </c>
      <c r="E175" s="1" t="s">
        <v>14</v>
      </c>
      <c r="F175" s="1" t="s">
        <v>15</v>
      </c>
      <c r="G175" s="2">
        <v>45100</v>
      </c>
      <c r="H175" s="1">
        <v>13</v>
      </c>
      <c r="I175" s="1">
        <v>451.18</v>
      </c>
      <c r="J175" s="1">
        <v>358.53</v>
      </c>
    </row>
    <row r="176" spans="1:10" x14ac:dyDescent="0.25">
      <c r="A176" s="1" t="s">
        <v>203</v>
      </c>
      <c r="B176" s="1" t="s">
        <v>17</v>
      </c>
      <c r="C176" s="1" t="s">
        <v>50</v>
      </c>
      <c r="D176" s="1" t="s">
        <v>13</v>
      </c>
      <c r="E176" s="1" t="s">
        <v>14</v>
      </c>
      <c r="F176" s="1" t="s">
        <v>15</v>
      </c>
      <c r="G176" s="2">
        <v>45101</v>
      </c>
      <c r="H176" s="1">
        <v>474</v>
      </c>
      <c r="I176" s="1">
        <v>439.56</v>
      </c>
      <c r="J176" s="1">
        <v>130.24</v>
      </c>
    </row>
    <row r="177" spans="1:10" x14ac:dyDescent="0.25">
      <c r="A177" s="1" t="s">
        <v>204</v>
      </c>
      <c r="B177" s="1" t="s">
        <v>48</v>
      </c>
      <c r="C177" s="1" t="s">
        <v>50</v>
      </c>
      <c r="D177" s="1" t="s">
        <v>27</v>
      </c>
      <c r="E177" s="1" t="s">
        <v>24</v>
      </c>
      <c r="F177" s="1" t="s">
        <v>28</v>
      </c>
      <c r="G177" s="2">
        <v>45102</v>
      </c>
      <c r="H177" s="1">
        <v>108</v>
      </c>
      <c r="I177" s="1">
        <v>162.01</v>
      </c>
      <c r="J177" s="1">
        <v>51.84</v>
      </c>
    </row>
    <row r="178" spans="1:10" x14ac:dyDescent="0.25">
      <c r="A178" s="1" t="s">
        <v>205</v>
      </c>
      <c r="B178" s="1" t="s">
        <v>11</v>
      </c>
      <c r="C178" s="1" t="s">
        <v>18</v>
      </c>
      <c r="D178" s="1" t="s">
        <v>13</v>
      </c>
      <c r="E178" s="1" t="s">
        <v>14</v>
      </c>
      <c r="F178" s="1" t="s">
        <v>20</v>
      </c>
      <c r="G178" s="2">
        <v>45103</v>
      </c>
      <c r="H178" s="1">
        <v>406</v>
      </c>
      <c r="I178" s="1">
        <v>435.11</v>
      </c>
      <c r="J178" s="1">
        <v>190.79</v>
      </c>
    </row>
    <row r="179" spans="1:10" x14ac:dyDescent="0.25">
      <c r="A179" s="1" t="s">
        <v>206</v>
      </c>
      <c r="B179" s="1" t="s">
        <v>11</v>
      </c>
      <c r="C179" s="1" t="s">
        <v>50</v>
      </c>
      <c r="D179" s="1" t="s">
        <v>23</v>
      </c>
      <c r="E179" s="1" t="s">
        <v>14</v>
      </c>
      <c r="F179" s="1" t="s">
        <v>28</v>
      </c>
      <c r="G179" s="2">
        <v>45104</v>
      </c>
      <c r="H179" s="1">
        <v>498</v>
      </c>
      <c r="I179" s="1">
        <v>190.96</v>
      </c>
      <c r="J179" s="1">
        <v>47.35</v>
      </c>
    </row>
    <row r="180" spans="1:10" x14ac:dyDescent="0.25">
      <c r="A180" s="1" t="s">
        <v>207</v>
      </c>
      <c r="B180" s="1" t="s">
        <v>22</v>
      </c>
      <c r="C180" s="1" t="s">
        <v>50</v>
      </c>
      <c r="D180" s="1" t="s">
        <v>23</v>
      </c>
      <c r="E180" s="1" t="s">
        <v>24</v>
      </c>
      <c r="F180" s="1" t="s">
        <v>20</v>
      </c>
      <c r="G180" s="2">
        <v>45105</v>
      </c>
      <c r="H180" s="1">
        <v>48</v>
      </c>
      <c r="I180" s="1">
        <v>151.94999999999999</v>
      </c>
      <c r="J180" s="1">
        <v>195.43</v>
      </c>
    </row>
    <row r="181" spans="1:10" x14ac:dyDescent="0.25">
      <c r="A181" s="1" t="s">
        <v>208</v>
      </c>
      <c r="B181" s="1" t="s">
        <v>11</v>
      </c>
      <c r="C181" s="1" t="s">
        <v>50</v>
      </c>
      <c r="D181" s="1" t="s">
        <v>23</v>
      </c>
      <c r="E181" s="1" t="s">
        <v>14</v>
      </c>
      <c r="F181" s="1" t="s">
        <v>15</v>
      </c>
      <c r="G181" s="2">
        <v>45106</v>
      </c>
      <c r="H181" s="1">
        <v>280</v>
      </c>
      <c r="I181" s="1">
        <v>326.29000000000002</v>
      </c>
      <c r="J181" s="1">
        <v>368.28</v>
      </c>
    </row>
    <row r="182" spans="1:10" x14ac:dyDescent="0.25">
      <c r="A182" s="1" t="s">
        <v>209</v>
      </c>
      <c r="B182" s="1" t="s">
        <v>22</v>
      </c>
      <c r="C182" s="1" t="s">
        <v>31</v>
      </c>
      <c r="D182" s="1" t="s">
        <v>23</v>
      </c>
      <c r="E182" s="1" t="s">
        <v>14</v>
      </c>
      <c r="F182" s="1" t="s">
        <v>20</v>
      </c>
      <c r="G182" s="2">
        <v>45107</v>
      </c>
      <c r="H182" s="1">
        <v>384</v>
      </c>
      <c r="I182" s="1">
        <v>167.55</v>
      </c>
      <c r="J182" s="1">
        <v>209.27</v>
      </c>
    </row>
    <row r="183" spans="1:10" x14ac:dyDescent="0.25">
      <c r="A183" s="1" t="s">
        <v>210</v>
      </c>
      <c r="B183" s="1" t="s">
        <v>11</v>
      </c>
      <c r="C183" s="1" t="s">
        <v>12</v>
      </c>
      <c r="D183" s="1" t="s">
        <v>42</v>
      </c>
      <c r="E183" s="1" t="s">
        <v>14</v>
      </c>
      <c r="F183" s="1" t="s">
        <v>28</v>
      </c>
      <c r="G183" s="2">
        <v>45108</v>
      </c>
      <c r="H183" s="1">
        <v>294</v>
      </c>
      <c r="I183" s="1">
        <v>316.95</v>
      </c>
      <c r="J183" s="1">
        <v>247.37</v>
      </c>
    </row>
    <row r="184" spans="1:10" x14ac:dyDescent="0.25">
      <c r="A184" s="1" t="s">
        <v>211</v>
      </c>
      <c r="B184" s="1" t="s">
        <v>48</v>
      </c>
      <c r="C184" s="1" t="s">
        <v>26</v>
      </c>
      <c r="D184" s="1" t="s">
        <v>23</v>
      </c>
      <c r="E184" s="1" t="s">
        <v>14</v>
      </c>
      <c r="F184" s="1" t="s">
        <v>15</v>
      </c>
      <c r="G184" s="2">
        <v>45109</v>
      </c>
      <c r="H184" s="1">
        <v>166</v>
      </c>
      <c r="I184" s="1">
        <v>306.87</v>
      </c>
      <c r="J184" s="1">
        <v>64.34</v>
      </c>
    </row>
    <row r="185" spans="1:10" x14ac:dyDescent="0.25">
      <c r="A185" s="1" t="s">
        <v>212</v>
      </c>
      <c r="B185" s="1" t="s">
        <v>11</v>
      </c>
      <c r="C185" s="1" t="s">
        <v>31</v>
      </c>
      <c r="D185" s="1" t="s">
        <v>19</v>
      </c>
      <c r="E185" s="1" t="s">
        <v>14</v>
      </c>
      <c r="F185" s="1" t="s">
        <v>28</v>
      </c>
      <c r="G185" s="2">
        <v>45110</v>
      </c>
      <c r="H185" s="1">
        <v>84</v>
      </c>
      <c r="I185" s="1">
        <v>283.89999999999998</v>
      </c>
      <c r="J185" s="1">
        <v>19.41</v>
      </c>
    </row>
    <row r="186" spans="1:10" x14ac:dyDescent="0.25">
      <c r="A186" s="1" t="s">
        <v>213</v>
      </c>
      <c r="B186" s="1" t="s">
        <v>22</v>
      </c>
      <c r="C186" s="1" t="s">
        <v>50</v>
      </c>
      <c r="D186" s="1" t="s">
        <v>19</v>
      </c>
      <c r="E186" s="1" t="s">
        <v>14</v>
      </c>
      <c r="F186" s="1" t="s">
        <v>28</v>
      </c>
      <c r="G186" s="2">
        <v>45111</v>
      </c>
      <c r="H186" s="1">
        <v>381</v>
      </c>
      <c r="I186" s="1">
        <v>193.31</v>
      </c>
      <c r="J186" s="1">
        <v>46.1</v>
      </c>
    </row>
    <row r="187" spans="1:10" x14ac:dyDescent="0.25">
      <c r="A187" s="1" t="s">
        <v>214</v>
      </c>
      <c r="B187" s="1" t="s">
        <v>22</v>
      </c>
      <c r="C187" s="1" t="s">
        <v>18</v>
      </c>
      <c r="D187" s="1" t="s">
        <v>42</v>
      </c>
      <c r="E187" s="1" t="s">
        <v>24</v>
      </c>
      <c r="F187" s="1" t="s">
        <v>20</v>
      </c>
      <c r="G187" s="2">
        <v>45112</v>
      </c>
      <c r="H187" s="1">
        <v>297</v>
      </c>
      <c r="I187" s="1">
        <v>276.51</v>
      </c>
      <c r="J187" s="1">
        <v>240.22</v>
      </c>
    </row>
    <row r="188" spans="1:10" x14ac:dyDescent="0.25">
      <c r="A188" s="1" t="s">
        <v>215</v>
      </c>
      <c r="B188" s="1" t="s">
        <v>48</v>
      </c>
      <c r="C188" s="1" t="s">
        <v>50</v>
      </c>
      <c r="D188" s="1" t="s">
        <v>23</v>
      </c>
      <c r="E188" s="1" t="s">
        <v>24</v>
      </c>
      <c r="F188" s="1" t="s">
        <v>28</v>
      </c>
      <c r="G188" s="2">
        <v>45113</v>
      </c>
      <c r="H188" s="1">
        <v>139</v>
      </c>
      <c r="I188" s="1">
        <v>300.26</v>
      </c>
      <c r="J188" s="1">
        <v>39.81</v>
      </c>
    </row>
    <row r="189" spans="1:10" x14ac:dyDescent="0.25">
      <c r="A189" s="1" t="s">
        <v>216</v>
      </c>
      <c r="B189" s="1" t="s">
        <v>11</v>
      </c>
      <c r="C189" s="1" t="s">
        <v>12</v>
      </c>
      <c r="D189" s="1" t="s">
        <v>23</v>
      </c>
      <c r="E189" s="1" t="s">
        <v>14</v>
      </c>
      <c r="F189" s="1" t="s">
        <v>20</v>
      </c>
      <c r="G189" s="2">
        <v>45114</v>
      </c>
      <c r="H189" s="1">
        <v>184</v>
      </c>
      <c r="I189" s="1">
        <v>275.12</v>
      </c>
      <c r="J189" s="1">
        <v>151.65</v>
      </c>
    </row>
    <row r="190" spans="1:10" x14ac:dyDescent="0.25">
      <c r="A190" s="1" t="s">
        <v>217</v>
      </c>
      <c r="B190" s="1" t="s">
        <v>11</v>
      </c>
      <c r="C190" s="1" t="s">
        <v>50</v>
      </c>
      <c r="D190" s="1" t="s">
        <v>23</v>
      </c>
      <c r="E190" s="1" t="s">
        <v>14</v>
      </c>
      <c r="F190" s="1" t="s">
        <v>15</v>
      </c>
      <c r="G190" s="2">
        <v>45115</v>
      </c>
      <c r="H190" s="1">
        <v>471</v>
      </c>
      <c r="I190" s="1">
        <v>224.99</v>
      </c>
      <c r="J190" s="1">
        <v>220.94</v>
      </c>
    </row>
    <row r="191" spans="1:10" x14ac:dyDescent="0.25">
      <c r="A191" s="1" t="s">
        <v>218</v>
      </c>
      <c r="B191" s="1" t="s">
        <v>48</v>
      </c>
      <c r="C191" s="1" t="s">
        <v>18</v>
      </c>
      <c r="D191" s="1" t="s">
        <v>13</v>
      </c>
      <c r="E191" s="1" t="s">
        <v>24</v>
      </c>
      <c r="F191" s="1" t="s">
        <v>20</v>
      </c>
      <c r="G191" s="2">
        <v>45116</v>
      </c>
      <c r="H191" s="1">
        <v>93</v>
      </c>
      <c r="I191" s="1">
        <v>12.26</v>
      </c>
      <c r="J191" s="1">
        <v>156.68</v>
      </c>
    </row>
    <row r="192" spans="1:10" x14ac:dyDescent="0.25">
      <c r="A192" s="1" t="s">
        <v>219</v>
      </c>
      <c r="B192" s="1" t="s">
        <v>11</v>
      </c>
      <c r="C192" s="1" t="s">
        <v>12</v>
      </c>
      <c r="D192" s="1" t="s">
        <v>27</v>
      </c>
      <c r="E192" s="1" t="s">
        <v>14</v>
      </c>
      <c r="F192" s="1" t="s">
        <v>15</v>
      </c>
      <c r="G192" s="2">
        <v>45117</v>
      </c>
      <c r="H192" s="1">
        <v>31</v>
      </c>
      <c r="I192" s="1">
        <v>295.60000000000002</v>
      </c>
      <c r="J192" s="1">
        <v>67.150000000000006</v>
      </c>
    </row>
    <row r="193" spans="1:10" x14ac:dyDescent="0.25">
      <c r="A193" s="1" t="s">
        <v>220</v>
      </c>
      <c r="B193" s="1" t="s">
        <v>11</v>
      </c>
      <c r="C193" s="1" t="s">
        <v>50</v>
      </c>
      <c r="D193" s="1" t="s">
        <v>13</v>
      </c>
      <c r="E193" s="1" t="s">
        <v>14</v>
      </c>
      <c r="F193" s="1" t="s">
        <v>20</v>
      </c>
      <c r="G193" s="2">
        <v>45118</v>
      </c>
      <c r="H193" s="1">
        <v>468</v>
      </c>
      <c r="I193" s="1">
        <v>88.38</v>
      </c>
      <c r="J193" s="1">
        <v>110.97</v>
      </c>
    </row>
    <row r="194" spans="1:10" x14ac:dyDescent="0.25">
      <c r="A194" s="1" t="s">
        <v>221</v>
      </c>
      <c r="B194" s="1" t="s">
        <v>22</v>
      </c>
      <c r="C194" s="1" t="s">
        <v>12</v>
      </c>
      <c r="D194" s="1" t="s">
        <v>27</v>
      </c>
      <c r="E194" s="1" t="s">
        <v>14</v>
      </c>
      <c r="F194" s="1" t="s">
        <v>28</v>
      </c>
      <c r="G194" s="2">
        <v>45119</v>
      </c>
      <c r="H194" s="1">
        <v>36</v>
      </c>
      <c r="I194" s="1">
        <v>323.08</v>
      </c>
      <c r="J194" s="1">
        <v>371.47</v>
      </c>
    </row>
    <row r="195" spans="1:10" x14ac:dyDescent="0.25">
      <c r="A195" s="1" t="s">
        <v>222</v>
      </c>
      <c r="B195" s="1" t="s">
        <v>11</v>
      </c>
      <c r="C195" s="1" t="s">
        <v>26</v>
      </c>
      <c r="D195" s="1" t="s">
        <v>23</v>
      </c>
      <c r="E195" s="1" t="s">
        <v>24</v>
      </c>
      <c r="F195" s="1" t="s">
        <v>20</v>
      </c>
      <c r="G195" s="2">
        <v>45120</v>
      </c>
      <c r="H195" s="1">
        <v>204</v>
      </c>
      <c r="I195" s="1">
        <v>380.88</v>
      </c>
      <c r="J195" s="1">
        <v>271.04000000000002</v>
      </c>
    </row>
    <row r="196" spans="1:10" x14ac:dyDescent="0.25">
      <c r="A196" s="1" t="s">
        <v>223</v>
      </c>
      <c r="B196" s="1" t="s">
        <v>11</v>
      </c>
      <c r="C196" s="1" t="s">
        <v>26</v>
      </c>
      <c r="D196" s="1" t="s">
        <v>23</v>
      </c>
      <c r="E196" s="1" t="s">
        <v>14</v>
      </c>
      <c r="F196" s="1" t="s">
        <v>20</v>
      </c>
      <c r="G196" s="2">
        <v>45121</v>
      </c>
      <c r="H196" s="1">
        <v>346</v>
      </c>
      <c r="I196" s="1">
        <v>252.72</v>
      </c>
      <c r="J196" s="1">
        <v>199.43</v>
      </c>
    </row>
    <row r="197" spans="1:10" x14ac:dyDescent="0.25">
      <c r="A197" s="1" t="s">
        <v>224</v>
      </c>
      <c r="B197" s="1" t="s">
        <v>48</v>
      </c>
      <c r="C197" s="1" t="s">
        <v>50</v>
      </c>
      <c r="D197" s="1" t="s">
        <v>13</v>
      </c>
      <c r="E197" s="1" t="s">
        <v>24</v>
      </c>
      <c r="F197" s="1" t="s">
        <v>15</v>
      </c>
      <c r="G197" s="2">
        <v>45122</v>
      </c>
      <c r="H197" s="1">
        <v>391</v>
      </c>
      <c r="I197" s="1">
        <v>273.47000000000003</v>
      </c>
      <c r="J197" s="1">
        <v>7.06</v>
      </c>
    </row>
    <row r="198" spans="1:10" x14ac:dyDescent="0.25">
      <c r="A198" s="1" t="s">
        <v>225</v>
      </c>
      <c r="B198" s="1" t="s">
        <v>48</v>
      </c>
      <c r="C198" s="1" t="s">
        <v>12</v>
      </c>
      <c r="D198" s="1" t="s">
        <v>13</v>
      </c>
      <c r="E198" s="1" t="s">
        <v>14</v>
      </c>
      <c r="F198" s="1" t="s">
        <v>28</v>
      </c>
      <c r="G198" s="2">
        <v>45123</v>
      </c>
      <c r="H198" s="1">
        <v>245</v>
      </c>
      <c r="I198" s="1">
        <v>475.98</v>
      </c>
      <c r="J198" s="1">
        <v>396.98</v>
      </c>
    </row>
    <row r="199" spans="1:10" x14ac:dyDescent="0.25">
      <c r="A199" s="1" t="s">
        <v>226</v>
      </c>
      <c r="B199" s="1" t="s">
        <v>17</v>
      </c>
      <c r="C199" s="1" t="s">
        <v>18</v>
      </c>
      <c r="D199" s="1" t="s">
        <v>27</v>
      </c>
      <c r="E199" s="1" t="s">
        <v>24</v>
      </c>
      <c r="F199" s="1" t="s">
        <v>20</v>
      </c>
      <c r="G199" s="2">
        <v>45124</v>
      </c>
      <c r="H199" s="1">
        <v>449</v>
      </c>
      <c r="I199" s="1">
        <v>424.35</v>
      </c>
      <c r="J199" s="1">
        <v>269.24</v>
      </c>
    </row>
    <row r="200" spans="1:10" x14ac:dyDescent="0.25">
      <c r="A200" s="1" t="s">
        <v>227</v>
      </c>
      <c r="B200" s="1" t="s">
        <v>22</v>
      </c>
      <c r="C200" s="1" t="s">
        <v>50</v>
      </c>
      <c r="D200" s="1" t="s">
        <v>19</v>
      </c>
      <c r="E200" s="1" t="s">
        <v>24</v>
      </c>
      <c r="F200" s="1" t="s">
        <v>28</v>
      </c>
      <c r="G200" s="2">
        <v>45125</v>
      </c>
      <c r="H200" s="1">
        <v>101</v>
      </c>
      <c r="I200" s="1">
        <v>457.55</v>
      </c>
      <c r="J200" s="1">
        <v>128.13999999999999</v>
      </c>
    </row>
    <row r="201" spans="1:10" x14ac:dyDescent="0.25">
      <c r="A201" s="1" t="s">
        <v>228</v>
      </c>
      <c r="B201" s="1" t="s">
        <v>11</v>
      </c>
      <c r="C201" s="1" t="s">
        <v>26</v>
      </c>
      <c r="D201" s="1" t="s">
        <v>27</v>
      </c>
      <c r="E201" s="1" t="s">
        <v>14</v>
      </c>
      <c r="F201" s="1" t="s">
        <v>20</v>
      </c>
      <c r="G201" s="2">
        <v>45126</v>
      </c>
      <c r="H201" s="1"/>
      <c r="I201" s="1">
        <v>407.81</v>
      </c>
      <c r="J201" s="1">
        <v>351.95</v>
      </c>
    </row>
    <row r="202" spans="1:10" x14ac:dyDescent="0.25">
      <c r="A202" s="1" t="s">
        <v>229</v>
      </c>
      <c r="B202" s="1" t="s">
        <v>11</v>
      </c>
      <c r="C202" s="1" t="s">
        <v>26</v>
      </c>
      <c r="D202" s="1" t="s">
        <v>13</v>
      </c>
      <c r="E202" s="1" t="s">
        <v>24</v>
      </c>
      <c r="F202" s="1" t="s">
        <v>20</v>
      </c>
      <c r="G202" s="2">
        <v>45127</v>
      </c>
      <c r="H202" s="1">
        <v>30</v>
      </c>
      <c r="I202" s="1">
        <v>58.91</v>
      </c>
      <c r="J202" s="1">
        <v>104.86</v>
      </c>
    </row>
    <row r="203" spans="1:10" x14ac:dyDescent="0.25">
      <c r="A203" s="1" t="s">
        <v>230</v>
      </c>
      <c r="B203" s="1" t="s">
        <v>17</v>
      </c>
      <c r="C203" s="1" t="s">
        <v>50</v>
      </c>
      <c r="D203" s="1" t="s">
        <v>13</v>
      </c>
      <c r="E203" s="1" t="s">
        <v>14</v>
      </c>
      <c r="F203" s="1" t="s">
        <v>28</v>
      </c>
      <c r="G203" s="2">
        <v>45128</v>
      </c>
      <c r="H203" s="1">
        <v>312</v>
      </c>
      <c r="I203" s="1">
        <v>78.75</v>
      </c>
      <c r="J203" s="1">
        <v>218.52</v>
      </c>
    </row>
    <row r="204" spans="1:10" x14ac:dyDescent="0.25">
      <c r="A204" s="1" t="s">
        <v>231</v>
      </c>
      <c r="B204" s="1" t="s">
        <v>11</v>
      </c>
      <c r="C204" s="1" t="s">
        <v>12</v>
      </c>
      <c r="D204" s="1" t="s">
        <v>42</v>
      </c>
      <c r="E204" s="1" t="s">
        <v>24</v>
      </c>
      <c r="F204" s="1" t="s">
        <v>20</v>
      </c>
      <c r="G204" s="2">
        <v>45129</v>
      </c>
      <c r="H204" s="1">
        <v>473</v>
      </c>
      <c r="I204" s="1">
        <v>265.68</v>
      </c>
      <c r="J204" s="1">
        <v>255.16</v>
      </c>
    </row>
    <row r="205" spans="1:10" x14ac:dyDescent="0.25">
      <c r="A205" s="1" t="s">
        <v>232</v>
      </c>
      <c r="B205" s="1" t="s">
        <v>22</v>
      </c>
      <c r="C205" s="1" t="s">
        <v>26</v>
      </c>
      <c r="D205" s="1" t="s">
        <v>13</v>
      </c>
      <c r="E205" s="1" t="s">
        <v>14</v>
      </c>
      <c r="F205" s="1" t="s">
        <v>28</v>
      </c>
      <c r="G205" s="2">
        <v>45130</v>
      </c>
      <c r="H205" s="1">
        <v>366</v>
      </c>
      <c r="I205" s="1">
        <v>126.8</v>
      </c>
      <c r="J205" s="1">
        <v>89.98</v>
      </c>
    </row>
    <row r="206" spans="1:10" x14ac:dyDescent="0.25">
      <c r="A206" s="1" t="s">
        <v>233</v>
      </c>
      <c r="B206" s="1" t="s">
        <v>17</v>
      </c>
      <c r="C206" s="1" t="s">
        <v>12</v>
      </c>
      <c r="D206" s="1" t="s">
        <v>42</v>
      </c>
      <c r="E206" s="1" t="s">
        <v>14</v>
      </c>
      <c r="F206" s="1" t="s">
        <v>20</v>
      </c>
      <c r="G206" s="2">
        <v>45131</v>
      </c>
      <c r="H206" s="1">
        <v>452</v>
      </c>
      <c r="I206" s="1">
        <v>240.96</v>
      </c>
      <c r="J206" s="1">
        <v>391.4</v>
      </c>
    </row>
    <row r="207" spans="1:10" x14ac:dyDescent="0.25">
      <c r="A207" s="1" t="s">
        <v>234</v>
      </c>
      <c r="B207" s="1" t="s">
        <v>22</v>
      </c>
      <c r="C207" s="1" t="s">
        <v>26</v>
      </c>
      <c r="D207" s="1" t="s">
        <v>19</v>
      </c>
      <c r="E207" s="1" t="s">
        <v>24</v>
      </c>
      <c r="F207" s="1" t="s">
        <v>15</v>
      </c>
      <c r="G207" s="2">
        <v>45132</v>
      </c>
      <c r="H207" s="1">
        <v>93</v>
      </c>
      <c r="I207" s="1">
        <v>200.21</v>
      </c>
      <c r="J207" s="1">
        <v>299.77999999999997</v>
      </c>
    </row>
    <row r="208" spans="1:10" x14ac:dyDescent="0.25">
      <c r="A208" s="1" t="s">
        <v>235</v>
      </c>
      <c r="B208" s="1" t="s">
        <v>17</v>
      </c>
      <c r="C208" s="1" t="s">
        <v>26</v>
      </c>
      <c r="D208" s="1" t="s">
        <v>27</v>
      </c>
      <c r="E208" s="1" t="s">
        <v>14</v>
      </c>
      <c r="F208" s="1" t="s">
        <v>28</v>
      </c>
      <c r="G208" s="2">
        <v>45133</v>
      </c>
      <c r="H208" s="1">
        <v>271</v>
      </c>
      <c r="I208" s="1">
        <v>276.95999999999998</v>
      </c>
      <c r="J208" s="1">
        <v>224.01</v>
      </c>
    </row>
    <row r="209" spans="1:10" x14ac:dyDescent="0.25">
      <c r="A209" s="1" t="s">
        <v>236</v>
      </c>
      <c r="B209" s="1" t="s">
        <v>17</v>
      </c>
      <c r="C209" s="1" t="s">
        <v>31</v>
      </c>
      <c r="D209" s="1" t="s">
        <v>27</v>
      </c>
      <c r="E209" s="1" t="s">
        <v>14</v>
      </c>
      <c r="F209" s="1" t="s">
        <v>20</v>
      </c>
      <c r="G209" s="2">
        <v>45134</v>
      </c>
      <c r="H209" s="1">
        <v>156</v>
      </c>
      <c r="I209" s="1">
        <v>374.7</v>
      </c>
      <c r="J209" s="1">
        <v>73.88</v>
      </c>
    </row>
    <row r="210" spans="1:10" x14ac:dyDescent="0.25">
      <c r="A210" s="1" t="s">
        <v>237</v>
      </c>
      <c r="B210" s="1" t="s">
        <v>48</v>
      </c>
      <c r="C210" s="1" t="s">
        <v>26</v>
      </c>
      <c r="D210" s="1" t="s">
        <v>42</v>
      </c>
      <c r="E210" s="1" t="s">
        <v>24</v>
      </c>
      <c r="F210" s="1" t="s">
        <v>20</v>
      </c>
      <c r="G210" s="2">
        <v>45135</v>
      </c>
      <c r="H210" s="1">
        <v>450</v>
      </c>
      <c r="I210" s="1">
        <v>359.17</v>
      </c>
      <c r="J210" s="1">
        <v>23.44</v>
      </c>
    </row>
    <row r="211" spans="1:10" x14ac:dyDescent="0.25">
      <c r="A211" s="1" t="s">
        <v>238</v>
      </c>
      <c r="B211" s="1" t="s">
        <v>22</v>
      </c>
      <c r="C211" s="1" t="s">
        <v>18</v>
      </c>
      <c r="D211" s="1" t="s">
        <v>27</v>
      </c>
      <c r="E211" s="1" t="s">
        <v>14</v>
      </c>
      <c r="F211" s="1" t="s">
        <v>15</v>
      </c>
      <c r="G211" s="2">
        <v>45136</v>
      </c>
      <c r="H211" s="1">
        <v>462</v>
      </c>
      <c r="I211" s="1">
        <v>263.01</v>
      </c>
      <c r="J211" s="1">
        <v>129.38</v>
      </c>
    </row>
    <row r="212" spans="1:10" x14ac:dyDescent="0.25">
      <c r="A212" s="1" t="s">
        <v>239</v>
      </c>
      <c r="B212" s="1" t="s">
        <v>11</v>
      </c>
      <c r="C212" s="1" t="s">
        <v>50</v>
      </c>
      <c r="D212" s="1"/>
      <c r="E212" s="1" t="s">
        <v>14</v>
      </c>
      <c r="F212" s="1" t="s">
        <v>28</v>
      </c>
      <c r="G212" s="2">
        <v>45137</v>
      </c>
      <c r="H212" s="1">
        <v>396</v>
      </c>
      <c r="I212" s="1">
        <v>412.08</v>
      </c>
      <c r="J212" s="1">
        <v>301.77</v>
      </c>
    </row>
    <row r="213" spans="1:10" x14ac:dyDescent="0.25">
      <c r="A213" s="1" t="s">
        <v>240</v>
      </c>
      <c r="B213" s="1" t="s">
        <v>11</v>
      </c>
      <c r="C213" s="1" t="s">
        <v>50</v>
      </c>
      <c r="D213" s="1" t="s">
        <v>23</v>
      </c>
      <c r="E213" s="1" t="s">
        <v>24</v>
      </c>
      <c r="F213" s="1" t="s">
        <v>20</v>
      </c>
      <c r="G213" s="2">
        <v>45138</v>
      </c>
      <c r="H213" s="1">
        <v>266</v>
      </c>
      <c r="I213" s="1">
        <v>218.28</v>
      </c>
      <c r="J213" s="1">
        <v>109.19</v>
      </c>
    </row>
    <row r="214" spans="1:10" x14ac:dyDescent="0.25">
      <c r="A214" s="1" t="s">
        <v>241</v>
      </c>
      <c r="B214" s="1" t="s">
        <v>22</v>
      </c>
      <c r="C214" s="1" t="s">
        <v>12</v>
      </c>
      <c r="D214" s="1" t="s">
        <v>42</v>
      </c>
      <c r="E214" s="1" t="s">
        <v>24</v>
      </c>
      <c r="F214" s="1" t="s">
        <v>15</v>
      </c>
      <c r="G214" s="2">
        <v>45139</v>
      </c>
      <c r="H214" s="1">
        <v>67</v>
      </c>
      <c r="I214" s="1">
        <v>448.87</v>
      </c>
      <c r="J214" s="1">
        <v>216.74</v>
      </c>
    </row>
    <row r="215" spans="1:10" x14ac:dyDescent="0.25">
      <c r="A215" s="1" t="s">
        <v>242</v>
      </c>
      <c r="B215" s="1" t="s">
        <v>11</v>
      </c>
      <c r="C215" s="1" t="s">
        <v>26</v>
      </c>
      <c r="D215" s="1" t="s">
        <v>27</v>
      </c>
      <c r="E215" s="1" t="s">
        <v>14</v>
      </c>
      <c r="F215" s="1" t="s">
        <v>20</v>
      </c>
      <c r="G215" s="2">
        <v>45140</v>
      </c>
      <c r="H215" s="1">
        <v>389</v>
      </c>
      <c r="I215" s="1">
        <v>40.28</v>
      </c>
      <c r="J215" s="1">
        <v>291.72000000000003</v>
      </c>
    </row>
    <row r="216" spans="1:10" x14ac:dyDescent="0.25">
      <c r="A216" s="1" t="s">
        <v>243</v>
      </c>
      <c r="B216" s="1" t="s">
        <v>11</v>
      </c>
      <c r="C216" s="1" t="s">
        <v>18</v>
      </c>
      <c r="D216" s="1" t="s">
        <v>42</v>
      </c>
      <c r="E216" s="1" t="s">
        <v>14</v>
      </c>
      <c r="F216" s="1" t="s">
        <v>28</v>
      </c>
      <c r="G216" s="2">
        <v>45141</v>
      </c>
      <c r="H216" s="1">
        <v>431</v>
      </c>
      <c r="I216" s="1">
        <v>477.56</v>
      </c>
      <c r="J216" s="1">
        <v>44.96</v>
      </c>
    </row>
    <row r="217" spans="1:10" x14ac:dyDescent="0.25">
      <c r="A217" s="1" t="s">
        <v>244</v>
      </c>
      <c r="B217" s="1" t="s">
        <v>22</v>
      </c>
      <c r="C217" s="1" t="s">
        <v>12</v>
      </c>
      <c r="D217" s="1" t="s">
        <v>42</v>
      </c>
      <c r="E217" s="1" t="s">
        <v>24</v>
      </c>
      <c r="F217" s="1" t="s">
        <v>20</v>
      </c>
      <c r="G217" s="2">
        <v>45142</v>
      </c>
      <c r="H217" s="1">
        <v>24</v>
      </c>
      <c r="I217" s="1">
        <v>329.07</v>
      </c>
      <c r="J217" s="1">
        <v>274.75</v>
      </c>
    </row>
    <row r="218" spans="1:10" x14ac:dyDescent="0.25">
      <c r="A218" s="1" t="s">
        <v>245</v>
      </c>
      <c r="B218" s="1" t="s">
        <v>17</v>
      </c>
      <c r="C218" s="1" t="s">
        <v>31</v>
      </c>
      <c r="D218" s="1" t="s">
        <v>23</v>
      </c>
      <c r="E218" s="1" t="s">
        <v>24</v>
      </c>
      <c r="F218" s="1" t="s">
        <v>20</v>
      </c>
      <c r="G218" s="2">
        <v>45143</v>
      </c>
      <c r="H218" s="1">
        <v>171</v>
      </c>
      <c r="I218" s="1">
        <v>193.14</v>
      </c>
      <c r="J218" s="1">
        <v>38.56</v>
      </c>
    </row>
    <row r="219" spans="1:10" x14ac:dyDescent="0.25">
      <c r="A219" s="1" t="s">
        <v>246</v>
      </c>
      <c r="B219" s="1" t="s">
        <v>22</v>
      </c>
      <c r="C219" s="1" t="s">
        <v>12</v>
      </c>
      <c r="D219" s="1" t="s">
        <v>13</v>
      </c>
      <c r="E219" s="1" t="s">
        <v>14</v>
      </c>
      <c r="F219" s="1" t="s">
        <v>20</v>
      </c>
      <c r="G219" s="2">
        <v>45144</v>
      </c>
      <c r="H219" s="1">
        <v>454</v>
      </c>
      <c r="I219" s="1">
        <v>102.59</v>
      </c>
      <c r="J219" s="1">
        <v>386.12</v>
      </c>
    </row>
    <row r="220" spans="1:10" x14ac:dyDescent="0.25">
      <c r="A220" s="1" t="s">
        <v>247</v>
      </c>
      <c r="B220" s="1" t="s">
        <v>17</v>
      </c>
      <c r="C220" s="1" t="s">
        <v>12</v>
      </c>
      <c r="D220" s="1" t="s">
        <v>42</v>
      </c>
      <c r="E220" s="1" t="s">
        <v>24</v>
      </c>
      <c r="F220" s="1" t="s">
        <v>20</v>
      </c>
      <c r="G220" s="2">
        <v>45145</v>
      </c>
      <c r="H220" s="1">
        <v>172</v>
      </c>
      <c r="I220" s="1">
        <v>242.2</v>
      </c>
      <c r="J220" s="1">
        <v>196.38</v>
      </c>
    </row>
    <row r="221" spans="1:10" x14ac:dyDescent="0.25">
      <c r="A221" s="1" t="s">
        <v>248</v>
      </c>
      <c r="B221" s="1" t="s">
        <v>11</v>
      </c>
      <c r="C221" s="1" t="s">
        <v>26</v>
      </c>
      <c r="D221" s="1" t="s">
        <v>27</v>
      </c>
      <c r="E221" s="1" t="s">
        <v>14</v>
      </c>
      <c r="F221" s="1" t="s">
        <v>15</v>
      </c>
      <c r="G221" s="2">
        <v>45146</v>
      </c>
      <c r="H221" s="1">
        <v>329</v>
      </c>
      <c r="I221" s="1">
        <v>101.31</v>
      </c>
      <c r="J221" s="1">
        <v>61.97</v>
      </c>
    </row>
    <row r="222" spans="1:10" x14ac:dyDescent="0.25">
      <c r="A222" s="1" t="s">
        <v>249</v>
      </c>
      <c r="B222" s="1" t="s">
        <v>11</v>
      </c>
      <c r="C222" s="1" t="s">
        <v>31</v>
      </c>
      <c r="D222" s="1" t="s">
        <v>19</v>
      </c>
      <c r="E222" s="1" t="s">
        <v>14</v>
      </c>
      <c r="F222" s="1" t="s">
        <v>15</v>
      </c>
      <c r="G222" s="2">
        <v>45147</v>
      </c>
      <c r="H222" s="1">
        <v>290</v>
      </c>
      <c r="I222" s="1">
        <v>87.33</v>
      </c>
      <c r="J222" s="1">
        <v>138.27000000000001</v>
      </c>
    </row>
    <row r="223" spans="1:10" x14ac:dyDescent="0.25">
      <c r="A223" s="1" t="s">
        <v>250</v>
      </c>
      <c r="B223" s="1"/>
      <c r="C223" s="1" t="s">
        <v>12</v>
      </c>
      <c r="D223" s="1" t="s">
        <v>42</v>
      </c>
      <c r="E223" s="1" t="s">
        <v>14</v>
      </c>
      <c r="F223" s="1" t="s">
        <v>28</v>
      </c>
      <c r="G223" s="2">
        <v>45148</v>
      </c>
      <c r="H223" s="1">
        <v>289</v>
      </c>
      <c r="I223" s="1">
        <v>310.58999999999997</v>
      </c>
      <c r="J223" s="1">
        <v>166.54</v>
      </c>
    </row>
    <row r="224" spans="1:10" x14ac:dyDescent="0.25">
      <c r="A224" s="1" t="s">
        <v>251</v>
      </c>
      <c r="B224" s="1" t="s">
        <v>48</v>
      </c>
      <c r="C224" s="1" t="s">
        <v>18</v>
      </c>
      <c r="D224" s="1" t="s">
        <v>42</v>
      </c>
      <c r="E224" s="1" t="s">
        <v>14</v>
      </c>
      <c r="F224" s="1" t="s">
        <v>15</v>
      </c>
      <c r="G224" s="2">
        <v>45149</v>
      </c>
      <c r="H224" s="1">
        <v>21</v>
      </c>
      <c r="I224" s="1">
        <v>263.93</v>
      </c>
      <c r="J224" s="1">
        <v>303.76</v>
      </c>
    </row>
    <row r="225" spans="1:10" x14ac:dyDescent="0.25">
      <c r="A225" s="1" t="s">
        <v>252</v>
      </c>
      <c r="B225" s="1" t="s">
        <v>17</v>
      </c>
      <c r="C225" s="1" t="s">
        <v>18</v>
      </c>
      <c r="D225" s="1" t="s">
        <v>23</v>
      </c>
      <c r="E225" s="1" t="s">
        <v>14</v>
      </c>
      <c r="F225" s="1" t="s">
        <v>15</v>
      </c>
      <c r="G225" s="2">
        <v>45150</v>
      </c>
      <c r="H225" s="1">
        <v>283</v>
      </c>
      <c r="I225" s="1">
        <v>336.7</v>
      </c>
      <c r="J225" s="1">
        <v>297.88</v>
      </c>
    </row>
    <row r="226" spans="1:10" x14ac:dyDescent="0.25">
      <c r="A226" s="1" t="s">
        <v>253</v>
      </c>
      <c r="B226" s="1" t="s">
        <v>48</v>
      </c>
      <c r="C226" s="1" t="s">
        <v>50</v>
      </c>
      <c r="D226" s="1" t="s">
        <v>13</v>
      </c>
      <c r="E226" s="1" t="s">
        <v>24</v>
      </c>
      <c r="F226" s="1" t="s">
        <v>28</v>
      </c>
      <c r="G226" s="2">
        <v>45151</v>
      </c>
      <c r="H226" s="1">
        <v>280</v>
      </c>
      <c r="I226" s="1">
        <v>465.15</v>
      </c>
      <c r="J226" s="1">
        <v>245.55</v>
      </c>
    </row>
    <row r="227" spans="1:10" x14ac:dyDescent="0.25">
      <c r="A227" s="1" t="s">
        <v>254</v>
      </c>
      <c r="B227" s="1" t="s">
        <v>48</v>
      </c>
      <c r="C227" s="1" t="s">
        <v>31</v>
      </c>
      <c r="D227" s="1" t="s">
        <v>19</v>
      </c>
      <c r="E227" s="1" t="s">
        <v>24</v>
      </c>
      <c r="F227" s="1" t="s">
        <v>15</v>
      </c>
      <c r="G227" s="2">
        <v>45152</v>
      </c>
      <c r="H227" s="1">
        <v>217</v>
      </c>
      <c r="I227" s="1">
        <v>268.47000000000003</v>
      </c>
      <c r="J227" s="1">
        <v>44.16</v>
      </c>
    </row>
    <row r="228" spans="1:10" x14ac:dyDescent="0.25">
      <c r="A228" s="1" t="s">
        <v>255</v>
      </c>
      <c r="B228" s="1" t="s">
        <v>22</v>
      </c>
      <c r="C228" s="1" t="s">
        <v>31</v>
      </c>
      <c r="D228" s="1" t="s">
        <v>27</v>
      </c>
      <c r="E228" s="1" t="s">
        <v>24</v>
      </c>
      <c r="F228" s="1" t="s">
        <v>15</v>
      </c>
      <c r="G228" s="2">
        <v>45153</v>
      </c>
      <c r="H228" s="1">
        <v>36</v>
      </c>
      <c r="I228" s="1">
        <v>292.56</v>
      </c>
      <c r="J228" s="1">
        <v>62.32</v>
      </c>
    </row>
    <row r="229" spans="1:10" x14ac:dyDescent="0.25">
      <c r="A229" s="1" t="s">
        <v>256</v>
      </c>
      <c r="B229" s="1" t="s">
        <v>48</v>
      </c>
      <c r="C229" s="1" t="s">
        <v>50</v>
      </c>
      <c r="D229" s="1" t="s">
        <v>19</v>
      </c>
      <c r="E229" s="1" t="s">
        <v>24</v>
      </c>
      <c r="F229" s="1" t="s">
        <v>28</v>
      </c>
      <c r="G229" s="2">
        <v>45154</v>
      </c>
      <c r="H229" s="1"/>
      <c r="I229" s="1">
        <v>49.37</v>
      </c>
      <c r="J229" s="1">
        <v>39.32</v>
      </c>
    </row>
    <row r="230" spans="1:10" x14ac:dyDescent="0.25">
      <c r="A230" s="1" t="s">
        <v>257</v>
      </c>
      <c r="B230" s="1" t="s">
        <v>22</v>
      </c>
      <c r="C230" s="1" t="s">
        <v>12</v>
      </c>
      <c r="D230" s="1" t="s">
        <v>27</v>
      </c>
      <c r="E230" s="1" t="s">
        <v>14</v>
      </c>
      <c r="F230" s="1" t="s">
        <v>28</v>
      </c>
      <c r="G230" s="2">
        <v>45155</v>
      </c>
      <c r="H230" s="1">
        <v>69</v>
      </c>
      <c r="I230" s="1">
        <v>360.23</v>
      </c>
      <c r="J230" s="1">
        <v>231.71</v>
      </c>
    </row>
    <row r="231" spans="1:10" x14ac:dyDescent="0.25">
      <c r="A231" s="1" t="s">
        <v>258</v>
      </c>
      <c r="B231" s="1" t="s">
        <v>22</v>
      </c>
      <c r="C231" s="1" t="s">
        <v>31</v>
      </c>
      <c r="D231" s="1" t="s">
        <v>13</v>
      </c>
      <c r="E231" s="1" t="s">
        <v>14</v>
      </c>
      <c r="F231" s="1" t="s">
        <v>28</v>
      </c>
      <c r="G231" s="2">
        <v>45156</v>
      </c>
      <c r="H231" s="1">
        <v>439</v>
      </c>
      <c r="I231" s="1">
        <v>202.95</v>
      </c>
      <c r="J231" s="1">
        <v>351.1</v>
      </c>
    </row>
    <row r="232" spans="1:10" x14ac:dyDescent="0.25">
      <c r="A232" s="1" t="s">
        <v>259</v>
      </c>
      <c r="B232" s="1" t="s">
        <v>48</v>
      </c>
      <c r="C232" s="1" t="s">
        <v>18</v>
      </c>
      <c r="D232" s="1" t="s">
        <v>27</v>
      </c>
      <c r="E232" s="1" t="s">
        <v>14</v>
      </c>
      <c r="F232" s="1" t="s">
        <v>20</v>
      </c>
      <c r="G232" s="2">
        <v>45157</v>
      </c>
      <c r="H232" s="1">
        <v>482</v>
      </c>
      <c r="I232" s="1">
        <v>488.48</v>
      </c>
      <c r="J232" s="1">
        <v>174.65</v>
      </c>
    </row>
    <row r="233" spans="1:10" x14ac:dyDescent="0.25">
      <c r="A233" s="1" t="s">
        <v>260</v>
      </c>
      <c r="B233" s="1" t="s">
        <v>17</v>
      </c>
      <c r="C233" s="1" t="s">
        <v>18</v>
      </c>
      <c r="D233" s="1" t="s">
        <v>23</v>
      </c>
      <c r="E233" s="1" t="s">
        <v>14</v>
      </c>
      <c r="F233" s="1" t="s">
        <v>20</v>
      </c>
      <c r="G233" s="2">
        <v>45158</v>
      </c>
      <c r="H233" s="1">
        <v>154</v>
      </c>
      <c r="I233" s="1">
        <v>412.47</v>
      </c>
      <c r="J233" s="1">
        <v>66.02</v>
      </c>
    </row>
    <row r="234" spans="1:10" x14ac:dyDescent="0.25">
      <c r="A234" s="1" t="s">
        <v>261</v>
      </c>
      <c r="B234" s="1" t="s">
        <v>17</v>
      </c>
      <c r="C234" s="1" t="s">
        <v>26</v>
      </c>
      <c r="D234" s="1" t="s">
        <v>23</v>
      </c>
      <c r="E234" s="1" t="s">
        <v>24</v>
      </c>
      <c r="F234" s="1" t="s">
        <v>28</v>
      </c>
      <c r="G234" s="2">
        <v>45159</v>
      </c>
      <c r="H234" s="1">
        <v>102</v>
      </c>
      <c r="I234" s="1">
        <v>263.63</v>
      </c>
      <c r="J234" s="1">
        <v>224.1</v>
      </c>
    </row>
    <row r="235" spans="1:10" x14ac:dyDescent="0.25">
      <c r="A235" s="1" t="s">
        <v>262</v>
      </c>
      <c r="B235" s="1" t="s">
        <v>17</v>
      </c>
      <c r="C235" s="1" t="s">
        <v>31</v>
      </c>
      <c r="D235" s="1" t="s">
        <v>23</v>
      </c>
      <c r="E235" s="1" t="s">
        <v>14</v>
      </c>
      <c r="F235" s="1" t="s">
        <v>28</v>
      </c>
      <c r="G235" s="2">
        <v>45160</v>
      </c>
      <c r="H235" s="1">
        <v>318</v>
      </c>
      <c r="I235" s="1">
        <v>66</v>
      </c>
      <c r="J235" s="1">
        <v>325.08</v>
      </c>
    </row>
    <row r="236" spans="1:10" x14ac:dyDescent="0.25">
      <c r="A236" s="1" t="s">
        <v>263</v>
      </c>
      <c r="B236" s="1" t="s">
        <v>17</v>
      </c>
      <c r="C236" s="1" t="s">
        <v>12</v>
      </c>
      <c r="D236" s="1" t="s">
        <v>23</v>
      </c>
      <c r="E236" s="1" t="s">
        <v>14</v>
      </c>
      <c r="F236" s="1" t="s">
        <v>28</v>
      </c>
      <c r="G236" s="2">
        <v>45161</v>
      </c>
      <c r="H236" s="1">
        <v>17</v>
      </c>
      <c r="I236" s="1">
        <v>430.41</v>
      </c>
      <c r="J236" s="1">
        <v>297.2</v>
      </c>
    </row>
    <row r="237" spans="1:10" x14ac:dyDescent="0.25">
      <c r="A237" s="1" t="s">
        <v>264</v>
      </c>
      <c r="B237" s="1" t="s">
        <v>17</v>
      </c>
      <c r="C237" s="1" t="s">
        <v>50</v>
      </c>
      <c r="D237" s="1" t="s">
        <v>19</v>
      </c>
      <c r="E237" s="1" t="s">
        <v>24</v>
      </c>
      <c r="F237" s="1" t="s">
        <v>20</v>
      </c>
      <c r="G237" s="2">
        <v>45162</v>
      </c>
      <c r="H237" s="1">
        <v>88</v>
      </c>
      <c r="I237" s="1">
        <v>400.89</v>
      </c>
      <c r="J237" s="1">
        <v>352.82</v>
      </c>
    </row>
    <row r="238" spans="1:10" x14ac:dyDescent="0.25">
      <c r="A238" s="1" t="s">
        <v>265</v>
      </c>
      <c r="B238" s="1" t="s">
        <v>48</v>
      </c>
      <c r="C238" s="1" t="s">
        <v>50</v>
      </c>
      <c r="D238" s="1" t="s">
        <v>13</v>
      </c>
      <c r="E238" s="1" t="s">
        <v>24</v>
      </c>
      <c r="F238" s="1" t="s">
        <v>20</v>
      </c>
      <c r="G238" s="2">
        <v>45163</v>
      </c>
      <c r="H238" s="1">
        <v>36</v>
      </c>
      <c r="I238" s="1">
        <v>96.37</v>
      </c>
      <c r="J238" s="1">
        <v>112.61</v>
      </c>
    </row>
    <row r="239" spans="1:10" x14ac:dyDescent="0.25">
      <c r="A239" s="1" t="s">
        <v>266</v>
      </c>
      <c r="B239" s="1" t="s">
        <v>48</v>
      </c>
      <c r="C239" s="1" t="s">
        <v>12</v>
      </c>
      <c r="D239" s="1" t="s">
        <v>27</v>
      </c>
      <c r="E239" s="1" t="s">
        <v>24</v>
      </c>
      <c r="F239" s="1" t="s">
        <v>15</v>
      </c>
      <c r="G239" s="2">
        <v>45164</v>
      </c>
      <c r="H239" s="1">
        <v>183</v>
      </c>
      <c r="I239" s="1">
        <v>151.16</v>
      </c>
      <c r="J239" s="1">
        <v>79.19</v>
      </c>
    </row>
    <row r="240" spans="1:10" x14ac:dyDescent="0.25">
      <c r="A240" s="1" t="s">
        <v>267</v>
      </c>
      <c r="B240" s="1" t="s">
        <v>11</v>
      </c>
      <c r="C240" s="1" t="s">
        <v>26</v>
      </c>
      <c r="D240" s="1" t="s">
        <v>27</v>
      </c>
      <c r="E240" s="1" t="s">
        <v>24</v>
      </c>
      <c r="F240" s="1" t="s">
        <v>15</v>
      </c>
      <c r="G240" s="2">
        <v>45165</v>
      </c>
      <c r="H240" s="1">
        <v>59</v>
      </c>
      <c r="I240" s="1">
        <v>397.74</v>
      </c>
      <c r="J240" s="1">
        <v>352.17</v>
      </c>
    </row>
    <row r="241" spans="1:10" x14ac:dyDescent="0.25">
      <c r="A241" s="1" t="s">
        <v>268</v>
      </c>
      <c r="B241" s="1" t="s">
        <v>17</v>
      </c>
      <c r="C241" s="1" t="s">
        <v>50</v>
      </c>
      <c r="D241" s="1" t="s">
        <v>23</v>
      </c>
      <c r="E241" s="1" t="s">
        <v>14</v>
      </c>
      <c r="F241" s="1" t="s">
        <v>28</v>
      </c>
      <c r="G241" s="2">
        <v>45166</v>
      </c>
      <c r="H241" s="1">
        <v>208</v>
      </c>
      <c r="I241" s="1">
        <v>96.69</v>
      </c>
      <c r="J241" s="1">
        <v>263.70999999999998</v>
      </c>
    </row>
    <row r="242" spans="1:10" x14ac:dyDescent="0.25">
      <c r="A242" s="1" t="s">
        <v>269</v>
      </c>
      <c r="B242" s="1" t="s">
        <v>48</v>
      </c>
      <c r="C242" s="1" t="s">
        <v>31</v>
      </c>
      <c r="D242" s="1" t="s">
        <v>23</v>
      </c>
      <c r="E242" s="1" t="s">
        <v>14</v>
      </c>
      <c r="F242" s="1" t="s">
        <v>20</v>
      </c>
      <c r="G242" s="2">
        <v>45167</v>
      </c>
      <c r="H242" s="1">
        <v>396</v>
      </c>
      <c r="I242" s="1">
        <v>459.29</v>
      </c>
      <c r="J242" s="1">
        <v>125.75</v>
      </c>
    </row>
    <row r="243" spans="1:10" x14ac:dyDescent="0.25">
      <c r="A243" s="1" t="s">
        <v>270</v>
      </c>
      <c r="B243" s="1" t="s">
        <v>11</v>
      </c>
      <c r="C243" s="1" t="s">
        <v>26</v>
      </c>
      <c r="D243" s="1" t="s">
        <v>42</v>
      </c>
      <c r="E243" s="1" t="s">
        <v>24</v>
      </c>
      <c r="F243" s="1" t="s">
        <v>20</v>
      </c>
      <c r="G243" s="2">
        <v>45168</v>
      </c>
      <c r="H243" s="1">
        <v>358</v>
      </c>
      <c r="I243" s="1">
        <v>215.14</v>
      </c>
      <c r="J243" s="1">
        <v>297.45</v>
      </c>
    </row>
    <row r="244" spans="1:10" x14ac:dyDescent="0.25">
      <c r="A244" s="1" t="s">
        <v>271</v>
      </c>
      <c r="B244" s="1" t="s">
        <v>17</v>
      </c>
      <c r="C244" s="1" t="s">
        <v>31</v>
      </c>
      <c r="D244" s="1" t="s">
        <v>13</v>
      </c>
      <c r="E244" s="1" t="s">
        <v>14</v>
      </c>
      <c r="F244" s="1" t="s">
        <v>20</v>
      </c>
      <c r="G244" s="2">
        <v>45169</v>
      </c>
      <c r="H244" s="1">
        <v>457</v>
      </c>
      <c r="I244" s="1">
        <v>48.08</v>
      </c>
      <c r="J244" s="1">
        <v>326.42</v>
      </c>
    </row>
    <row r="245" spans="1:10" x14ac:dyDescent="0.25">
      <c r="A245" s="1" t="s">
        <v>272</v>
      </c>
      <c r="B245" s="1" t="s">
        <v>22</v>
      </c>
      <c r="C245" s="1" t="s">
        <v>18</v>
      </c>
      <c r="D245" s="1" t="s">
        <v>19</v>
      </c>
      <c r="E245" s="1" t="s">
        <v>14</v>
      </c>
      <c r="F245" s="1" t="s">
        <v>28</v>
      </c>
      <c r="G245" s="2">
        <v>45170</v>
      </c>
      <c r="H245" s="1">
        <v>437</v>
      </c>
      <c r="I245" s="1">
        <v>408.8</v>
      </c>
      <c r="J245" s="1">
        <v>246.76</v>
      </c>
    </row>
    <row r="246" spans="1:10" x14ac:dyDescent="0.25">
      <c r="A246" s="1" t="s">
        <v>273</v>
      </c>
      <c r="B246" s="1" t="s">
        <v>11</v>
      </c>
      <c r="C246" s="1" t="s">
        <v>26</v>
      </c>
      <c r="D246" s="1" t="s">
        <v>27</v>
      </c>
      <c r="E246" s="1" t="s">
        <v>14</v>
      </c>
      <c r="F246" s="1" t="s">
        <v>15</v>
      </c>
      <c r="G246" s="2">
        <v>45171</v>
      </c>
      <c r="H246" s="1">
        <v>190</v>
      </c>
      <c r="I246" s="1">
        <v>189.89</v>
      </c>
      <c r="J246" s="1">
        <v>275.77999999999997</v>
      </c>
    </row>
    <row r="247" spans="1:10" x14ac:dyDescent="0.25">
      <c r="A247" s="1" t="s">
        <v>274</v>
      </c>
      <c r="B247" s="1" t="s">
        <v>48</v>
      </c>
      <c r="C247" s="1" t="s">
        <v>50</v>
      </c>
      <c r="D247" s="1" t="s">
        <v>42</v>
      </c>
      <c r="E247" s="1" t="s">
        <v>24</v>
      </c>
      <c r="F247" s="1" t="s">
        <v>28</v>
      </c>
      <c r="G247" s="2">
        <v>45172</v>
      </c>
      <c r="H247" s="1">
        <v>33</v>
      </c>
      <c r="I247" s="1">
        <v>265.62</v>
      </c>
      <c r="J247" s="1">
        <v>151.35</v>
      </c>
    </row>
    <row r="248" spans="1:10" x14ac:dyDescent="0.25">
      <c r="A248" s="1" t="s">
        <v>275</v>
      </c>
      <c r="B248" s="1" t="s">
        <v>22</v>
      </c>
      <c r="C248" s="1" t="s">
        <v>26</v>
      </c>
      <c r="D248" s="1" t="s">
        <v>42</v>
      </c>
      <c r="E248" s="1" t="s">
        <v>14</v>
      </c>
      <c r="F248" s="1" t="s">
        <v>15</v>
      </c>
      <c r="G248" s="2">
        <v>45173</v>
      </c>
      <c r="H248" s="1">
        <v>325</v>
      </c>
      <c r="I248" s="1">
        <v>60.59</v>
      </c>
      <c r="J248" s="1">
        <v>216.4</v>
      </c>
    </row>
    <row r="249" spans="1:10" x14ac:dyDescent="0.25">
      <c r="A249" s="1" t="s">
        <v>276</v>
      </c>
      <c r="B249" s="1" t="s">
        <v>22</v>
      </c>
      <c r="C249" s="1" t="s">
        <v>26</v>
      </c>
      <c r="D249" s="1" t="s">
        <v>27</v>
      </c>
      <c r="E249" s="1" t="s">
        <v>24</v>
      </c>
      <c r="F249" s="1" t="s">
        <v>15</v>
      </c>
      <c r="G249" s="2">
        <v>45174</v>
      </c>
      <c r="H249" s="1">
        <v>387</v>
      </c>
      <c r="I249" s="1">
        <v>6.28</v>
      </c>
      <c r="J249" s="1">
        <v>210.62</v>
      </c>
    </row>
    <row r="250" spans="1:10" x14ac:dyDescent="0.25">
      <c r="A250" s="1" t="s">
        <v>277</v>
      </c>
      <c r="B250" s="1" t="s">
        <v>22</v>
      </c>
      <c r="C250" s="1" t="s">
        <v>26</v>
      </c>
      <c r="D250" s="1" t="s">
        <v>19</v>
      </c>
      <c r="E250" s="1" t="s">
        <v>14</v>
      </c>
      <c r="F250" s="1" t="s">
        <v>28</v>
      </c>
      <c r="G250" s="2">
        <v>45175</v>
      </c>
      <c r="H250" s="1">
        <v>396</v>
      </c>
      <c r="I250" s="1">
        <v>320.8</v>
      </c>
      <c r="J250" s="1">
        <v>339.52</v>
      </c>
    </row>
    <row r="251" spans="1:10" x14ac:dyDescent="0.25">
      <c r="A251" s="1" t="s">
        <v>278</v>
      </c>
      <c r="B251" s="1" t="s">
        <v>11</v>
      </c>
      <c r="C251" s="1" t="s">
        <v>26</v>
      </c>
      <c r="D251" s="1" t="s">
        <v>42</v>
      </c>
      <c r="E251" s="1" t="s">
        <v>14</v>
      </c>
      <c r="F251" s="1" t="s">
        <v>15</v>
      </c>
      <c r="G251" s="2">
        <v>45176</v>
      </c>
      <c r="H251" s="1">
        <v>413</v>
      </c>
      <c r="I251" s="1">
        <v>260.01</v>
      </c>
      <c r="J251" s="1">
        <v>336.31</v>
      </c>
    </row>
    <row r="252" spans="1:10" x14ac:dyDescent="0.25">
      <c r="A252" s="1" t="s">
        <v>279</v>
      </c>
      <c r="B252" s="1" t="s">
        <v>48</v>
      </c>
      <c r="C252" s="1" t="s">
        <v>31</v>
      </c>
      <c r="D252" s="1" t="s">
        <v>42</v>
      </c>
      <c r="E252" s="1" t="s">
        <v>14</v>
      </c>
      <c r="F252" s="1" t="s">
        <v>15</v>
      </c>
      <c r="G252" s="2">
        <v>45177</v>
      </c>
      <c r="H252" s="1"/>
      <c r="I252" s="1">
        <v>298.8</v>
      </c>
      <c r="J252" s="1">
        <v>333.41</v>
      </c>
    </row>
    <row r="253" spans="1:10" x14ac:dyDescent="0.25">
      <c r="A253" s="1" t="s">
        <v>280</v>
      </c>
      <c r="B253" s="1" t="s">
        <v>22</v>
      </c>
      <c r="C253" s="1" t="s">
        <v>18</v>
      </c>
      <c r="D253" s="1" t="s">
        <v>13</v>
      </c>
      <c r="E253" s="1" t="s">
        <v>24</v>
      </c>
      <c r="F253" s="1" t="s">
        <v>20</v>
      </c>
      <c r="G253" s="2">
        <v>45178</v>
      </c>
      <c r="H253" s="1">
        <v>24</v>
      </c>
      <c r="I253" s="1">
        <v>397.9</v>
      </c>
      <c r="J253" s="1">
        <v>6.39</v>
      </c>
    </row>
    <row r="254" spans="1:10" x14ac:dyDescent="0.25">
      <c r="A254" s="1" t="s">
        <v>281</v>
      </c>
      <c r="B254" s="1" t="s">
        <v>17</v>
      </c>
      <c r="C254" s="1" t="s">
        <v>12</v>
      </c>
      <c r="D254" s="1"/>
      <c r="E254" s="1" t="s">
        <v>14</v>
      </c>
      <c r="F254" s="1" t="s">
        <v>15</v>
      </c>
      <c r="G254" s="2">
        <v>45179</v>
      </c>
      <c r="H254" s="1">
        <v>162</v>
      </c>
      <c r="I254" s="1">
        <v>325.07</v>
      </c>
      <c r="J254" s="1">
        <v>300.32</v>
      </c>
    </row>
    <row r="255" spans="1:10" x14ac:dyDescent="0.25">
      <c r="A255" s="1" t="s">
        <v>282</v>
      </c>
      <c r="B255" s="1" t="s">
        <v>22</v>
      </c>
      <c r="C255" s="1" t="s">
        <v>26</v>
      </c>
      <c r="D255" s="1" t="s">
        <v>42</v>
      </c>
      <c r="E255" s="1" t="s">
        <v>24</v>
      </c>
      <c r="F255" s="1" t="s">
        <v>28</v>
      </c>
      <c r="G255" s="2">
        <v>45180</v>
      </c>
      <c r="H255" s="1">
        <v>231</v>
      </c>
      <c r="I255" s="1">
        <v>91.51</v>
      </c>
      <c r="J255" s="1">
        <v>303.95</v>
      </c>
    </row>
    <row r="256" spans="1:10" x14ac:dyDescent="0.25">
      <c r="A256" s="1" t="s">
        <v>283</v>
      </c>
      <c r="B256" s="1" t="s">
        <v>22</v>
      </c>
      <c r="C256" s="1" t="s">
        <v>50</v>
      </c>
      <c r="D256" s="1" t="s">
        <v>19</v>
      </c>
      <c r="E256" s="1" t="s">
        <v>24</v>
      </c>
      <c r="F256" s="1" t="s">
        <v>28</v>
      </c>
      <c r="G256" s="2">
        <v>45181</v>
      </c>
      <c r="H256" s="1">
        <v>215</v>
      </c>
      <c r="I256" s="1">
        <v>183.58</v>
      </c>
      <c r="J256" s="1">
        <v>271.99</v>
      </c>
    </row>
    <row r="257" spans="1:10" x14ac:dyDescent="0.25">
      <c r="A257" s="1" t="s">
        <v>284</v>
      </c>
      <c r="B257" s="1" t="s">
        <v>11</v>
      </c>
      <c r="C257" s="1" t="s">
        <v>26</v>
      </c>
      <c r="D257" s="1" t="s">
        <v>27</v>
      </c>
      <c r="E257" s="1" t="s">
        <v>24</v>
      </c>
      <c r="F257" s="1" t="s">
        <v>15</v>
      </c>
      <c r="G257" s="2">
        <v>45182</v>
      </c>
      <c r="H257" s="1">
        <v>464</v>
      </c>
      <c r="I257" s="1">
        <v>453.42</v>
      </c>
      <c r="J257" s="1">
        <v>302.99</v>
      </c>
    </row>
    <row r="258" spans="1:10" x14ac:dyDescent="0.25">
      <c r="A258" s="1" t="s">
        <v>285</v>
      </c>
      <c r="B258" s="1" t="s">
        <v>11</v>
      </c>
      <c r="C258" s="1" t="s">
        <v>50</v>
      </c>
      <c r="D258" s="1" t="s">
        <v>23</v>
      </c>
      <c r="E258" s="1" t="s">
        <v>14</v>
      </c>
      <c r="F258" s="1" t="s">
        <v>20</v>
      </c>
      <c r="G258" s="2">
        <v>45183</v>
      </c>
      <c r="H258" s="1">
        <v>282</v>
      </c>
      <c r="I258" s="1"/>
      <c r="J258" s="1">
        <v>337.1</v>
      </c>
    </row>
    <row r="259" spans="1:10" x14ac:dyDescent="0.25">
      <c r="A259" s="1" t="s">
        <v>286</v>
      </c>
      <c r="B259" s="1" t="s">
        <v>48</v>
      </c>
      <c r="C259" s="1" t="s">
        <v>31</v>
      </c>
      <c r="D259" s="1" t="s">
        <v>42</v>
      </c>
      <c r="E259" s="1" t="s">
        <v>14</v>
      </c>
      <c r="F259" s="1" t="s">
        <v>20</v>
      </c>
      <c r="G259" s="2">
        <v>45184</v>
      </c>
      <c r="H259" s="1">
        <v>391</v>
      </c>
      <c r="I259" s="1">
        <v>280.54000000000002</v>
      </c>
      <c r="J259" s="1">
        <v>189.19</v>
      </c>
    </row>
    <row r="260" spans="1:10" x14ac:dyDescent="0.25">
      <c r="A260" s="1" t="s">
        <v>287</v>
      </c>
      <c r="B260" s="1" t="s">
        <v>17</v>
      </c>
      <c r="C260" s="1" t="s">
        <v>50</v>
      </c>
      <c r="D260" s="1" t="s">
        <v>13</v>
      </c>
      <c r="E260" s="1" t="s">
        <v>14</v>
      </c>
      <c r="F260" s="1" t="s">
        <v>15</v>
      </c>
      <c r="G260" s="2">
        <v>45185</v>
      </c>
      <c r="H260" s="1">
        <v>245</v>
      </c>
      <c r="I260" s="1">
        <v>131.54</v>
      </c>
      <c r="J260" s="1">
        <v>201.82</v>
      </c>
    </row>
    <row r="261" spans="1:10" x14ac:dyDescent="0.25">
      <c r="A261" s="1" t="s">
        <v>288</v>
      </c>
      <c r="B261" s="1" t="s">
        <v>11</v>
      </c>
      <c r="C261" s="1" t="s">
        <v>12</v>
      </c>
      <c r="D261" s="1" t="s">
        <v>27</v>
      </c>
      <c r="E261" s="1" t="s">
        <v>14</v>
      </c>
      <c r="F261" s="1" t="s">
        <v>15</v>
      </c>
      <c r="G261" s="2">
        <v>45186</v>
      </c>
      <c r="H261" s="1">
        <v>349</v>
      </c>
      <c r="I261" s="1">
        <v>154.52000000000001</v>
      </c>
      <c r="J261" s="1">
        <v>51.64</v>
      </c>
    </row>
    <row r="262" spans="1:10" x14ac:dyDescent="0.25">
      <c r="A262" s="1" t="s">
        <v>289</v>
      </c>
      <c r="B262" s="1" t="s">
        <v>22</v>
      </c>
      <c r="C262" s="1" t="s">
        <v>18</v>
      </c>
      <c r="D262" s="1" t="s">
        <v>19</v>
      </c>
      <c r="E262" s="1" t="s">
        <v>24</v>
      </c>
      <c r="F262" s="1" t="s">
        <v>28</v>
      </c>
      <c r="G262" s="2">
        <v>45187</v>
      </c>
      <c r="H262" s="1">
        <v>237</v>
      </c>
      <c r="I262" s="1"/>
      <c r="J262" s="1">
        <v>155.38</v>
      </c>
    </row>
    <row r="263" spans="1:10" x14ac:dyDescent="0.25">
      <c r="A263" s="1" t="s">
        <v>290</v>
      </c>
      <c r="B263" s="1" t="s">
        <v>48</v>
      </c>
      <c r="C263" s="1" t="s">
        <v>50</v>
      </c>
      <c r="D263" s="1" t="s">
        <v>27</v>
      </c>
      <c r="E263" s="1" t="s">
        <v>24</v>
      </c>
      <c r="F263" s="1" t="s">
        <v>15</v>
      </c>
      <c r="G263" s="2">
        <v>45188</v>
      </c>
      <c r="H263" s="1">
        <v>18</v>
      </c>
      <c r="I263" s="1">
        <v>426.33</v>
      </c>
      <c r="J263" s="1">
        <v>258.06</v>
      </c>
    </row>
    <row r="264" spans="1:10" x14ac:dyDescent="0.25">
      <c r="A264" s="1" t="s">
        <v>291</v>
      </c>
      <c r="B264" s="1" t="s">
        <v>22</v>
      </c>
      <c r="C264" s="1" t="s">
        <v>50</v>
      </c>
      <c r="D264" s="1" t="s">
        <v>42</v>
      </c>
      <c r="E264" s="1" t="s">
        <v>24</v>
      </c>
      <c r="F264" s="1" t="s">
        <v>20</v>
      </c>
      <c r="G264" s="2">
        <v>45189</v>
      </c>
      <c r="H264" s="1">
        <v>175</v>
      </c>
      <c r="I264" s="1">
        <v>337.36</v>
      </c>
      <c r="J264" s="1">
        <v>312.60000000000002</v>
      </c>
    </row>
    <row r="265" spans="1:10" x14ac:dyDescent="0.25">
      <c r="A265" s="1" t="s">
        <v>292</v>
      </c>
      <c r="B265" s="1" t="s">
        <v>22</v>
      </c>
      <c r="C265" s="1" t="s">
        <v>18</v>
      </c>
      <c r="D265" s="1"/>
      <c r="E265" s="1" t="s">
        <v>14</v>
      </c>
      <c r="F265" s="1" t="s">
        <v>15</v>
      </c>
      <c r="G265" s="2">
        <v>45190</v>
      </c>
      <c r="H265" s="1">
        <v>441</v>
      </c>
      <c r="I265" s="1">
        <v>405.72</v>
      </c>
      <c r="J265" s="1">
        <v>88.45</v>
      </c>
    </row>
    <row r="266" spans="1:10" x14ac:dyDescent="0.25">
      <c r="A266" s="1" t="s">
        <v>293</v>
      </c>
      <c r="B266" s="1" t="s">
        <v>11</v>
      </c>
      <c r="C266" s="1" t="s">
        <v>12</v>
      </c>
      <c r="D266" s="1" t="s">
        <v>23</v>
      </c>
      <c r="E266" s="1" t="s">
        <v>24</v>
      </c>
      <c r="F266" s="1" t="s">
        <v>28</v>
      </c>
      <c r="G266" s="2">
        <v>45191</v>
      </c>
      <c r="H266" s="1">
        <v>453</v>
      </c>
      <c r="I266" s="1">
        <v>384.49</v>
      </c>
      <c r="J266" s="1">
        <v>56.85</v>
      </c>
    </row>
    <row r="267" spans="1:10" x14ac:dyDescent="0.25">
      <c r="A267" s="1" t="s">
        <v>294</v>
      </c>
      <c r="B267" s="1" t="s">
        <v>48</v>
      </c>
      <c r="C267" s="1" t="s">
        <v>26</v>
      </c>
      <c r="D267" s="1" t="s">
        <v>27</v>
      </c>
      <c r="E267" s="1" t="s">
        <v>14</v>
      </c>
      <c r="F267" s="1" t="s">
        <v>28</v>
      </c>
      <c r="G267" s="2">
        <v>45192</v>
      </c>
      <c r="H267" s="1">
        <v>328</v>
      </c>
      <c r="I267" s="1">
        <v>79.099999999999994</v>
      </c>
      <c r="J267" s="1">
        <v>265.89</v>
      </c>
    </row>
    <row r="268" spans="1:10" x14ac:dyDescent="0.25">
      <c r="A268" s="1" t="s">
        <v>295</v>
      </c>
      <c r="B268" s="1" t="s">
        <v>17</v>
      </c>
      <c r="C268" s="1" t="s">
        <v>50</v>
      </c>
      <c r="D268" s="1" t="s">
        <v>42</v>
      </c>
      <c r="E268" s="1" t="s">
        <v>24</v>
      </c>
      <c r="F268" s="1" t="s">
        <v>28</v>
      </c>
      <c r="G268" s="2">
        <v>45193</v>
      </c>
      <c r="H268" s="1">
        <v>223</v>
      </c>
      <c r="I268" s="1">
        <v>214.85</v>
      </c>
      <c r="J268" s="1">
        <v>2.75</v>
      </c>
    </row>
    <row r="269" spans="1:10" x14ac:dyDescent="0.25">
      <c r="A269" s="1" t="s">
        <v>296</v>
      </c>
      <c r="B269" s="1" t="s">
        <v>17</v>
      </c>
      <c r="C269" s="1" t="s">
        <v>18</v>
      </c>
      <c r="D269" s="1" t="s">
        <v>13</v>
      </c>
      <c r="E269" s="1" t="s">
        <v>14</v>
      </c>
      <c r="F269" s="1" t="s">
        <v>28</v>
      </c>
      <c r="G269" s="2">
        <v>45194</v>
      </c>
      <c r="H269" s="1">
        <v>126</v>
      </c>
      <c r="I269" s="1">
        <v>80.73</v>
      </c>
      <c r="J269" s="1">
        <v>72.989999999999995</v>
      </c>
    </row>
    <row r="270" spans="1:10" x14ac:dyDescent="0.25">
      <c r="A270" s="1" t="s">
        <v>297</v>
      </c>
      <c r="B270" s="1" t="s">
        <v>11</v>
      </c>
      <c r="C270" s="1" t="s">
        <v>31</v>
      </c>
      <c r="D270" s="1" t="s">
        <v>19</v>
      </c>
      <c r="E270" s="1" t="s">
        <v>14</v>
      </c>
      <c r="F270" s="1" t="s">
        <v>28</v>
      </c>
      <c r="G270" s="2">
        <v>45195</v>
      </c>
      <c r="H270" s="1">
        <v>395</v>
      </c>
      <c r="I270" s="1">
        <v>121.44</v>
      </c>
      <c r="J270" s="1">
        <v>13.57</v>
      </c>
    </row>
    <row r="271" spans="1:10" x14ac:dyDescent="0.25">
      <c r="A271" s="1" t="s">
        <v>298</v>
      </c>
      <c r="B271" s="1" t="s">
        <v>11</v>
      </c>
      <c r="C271" s="1" t="s">
        <v>18</v>
      </c>
      <c r="D271" s="1" t="s">
        <v>27</v>
      </c>
      <c r="E271" s="1" t="s">
        <v>24</v>
      </c>
      <c r="F271" s="1" t="s">
        <v>15</v>
      </c>
      <c r="G271" s="2">
        <v>45196</v>
      </c>
      <c r="H271" s="1">
        <v>353</v>
      </c>
      <c r="I271" s="1">
        <v>435.28</v>
      </c>
      <c r="J271" s="1">
        <v>68.42</v>
      </c>
    </row>
    <row r="272" spans="1:10" x14ac:dyDescent="0.25">
      <c r="A272" s="1" t="s">
        <v>299</v>
      </c>
      <c r="B272" s="1" t="s">
        <v>48</v>
      </c>
      <c r="C272" s="1" t="s">
        <v>31</v>
      </c>
      <c r="D272" s="1" t="s">
        <v>27</v>
      </c>
      <c r="E272" s="1" t="s">
        <v>24</v>
      </c>
      <c r="F272" s="1" t="s">
        <v>15</v>
      </c>
      <c r="G272" s="2">
        <v>45197</v>
      </c>
      <c r="H272" s="1">
        <v>81</v>
      </c>
      <c r="I272" s="1">
        <v>239.08</v>
      </c>
      <c r="J272" s="1">
        <v>74.17</v>
      </c>
    </row>
    <row r="273" spans="1:10" x14ac:dyDescent="0.25">
      <c r="A273" s="1" t="s">
        <v>300</v>
      </c>
      <c r="B273" s="1" t="s">
        <v>17</v>
      </c>
      <c r="C273" s="1" t="s">
        <v>12</v>
      </c>
      <c r="D273" s="1" t="s">
        <v>23</v>
      </c>
      <c r="E273" s="1" t="s">
        <v>24</v>
      </c>
      <c r="F273" s="1" t="s">
        <v>15</v>
      </c>
      <c r="G273" s="2">
        <v>45198</v>
      </c>
      <c r="H273" s="1">
        <v>404</v>
      </c>
      <c r="I273" s="1">
        <v>270</v>
      </c>
      <c r="J273" s="1">
        <v>156.29</v>
      </c>
    </row>
    <row r="274" spans="1:10" x14ac:dyDescent="0.25">
      <c r="A274" s="1" t="s">
        <v>301</v>
      </c>
      <c r="B274" s="1" t="s">
        <v>17</v>
      </c>
      <c r="C274" s="1" t="s">
        <v>26</v>
      </c>
      <c r="D274" s="1" t="s">
        <v>23</v>
      </c>
      <c r="E274" s="1" t="s">
        <v>24</v>
      </c>
      <c r="F274" s="1" t="s">
        <v>15</v>
      </c>
      <c r="G274" s="2">
        <v>45199</v>
      </c>
      <c r="H274" s="1">
        <v>73</v>
      </c>
      <c r="I274" s="1">
        <v>93.33</v>
      </c>
      <c r="J274" s="1">
        <v>162.13</v>
      </c>
    </row>
    <row r="275" spans="1:10" x14ac:dyDescent="0.25">
      <c r="A275" s="1" t="s">
        <v>302</v>
      </c>
      <c r="B275" s="1" t="s">
        <v>17</v>
      </c>
      <c r="C275" s="1" t="s">
        <v>18</v>
      </c>
      <c r="D275" s="1" t="s">
        <v>13</v>
      </c>
      <c r="E275" s="1" t="s">
        <v>14</v>
      </c>
      <c r="F275" s="1" t="s">
        <v>28</v>
      </c>
      <c r="G275" s="2">
        <v>45200</v>
      </c>
      <c r="H275" s="1">
        <v>214</v>
      </c>
      <c r="I275" s="1">
        <v>159.57</v>
      </c>
      <c r="J275" s="1">
        <v>349.96</v>
      </c>
    </row>
    <row r="276" spans="1:10" x14ac:dyDescent="0.25">
      <c r="A276" s="1" t="s">
        <v>303</v>
      </c>
      <c r="B276" s="1" t="s">
        <v>22</v>
      </c>
      <c r="C276" s="1" t="s">
        <v>50</v>
      </c>
      <c r="D276" s="1" t="s">
        <v>13</v>
      </c>
      <c r="E276" s="1" t="s">
        <v>24</v>
      </c>
      <c r="F276" s="1" t="s">
        <v>20</v>
      </c>
      <c r="G276" s="2">
        <v>45201</v>
      </c>
      <c r="H276" s="1">
        <v>218</v>
      </c>
      <c r="I276" s="1">
        <v>118.97</v>
      </c>
      <c r="J276" s="1">
        <v>205.02</v>
      </c>
    </row>
    <row r="277" spans="1:10" x14ac:dyDescent="0.25">
      <c r="A277" s="1" t="s">
        <v>304</v>
      </c>
      <c r="B277" s="1" t="s">
        <v>17</v>
      </c>
      <c r="C277" s="1" t="s">
        <v>12</v>
      </c>
      <c r="D277" s="1" t="s">
        <v>42</v>
      </c>
      <c r="E277" s="1" t="s">
        <v>24</v>
      </c>
      <c r="F277" s="1" t="s">
        <v>15</v>
      </c>
      <c r="G277" s="2">
        <v>45202</v>
      </c>
      <c r="H277" s="1">
        <v>81</v>
      </c>
      <c r="I277" s="1">
        <v>107.06</v>
      </c>
      <c r="J277" s="1">
        <v>289.92</v>
      </c>
    </row>
    <row r="278" spans="1:10" x14ac:dyDescent="0.25">
      <c r="A278" s="1" t="s">
        <v>305</v>
      </c>
      <c r="B278" s="1" t="s">
        <v>22</v>
      </c>
      <c r="C278" s="1" t="s">
        <v>18</v>
      </c>
      <c r="D278" s="1" t="s">
        <v>42</v>
      </c>
      <c r="E278" s="1" t="s">
        <v>24</v>
      </c>
      <c r="F278" s="1" t="s">
        <v>20</v>
      </c>
      <c r="G278" s="2">
        <v>45203</v>
      </c>
      <c r="H278" s="1">
        <v>286</v>
      </c>
      <c r="I278" s="1">
        <v>320.79000000000002</v>
      </c>
      <c r="J278" s="1">
        <v>43.45</v>
      </c>
    </row>
    <row r="279" spans="1:10" x14ac:dyDescent="0.25">
      <c r="A279" s="1" t="s">
        <v>306</v>
      </c>
      <c r="B279" s="1" t="s">
        <v>48</v>
      </c>
      <c r="C279" s="1" t="s">
        <v>50</v>
      </c>
      <c r="D279" s="1" t="s">
        <v>13</v>
      </c>
      <c r="E279" s="1" t="s">
        <v>14</v>
      </c>
      <c r="F279" s="1" t="s">
        <v>15</v>
      </c>
      <c r="G279" s="2">
        <v>45204</v>
      </c>
      <c r="H279" s="1">
        <v>283</v>
      </c>
      <c r="I279" s="1">
        <v>132.16</v>
      </c>
      <c r="J279" s="1">
        <v>91.72</v>
      </c>
    </row>
    <row r="280" spans="1:10" x14ac:dyDescent="0.25">
      <c r="A280" s="1" t="s">
        <v>307</v>
      </c>
      <c r="B280" s="1" t="s">
        <v>22</v>
      </c>
      <c r="C280" s="1" t="s">
        <v>18</v>
      </c>
      <c r="D280" s="1" t="s">
        <v>13</v>
      </c>
      <c r="E280" s="1" t="s">
        <v>14</v>
      </c>
      <c r="F280" s="1" t="s">
        <v>15</v>
      </c>
      <c r="G280" s="2">
        <v>45205</v>
      </c>
      <c r="H280" s="1">
        <v>487</v>
      </c>
      <c r="I280" s="1">
        <v>317.85000000000002</v>
      </c>
      <c r="J280" s="1">
        <v>281.77</v>
      </c>
    </row>
    <row r="281" spans="1:10" x14ac:dyDescent="0.25">
      <c r="A281" s="1" t="s">
        <v>308</v>
      </c>
      <c r="B281" s="1" t="s">
        <v>48</v>
      </c>
      <c r="C281" s="1" t="s">
        <v>31</v>
      </c>
      <c r="D281" s="1" t="s">
        <v>19</v>
      </c>
      <c r="E281" s="1" t="s">
        <v>24</v>
      </c>
      <c r="F281" s="1" t="s">
        <v>20</v>
      </c>
      <c r="G281" s="2">
        <v>45206</v>
      </c>
      <c r="H281" s="1">
        <v>329</v>
      </c>
      <c r="I281" s="1">
        <v>33.94</v>
      </c>
      <c r="J281" s="1">
        <v>23.02</v>
      </c>
    </row>
    <row r="282" spans="1:10" x14ac:dyDescent="0.25">
      <c r="A282" s="1" t="s">
        <v>309</v>
      </c>
      <c r="B282" s="1" t="s">
        <v>17</v>
      </c>
      <c r="C282" s="1" t="s">
        <v>18</v>
      </c>
      <c r="D282" s="1" t="s">
        <v>23</v>
      </c>
      <c r="E282" s="1" t="s">
        <v>14</v>
      </c>
      <c r="F282" s="1" t="s">
        <v>28</v>
      </c>
      <c r="G282" s="2">
        <v>45207</v>
      </c>
      <c r="H282" s="1">
        <v>347</v>
      </c>
      <c r="I282" s="1">
        <v>75.180000000000007</v>
      </c>
      <c r="J282" s="1">
        <v>195.67</v>
      </c>
    </row>
    <row r="283" spans="1:10" x14ac:dyDescent="0.25">
      <c r="A283" s="1" t="s">
        <v>310</v>
      </c>
      <c r="B283" s="1" t="s">
        <v>17</v>
      </c>
      <c r="C283" s="1" t="s">
        <v>18</v>
      </c>
      <c r="D283" s="1" t="s">
        <v>42</v>
      </c>
      <c r="E283" s="1" t="s">
        <v>24</v>
      </c>
      <c r="F283" s="1" t="s">
        <v>15</v>
      </c>
      <c r="G283" s="2">
        <v>45208</v>
      </c>
      <c r="H283" s="1">
        <v>375</v>
      </c>
      <c r="I283" s="1">
        <v>140.9</v>
      </c>
      <c r="J283" s="1">
        <v>240.55</v>
      </c>
    </row>
    <row r="284" spans="1:10" x14ac:dyDescent="0.25">
      <c r="A284" s="1" t="s">
        <v>311</v>
      </c>
      <c r="B284" s="1" t="s">
        <v>48</v>
      </c>
      <c r="C284" s="1" t="s">
        <v>18</v>
      </c>
      <c r="D284" s="1" t="s">
        <v>23</v>
      </c>
      <c r="E284" s="1" t="s">
        <v>14</v>
      </c>
      <c r="F284" s="1" t="s">
        <v>15</v>
      </c>
      <c r="G284" s="2">
        <v>45209</v>
      </c>
      <c r="H284" s="1">
        <v>104</v>
      </c>
      <c r="I284" s="1">
        <v>300.54000000000002</v>
      </c>
      <c r="J284" s="1">
        <v>241.65</v>
      </c>
    </row>
    <row r="285" spans="1:10" x14ac:dyDescent="0.25">
      <c r="A285" s="1" t="s">
        <v>312</v>
      </c>
      <c r="B285" s="1" t="s">
        <v>11</v>
      </c>
      <c r="C285" s="1" t="s">
        <v>12</v>
      </c>
      <c r="D285" s="1"/>
      <c r="E285" s="1" t="s">
        <v>14</v>
      </c>
      <c r="F285" s="1" t="s">
        <v>15</v>
      </c>
      <c r="G285" s="2">
        <v>45210</v>
      </c>
      <c r="H285" s="1">
        <v>175</v>
      </c>
      <c r="I285" s="1">
        <v>339.54</v>
      </c>
      <c r="J285" s="1">
        <v>11.13</v>
      </c>
    </row>
    <row r="286" spans="1:10" x14ac:dyDescent="0.25">
      <c r="A286" s="1" t="s">
        <v>313</v>
      </c>
      <c r="B286" s="1" t="s">
        <v>48</v>
      </c>
      <c r="C286" s="1" t="s">
        <v>18</v>
      </c>
      <c r="D286" s="1" t="s">
        <v>13</v>
      </c>
      <c r="E286" s="1" t="s">
        <v>14</v>
      </c>
      <c r="F286" s="1" t="s">
        <v>20</v>
      </c>
      <c r="G286" s="2">
        <v>45211</v>
      </c>
      <c r="H286" s="1">
        <v>41</v>
      </c>
      <c r="I286" s="1">
        <v>224.14</v>
      </c>
      <c r="J286" s="1">
        <v>130.19999999999999</v>
      </c>
    </row>
    <row r="287" spans="1:10" x14ac:dyDescent="0.25">
      <c r="A287" s="1" t="s">
        <v>314</v>
      </c>
      <c r="B287" s="1" t="s">
        <v>11</v>
      </c>
      <c r="C287" s="1" t="s">
        <v>50</v>
      </c>
      <c r="D287" s="1" t="s">
        <v>19</v>
      </c>
      <c r="E287" s="1" t="s">
        <v>14</v>
      </c>
      <c r="F287" s="1" t="s">
        <v>28</v>
      </c>
      <c r="G287" s="2">
        <v>45212</v>
      </c>
      <c r="H287" s="1">
        <v>20</v>
      </c>
      <c r="I287" s="1">
        <v>225.67</v>
      </c>
      <c r="J287" s="1">
        <v>255.32</v>
      </c>
    </row>
    <row r="288" spans="1:10" x14ac:dyDescent="0.25">
      <c r="A288" s="1" t="s">
        <v>315</v>
      </c>
      <c r="B288" s="1" t="s">
        <v>22</v>
      </c>
      <c r="C288" s="1" t="s">
        <v>31</v>
      </c>
      <c r="D288" s="1" t="s">
        <v>27</v>
      </c>
      <c r="E288" s="1" t="s">
        <v>24</v>
      </c>
      <c r="F288" s="1" t="s">
        <v>20</v>
      </c>
      <c r="G288" s="2">
        <v>45213</v>
      </c>
      <c r="H288" s="1">
        <v>310</v>
      </c>
      <c r="I288" s="1">
        <v>363.64</v>
      </c>
      <c r="J288" s="1">
        <v>61.3</v>
      </c>
    </row>
    <row r="289" spans="1:10" x14ac:dyDescent="0.25">
      <c r="A289" s="1" t="s">
        <v>316</v>
      </c>
      <c r="B289" s="1" t="s">
        <v>22</v>
      </c>
      <c r="C289" s="1" t="s">
        <v>31</v>
      </c>
      <c r="D289" s="1" t="s">
        <v>19</v>
      </c>
      <c r="E289" s="1" t="s">
        <v>24</v>
      </c>
      <c r="F289" s="1" t="s">
        <v>20</v>
      </c>
      <c r="G289" s="2">
        <v>45214</v>
      </c>
      <c r="H289" s="1">
        <v>226</v>
      </c>
      <c r="I289" s="1"/>
      <c r="J289" s="1">
        <v>278.77999999999997</v>
      </c>
    </row>
    <row r="290" spans="1:10" x14ac:dyDescent="0.25">
      <c r="A290" s="1" t="s">
        <v>317</v>
      </c>
      <c r="B290" s="1" t="s">
        <v>22</v>
      </c>
      <c r="C290" s="1" t="s">
        <v>18</v>
      </c>
      <c r="D290" s="1" t="s">
        <v>19</v>
      </c>
      <c r="E290" s="1" t="s">
        <v>24</v>
      </c>
      <c r="F290" s="1" t="s">
        <v>28</v>
      </c>
      <c r="G290" s="2">
        <v>45215</v>
      </c>
      <c r="H290" s="1"/>
      <c r="I290" s="1">
        <v>173.84</v>
      </c>
      <c r="J290" s="1">
        <v>298.88</v>
      </c>
    </row>
    <row r="291" spans="1:10" x14ac:dyDescent="0.25">
      <c r="A291" s="1" t="s">
        <v>318</v>
      </c>
      <c r="B291" s="1" t="s">
        <v>17</v>
      </c>
      <c r="C291" s="1" t="s">
        <v>12</v>
      </c>
      <c r="D291" s="1" t="s">
        <v>23</v>
      </c>
      <c r="E291" s="1" t="s">
        <v>14</v>
      </c>
      <c r="F291" s="1" t="s">
        <v>20</v>
      </c>
      <c r="G291" s="2">
        <v>45216</v>
      </c>
      <c r="H291" s="1">
        <v>111</v>
      </c>
      <c r="I291" s="1">
        <v>410.26</v>
      </c>
      <c r="J291" s="1">
        <v>392.82</v>
      </c>
    </row>
    <row r="292" spans="1:10" x14ac:dyDescent="0.25">
      <c r="A292" s="1" t="s">
        <v>319</v>
      </c>
      <c r="B292" s="1" t="s">
        <v>22</v>
      </c>
      <c r="C292" s="1" t="s">
        <v>12</v>
      </c>
      <c r="D292" s="1" t="s">
        <v>19</v>
      </c>
      <c r="E292" s="1" t="s">
        <v>24</v>
      </c>
      <c r="F292" s="1" t="s">
        <v>28</v>
      </c>
      <c r="G292" s="2">
        <v>45217</v>
      </c>
      <c r="H292" s="1">
        <v>434</v>
      </c>
      <c r="I292" s="1">
        <v>303.58999999999997</v>
      </c>
      <c r="J292" s="1">
        <v>85.52</v>
      </c>
    </row>
    <row r="293" spans="1:10" x14ac:dyDescent="0.25">
      <c r="A293" s="1" t="s">
        <v>320</v>
      </c>
      <c r="B293" s="1" t="s">
        <v>11</v>
      </c>
      <c r="C293" s="1" t="s">
        <v>50</v>
      </c>
      <c r="D293" s="1" t="s">
        <v>42</v>
      </c>
      <c r="E293" s="1" t="s">
        <v>24</v>
      </c>
      <c r="F293" s="1" t="s">
        <v>15</v>
      </c>
      <c r="G293" s="2">
        <v>45218</v>
      </c>
      <c r="H293" s="1">
        <v>401</v>
      </c>
      <c r="I293" s="1">
        <v>171.93</v>
      </c>
      <c r="J293" s="1">
        <v>330.4</v>
      </c>
    </row>
    <row r="294" spans="1:10" x14ac:dyDescent="0.25">
      <c r="A294" s="1" t="s">
        <v>321</v>
      </c>
      <c r="B294" s="1" t="s">
        <v>22</v>
      </c>
      <c r="C294" s="1" t="s">
        <v>18</v>
      </c>
      <c r="D294" s="1" t="s">
        <v>23</v>
      </c>
      <c r="E294" s="1" t="s">
        <v>24</v>
      </c>
      <c r="F294" s="1" t="s">
        <v>28</v>
      </c>
      <c r="G294" s="2">
        <v>45219</v>
      </c>
      <c r="H294" s="1">
        <v>276</v>
      </c>
      <c r="I294" s="1">
        <v>453.23</v>
      </c>
      <c r="J294" s="1">
        <v>209.08</v>
      </c>
    </row>
    <row r="295" spans="1:10" x14ac:dyDescent="0.25">
      <c r="A295" s="1" t="s">
        <v>322</v>
      </c>
      <c r="B295" s="1" t="s">
        <v>48</v>
      </c>
      <c r="C295" s="1" t="s">
        <v>31</v>
      </c>
      <c r="D295" s="1" t="s">
        <v>42</v>
      </c>
      <c r="E295" s="1" t="s">
        <v>14</v>
      </c>
      <c r="F295" s="1" t="s">
        <v>15</v>
      </c>
      <c r="G295" s="2">
        <v>45220</v>
      </c>
      <c r="H295" s="1"/>
      <c r="I295" s="1">
        <v>387.45</v>
      </c>
      <c r="J295" s="1">
        <v>150.63999999999999</v>
      </c>
    </row>
    <row r="296" spans="1:10" x14ac:dyDescent="0.25">
      <c r="A296" s="1" t="s">
        <v>323</v>
      </c>
      <c r="B296" s="1" t="s">
        <v>48</v>
      </c>
      <c r="C296" s="1" t="s">
        <v>12</v>
      </c>
      <c r="D296" s="1" t="s">
        <v>27</v>
      </c>
      <c r="E296" s="1" t="s">
        <v>14</v>
      </c>
      <c r="F296" s="1" t="s">
        <v>20</v>
      </c>
      <c r="G296" s="2">
        <v>45221</v>
      </c>
      <c r="H296" s="1">
        <v>188</v>
      </c>
      <c r="I296" s="1">
        <v>136.12</v>
      </c>
      <c r="J296" s="1">
        <v>50.71</v>
      </c>
    </row>
    <row r="297" spans="1:10" x14ac:dyDescent="0.25">
      <c r="A297" s="1" t="s">
        <v>324</v>
      </c>
      <c r="B297" s="1" t="s">
        <v>17</v>
      </c>
      <c r="C297" s="1" t="s">
        <v>18</v>
      </c>
      <c r="D297" s="1" t="s">
        <v>23</v>
      </c>
      <c r="E297" s="1" t="s">
        <v>14</v>
      </c>
      <c r="F297" s="1" t="s">
        <v>20</v>
      </c>
      <c r="G297" s="2">
        <v>45222</v>
      </c>
      <c r="H297" s="1">
        <v>97</v>
      </c>
      <c r="I297" s="1">
        <v>324.42</v>
      </c>
      <c r="J297" s="1">
        <v>294.73</v>
      </c>
    </row>
    <row r="298" spans="1:10" x14ac:dyDescent="0.25">
      <c r="A298" s="1" t="s">
        <v>325</v>
      </c>
      <c r="B298" s="1" t="s">
        <v>48</v>
      </c>
      <c r="C298" s="1" t="s">
        <v>12</v>
      </c>
      <c r="D298" s="1" t="s">
        <v>27</v>
      </c>
      <c r="E298" s="1" t="s">
        <v>24</v>
      </c>
      <c r="F298" s="1" t="s">
        <v>15</v>
      </c>
      <c r="G298" s="2">
        <v>45223</v>
      </c>
      <c r="H298" s="1">
        <v>50</v>
      </c>
      <c r="I298" s="1">
        <v>299.89999999999998</v>
      </c>
      <c r="J298" s="1">
        <v>95.87</v>
      </c>
    </row>
    <row r="299" spans="1:10" x14ac:dyDescent="0.25">
      <c r="A299" s="1" t="s">
        <v>326</v>
      </c>
      <c r="B299" s="1" t="s">
        <v>11</v>
      </c>
      <c r="C299" s="1" t="s">
        <v>12</v>
      </c>
      <c r="D299" s="1" t="s">
        <v>23</v>
      </c>
      <c r="E299" s="1" t="s">
        <v>24</v>
      </c>
      <c r="F299" s="1" t="s">
        <v>20</v>
      </c>
      <c r="G299" s="2">
        <v>45224</v>
      </c>
      <c r="H299" s="1">
        <v>410</v>
      </c>
      <c r="I299" s="1">
        <v>203.59</v>
      </c>
      <c r="J299" s="1">
        <v>149.83000000000001</v>
      </c>
    </row>
    <row r="300" spans="1:10" x14ac:dyDescent="0.25">
      <c r="A300" s="1" t="s">
        <v>327</v>
      </c>
      <c r="B300" s="1" t="s">
        <v>22</v>
      </c>
      <c r="C300" s="1" t="s">
        <v>31</v>
      </c>
      <c r="D300" s="1" t="s">
        <v>13</v>
      </c>
      <c r="E300" s="1" t="s">
        <v>24</v>
      </c>
      <c r="F300" s="1" t="s">
        <v>28</v>
      </c>
      <c r="G300" s="2">
        <v>45225</v>
      </c>
      <c r="H300" s="1">
        <v>85</v>
      </c>
      <c r="I300" s="1">
        <v>186.64</v>
      </c>
      <c r="J300" s="1">
        <v>26.89</v>
      </c>
    </row>
    <row r="301" spans="1:10" x14ac:dyDescent="0.25">
      <c r="A301" s="1" t="s">
        <v>328</v>
      </c>
      <c r="B301" s="1" t="s">
        <v>17</v>
      </c>
      <c r="C301" s="1" t="s">
        <v>26</v>
      </c>
      <c r="D301" s="1" t="s">
        <v>19</v>
      </c>
      <c r="E301" s="1" t="s">
        <v>14</v>
      </c>
      <c r="F301" s="1" t="s">
        <v>15</v>
      </c>
      <c r="G301" s="2">
        <v>45226</v>
      </c>
      <c r="H301" s="1">
        <v>386</v>
      </c>
      <c r="I301" s="1">
        <v>175.06</v>
      </c>
      <c r="J301" s="1">
        <v>320.94</v>
      </c>
    </row>
    <row r="302" spans="1:10" x14ac:dyDescent="0.25">
      <c r="A302" s="1" t="s">
        <v>329</v>
      </c>
      <c r="B302" s="1" t="s">
        <v>22</v>
      </c>
      <c r="C302" s="1" t="s">
        <v>50</v>
      </c>
      <c r="D302" s="1" t="s">
        <v>13</v>
      </c>
      <c r="E302" s="1" t="s">
        <v>14</v>
      </c>
      <c r="F302" s="1" t="s">
        <v>20</v>
      </c>
      <c r="G302" s="2">
        <v>45227</v>
      </c>
      <c r="H302" s="1">
        <v>55</v>
      </c>
      <c r="I302" s="1">
        <v>310.49</v>
      </c>
      <c r="J302" s="1">
        <v>307.10000000000002</v>
      </c>
    </row>
    <row r="303" spans="1:10" x14ac:dyDescent="0.25">
      <c r="A303" s="1" t="s">
        <v>330</v>
      </c>
      <c r="B303" s="1" t="s">
        <v>22</v>
      </c>
      <c r="C303" s="1" t="s">
        <v>50</v>
      </c>
      <c r="D303" s="1" t="s">
        <v>27</v>
      </c>
      <c r="E303" s="1" t="s">
        <v>24</v>
      </c>
      <c r="F303" s="1" t="s">
        <v>15</v>
      </c>
      <c r="G303" s="2">
        <v>45228</v>
      </c>
      <c r="H303" s="1">
        <v>169</v>
      </c>
      <c r="I303" s="1">
        <v>223.99</v>
      </c>
      <c r="J303" s="1">
        <v>293.98</v>
      </c>
    </row>
    <row r="304" spans="1:10" x14ac:dyDescent="0.25">
      <c r="A304" s="1" t="s">
        <v>331</v>
      </c>
      <c r="B304" s="1" t="s">
        <v>11</v>
      </c>
      <c r="C304" s="1" t="s">
        <v>31</v>
      </c>
      <c r="D304" s="1" t="s">
        <v>19</v>
      </c>
      <c r="E304" s="1" t="s">
        <v>14</v>
      </c>
      <c r="F304" s="1" t="s">
        <v>28</v>
      </c>
      <c r="G304" s="2">
        <v>45229</v>
      </c>
      <c r="H304" s="1">
        <v>472</v>
      </c>
      <c r="I304" s="1">
        <v>416.77</v>
      </c>
      <c r="J304" s="1">
        <v>121.18</v>
      </c>
    </row>
    <row r="305" spans="1:10" x14ac:dyDescent="0.25">
      <c r="A305" s="1" t="s">
        <v>332</v>
      </c>
      <c r="B305" s="1" t="s">
        <v>48</v>
      </c>
      <c r="C305" s="1" t="s">
        <v>12</v>
      </c>
      <c r="D305" s="1" t="s">
        <v>23</v>
      </c>
      <c r="E305" s="1" t="s">
        <v>14</v>
      </c>
      <c r="F305" s="1" t="s">
        <v>28</v>
      </c>
      <c r="G305" s="2">
        <v>45230</v>
      </c>
      <c r="H305" s="1">
        <v>89</v>
      </c>
      <c r="I305" s="1">
        <v>336.45</v>
      </c>
      <c r="J305" s="1">
        <v>71.05</v>
      </c>
    </row>
    <row r="306" spans="1:10" x14ac:dyDescent="0.25">
      <c r="A306" s="1" t="s">
        <v>333</v>
      </c>
      <c r="B306" s="1" t="s">
        <v>48</v>
      </c>
      <c r="C306" s="1" t="s">
        <v>18</v>
      </c>
      <c r="D306" s="1" t="s">
        <v>19</v>
      </c>
      <c r="E306" s="1" t="s">
        <v>14</v>
      </c>
      <c r="F306" s="1" t="s">
        <v>20</v>
      </c>
      <c r="G306" s="2">
        <v>45231</v>
      </c>
      <c r="H306" s="1">
        <v>319</v>
      </c>
      <c r="I306" s="1">
        <v>39.619999999999997</v>
      </c>
      <c r="J306" s="1">
        <v>255.75</v>
      </c>
    </row>
    <row r="307" spans="1:10" x14ac:dyDescent="0.25">
      <c r="A307" s="1" t="s">
        <v>334</v>
      </c>
      <c r="B307" s="1" t="s">
        <v>22</v>
      </c>
      <c r="C307" s="1" t="s">
        <v>12</v>
      </c>
      <c r="D307" s="1"/>
      <c r="E307" s="1" t="s">
        <v>14</v>
      </c>
      <c r="F307" s="1" t="s">
        <v>28</v>
      </c>
      <c r="G307" s="2">
        <v>45232</v>
      </c>
      <c r="H307" s="1">
        <v>95</v>
      </c>
      <c r="I307" s="1">
        <v>321.88</v>
      </c>
      <c r="J307" s="1">
        <v>199.47</v>
      </c>
    </row>
    <row r="308" spans="1:10" x14ac:dyDescent="0.25">
      <c r="A308" s="1" t="s">
        <v>335</v>
      </c>
      <c r="B308" s="1" t="s">
        <v>17</v>
      </c>
      <c r="C308" s="1" t="s">
        <v>31</v>
      </c>
      <c r="D308" s="1"/>
      <c r="E308" s="1" t="s">
        <v>24</v>
      </c>
      <c r="F308" s="1" t="s">
        <v>15</v>
      </c>
      <c r="G308" s="2">
        <v>45233</v>
      </c>
      <c r="H308" s="1">
        <v>101</v>
      </c>
      <c r="I308" s="1">
        <v>139.22</v>
      </c>
      <c r="J308" s="1">
        <v>72.94</v>
      </c>
    </row>
    <row r="309" spans="1:10" x14ac:dyDescent="0.25">
      <c r="A309" s="1" t="s">
        <v>336</v>
      </c>
      <c r="B309" s="1" t="s">
        <v>48</v>
      </c>
      <c r="C309" s="1" t="s">
        <v>50</v>
      </c>
      <c r="D309" s="1"/>
      <c r="E309" s="1" t="s">
        <v>14</v>
      </c>
      <c r="F309" s="1" t="s">
        <v>28</v>
      </c>
      <c r="G309" s="2">
        <v>45234</v>
      </c>
      <c r="H309" s="1">
        <v>157</v>
      </c>
      <c r="I309" s="1"/>
      <c r="J309" s="1">
        <v>274.99</v>
      </c>
    </row>
    <row r="310" spans="1:10" x14ac:dyDescent="0.25">
      <c r="A310" s="1" t="s">
        <v>337</v>
      </c>
      <c r="B310" s="1" t="s">
        <v>17</v>
      </c>
      <c r="C310" s="1" t="s">
        <v>12</v>
      </c>
      <c r="D310" s="1" t="s">
        <v>19</v>
      </c>
      <c r="E310" s="1" t="s">
        <v>14</v>
      </c>
      <c r="F310" s="1" t="s">
        <v>15</v>
      </c>
      <c r="G310" s="2">
        <v>45235</v>
      </c>
      <c r="H310" s="1">
        <v>170</v>
      </c>
      <c r="I310" s="1">
        <v>341.67</v>
      </c>
      <c r="J310" s="1">
        <v>396.47</v>
      </c>
    </row>
    <row r="311" spans="1:10" x14ac:dyDescent="0.25">
      <c r="A311" s="1" t="s">
        <v>338</v>
      </c>
      <c r="B311" s="1" t="s">
        <v>48</v>
      </c>
      <c r="C311" s="1" t="s">
        <v>50</v>
      </c>
      <c r="D311" s="1" t="s">
        <v>42</v>
      </c>
      <c r="E311" s="1" t="s">
        <v>14</v>
      </c>
      <c r="F311" s="1" t="s">
        <v>15</v>
      </c>
      <c r="G311" s="2">
        <v>45236</v>
      </c>
      <c r="H311" s="1">
        <v>211</v>
      </c>
      <c r="I311" s="1">
        <v>119.26</v>
      </c>
      <c r="J311" s="1">
        <v>299.39</v>
      </c>
    </row>
    <row r="312" spans="1:10" x14ac:dyDescent="0.25">
      <c r="A312" s="1" t="s">
        <v>339</v>
      </c>
      <c r="B312" s="1" t="s">
        <v>17</v>
      </c>
      <c r="C312" s="1" t="s">
        <v>18</v>
      </c>
      <c r="D312" s="1" t="s">
        <v>27</v>
      </c>
      <c r="E312" s="1" t="s">
        <v>14</v>
      </c>
      <c r="F312" s="1" t="s">
        <v>28</v>
      </c>
      <c r="G312" s="2">
        <v>45237</v>
      </c>
      <c r="H312" s="1">
        <v>433</v>
      </c>
      <c r="I312" s="1">
        <v>231.15</v>
      </c>
      <c r="J312" s="1">
        <v>296.51</v>
      </c>
    </row>
    <row r="313" spans="1:10" x14ac:dyDescent="0.25">
      <c r="A313" s="1" t="s">
        <v>340</v>
      </c>
      <c r="B313" s="1" t="s">
        <v>11</v>
      </c>
      <c r="C313" s="1" t="s">
        <v>50</v>
      </c>
      <c r="D313" s="1" t="s">
        <v>13</v>
      </c>
      <c r="E313" s="1" t="s">
        <v>24</v>
      </c>
      <c r="F313" s="1" t="s">
        <v>20</v>
      </c>
      <c r="G313" s="2">
        <v>45238</v>
      </c>
      <c r="H313" s="1">
        <v>425</v>
      </c>
      <c r="I313" s="1">
        <v>99.21</v>
      </c>
      <c r="J313" s="1">
        <v>380.22</v>
      </c>
    </row>
    <row r="314" spans="1:10" x14ac:dyDescent="0.25">
      <c r="A314" s="1" t="s">
        <v>341</v>
      </c>
      <c r="B314" s="1" t="s">
        <v>17</v>
      </c>
      <c r="C314" s="1" t="s">
        <v>50</v>
      </c>
      <c r="D314" s="1" t="s">
        <v>23</v>
      </c>
      <c r="E314" s="1" t="s">
        <v>24</v>
      </c>
      <c r="F314" s="1" t="s">
        <v>28</v>
      </c>
      <c r="G314" s="2">
        <v>45239</v>
      </c>
      <c r="H314" s="1">
        <v>251</v>
      </c>
      <c r="I314" s="1">
        <v>30.91</v>
      </c>
      <c r="J314" s="1">
        <v>82.77</v>
      </c>
    </row>
    <row r="315" spans="1:10" x14ac:dyDescent="0.25">
      <c r="A315" s="1" t="s">
        <v>342</v>
      </c>
      <c r="B315" s="1" t="s">
        <v>11</v>
      </c>
      <c r="C315" s="1" t="s">
        <v>26</v>
      </c>
      <c r="D315" s="1" t="s">
        <v>19</v>
      </c>
      <c r="E315" s="1" t="s">
        <v>14</v>
      </c>
      <c r="F315" s="1" t="s">
        <v>15</v>
      </c>
      <c r="G315" s="2">
        <v>45240</v>
      </c>
      <c r="H315" s="1"/>
      <c r="I315" s="1">
        <v>192.35</v>
      </c>
      <c r="J315" s="1">
        <v>227.09</v>
      </c>
    </row>
    <row r="316" spans="1:10" x14ac:dyDescent="0.25">
      <c r="A316" s="1" t="s">
        <v>343</v>
      </c>
      <c r="B316" s="1" t="s">
        <v>11</v>
      </c>
      <c r="C316" s="1" t="s">
        <v>26</v>
      </c>
      <c r="D316" s="1" t="s">
        <v>13</v>
      </c>
      <c r="E316" s="1" t="s">
        <v>14</v>
      </c>
      <c r="F316" s="1" t="s">
        <v>15</v>
      </c>
      <c r="G316" s="2">
        <v>45241</v>
      </c>
      <c r="H316" s="1">
        <v>11</v>
      </c>
      <c r="I316" s="1">
        <v>184.66</v>
      </c>
      <c r="J316" s="1">
        <v>391.9</v>
      </c>
    </row>
    <row r="317" spans="1:10" x14ac:dyDescent="0.25">
      <c r="A317" s="1" t="s">
        <v>344</v>
      </c>
      <c r="B317" s="1" t="s">
        <v>17</v>
      </c>
      <c r="C317" s="1" t="s">
        <v>26</v>
      </c>
      <c r="D317" s="1" t="s">
        <v>23</v>
      </c>
      <c r="E317" s="1" t="s">
        <v>14</v>
      </c>
      <c r="F317" s="1" t="s">
        <v>28</v>
      </c>
      <c r="G317" s="2">
        <v>45242</v>
      </c>
      <c r="H317" s="1">
        <v>234</v>
      </c>
      <c r="I317" s="1">
        <v>497.76</v>
      </c>
      <c r="J317" s="1">
        <v>67.790000000000006</v>
      </c>
    </row>
    <row r="318" spans="1:10" x14ac:dyDescent="0.25">
      <c r="A318" s="1" t="s">
        <v>345</v>
      </c>
      <c r="B318" s="1" t="s">
        <v>11</v>
      </c>
      <c r="C318" s="1" t="s">
        <v>50</v>
      </c>
      <c r="D318" s="1" t="s">
        <v>23</v>
      </c>
      <c r="E318" s="1" t="s">
        <v>14</v>
      </c>
      <c r="F318" s="1" t="s">
        <v>20</v>
      </c>
      <c r="G318" s="2">
        <v>45243</v>
      </c>
      <c r="H318" s="1"/>
      <c r="I318" s="1">
        <v>225.94</v>
      </c>
      <c r="J318" s="1">
        <v>280.7</v>
      </c>
    </row>
    <row r="319" spans="1:10" x14ac:dyDescent="0.25">
      <c r="A319" s="1" t="s">
        <v>346</v>
      </c>
      <c r="B319" s="1" t="s">
        <v>22</v>
      </c>
      <c r="C319" s="1" t="s">
        <v>31</v>
      </c>
      <c r="D319" s="1" t="s">
        <v>42</v>
      </c>
      <c r="E319" s="1" t="s">
        <v>14</v>
      </c>
      <c r="F319" s="1" t="s">
        <v>20</v>
      </c>
      <c r="G319" s="2">
        <v>45244</v>
      </c>
      <c r="H319" s="1">
        <v>242</v>
      </c>
      <c r="I319" s="1">
        <v>170.12</v>
      </c>
      <c r="J319" s="1">
        <v>235.15</v>
      </c>
    </row>
    <row r="320" spans="1:10" x14ac:dyDescent="0.25">
      <c r="A320" s="1" t="s">
        <v>347</v>
      </c>
      <c r="B320" s="1" t="s">
        <v>11</v>
      </c>
      <c r="C320" s="1" t="s">
        <v>50</v>
      </c>
      <c r="D320" s="1" t="s">
        <v>27</v>
      </c>
      <c r="E320" s="1" t="s">
        <v>14</v>
      </c>
      <c r="F320" s="1" t="s">
        <v>15</v>
      </c>
      <c r="G320" s="2">
        <v>45245</v>
      </c>
      <c r="H320" s="1">
        <v>470</v>
      </c>
      <c r="I320" s="1">
        <v>292.33999999999997</v>
      </c>
      <c r="J320" s="1">
        <v>235.42</v>
      </c>
    </row>
    <row r="321" spans="1:10" x14ac:dyDescent="0.25">
      <c r="A321" s="1" t="s">
        <v>348</v>
      </c>
      <c r="B321" s="1" t="s">
        <v>48</v>
      </c>
      <c r="C321" s="1" t="s">
        <v>31</v>
      </c>
      <c r="D321" s="1" t="s">
        <v>27</v>
      </c>
      <c r="E321" s="1" t="s">
        <v>24</v>
      </c>
      <c r="F321" s="1" t="s">
        <v>15</v>
      </c>
      <c r="G321" s="2">
        <v>45246</v>
      </c>
      <c r="H321" s="1">
        <v>423</v>
      </c>
      <c r="I321" s="1">
        <v>48.94</v>
      </c>
      <c r="J321" s="1">
        <v>279.67</v>
      </c>
    </row>
    <row r="322" spans="1:10" x14ac:dyDescent="0.25">
      <c r="A322" s="1" t="s">
        <v>349</v>
      </c>
      <c r="B322" s="1" t="s">
        <v>17</v>
      </c>
      <c r="C322" s="1" t="s">
        <v>31</v>
      </c>
      <c r="D322" s="1" t="s">
        <v>13</v>
      </c>
      <c r="E322" s="1" t="s">
        <v>14</v>
      </c>
      <c r="F322" s="1" t="s">
        <v>20</v>
      </c>
      <c r="G322" s="2">
        <v>45247</v>
      </c>
      <c r="H322" s="1">
        <v>426</v>
      </c>
      <c r="I322" s="1">
        <v>481.02</v>
      </c>
      <c r="J322" s="1">
        <v>371.99</v>
      </c>
    </row>
    <row r="323" spans="1:10" x14ac:dyDescent="0.25">
      <c r="A323" s="1" t="s">
        <v>350</v>
      </c>
      <c r="B323" s="1" t="s">
        <v>22</v>
      </c>
      <c r="C323" s="1" t="s">
        <v>26</v>
      </c>
      <c r="D323" s="1" t="s">
        <v>27</v>
      </c>
      <c r="E323" s="1" t="s">
        <v>24</v>
      </c>
      <c r="F323" s="1" t="s">
        <v>28</v>
      </c>
      <c r="G323" s="2">
        <v>45248</v>
      </c>
      <c r="H323" s="1">
        <v>86</v>
      </c>
      <c r="I323" s="1">
        <v>319.31</v>
      </c>
      <c r="J323" s="1">
        <v>313.47000000000003</v>
      </c>
    </row>
    <row r="324" spans="1:10" x14ac:dyDescent="0.25">
      <c r="A324" s="1" t="s">
        <v>351</v>
      </c>
      <c r="B324" s="1" t="s">
        <v>17</v>
      </c>
      <c r="C324" s="1" t="s">
        <v>12</v>
      </c>
      <c r="D324" s="1" t="s">
        <v>19</v>
      </c>
      <c r="E324" s="1" t="s">
        <v>24</v>
      </c>
      <c r="F324" s="1" t="s">
        <v>15</v>
      </c>
      <c r="G324" s="2">
        <v>45249</v>
      </c>
      <c r="H324" s="1">
        <v>125</v>
      </c>
      <c r="I324" s="1">
        <v>378.64</v>
      </c>
      <c r="J324" s="1">
        <v>24.34</v>
      </c>
    </row>
    <row r="325" spans="1:10" x14ac:dyDescent="0.25">
      <c r="A325" s="1" t="s">
        <v>352</v>
      </c>
      <c r="B325" s="1" t="s">
        <v>48</v>
      </c>
      <c r="C325" s="1" t="s">
        <v>18</v>
      </c>
      <c r="D325" s="1"/>
      <c r="E325" s="1" t="s">
        <v>14</v>
      </c>
      <c r="F325" s="1" t="s">
        <v>15</v>
      </c>
      <c r="G325" s="2">
        <v>45250</v>
      </c>
      <c r="H325" s="1">
        <v>163</v>
      </c>
      <c r="I325" s="1">
        <v>89.39</v>
      </c>
      <c r="J325" s="1">
        <v>341.39</v>
      </c>
    </row>
    <row r="326" spans="1:10" x14ac:dyDescent="0.25">
      <c r="A326" s="1" t="s">
        <v>353</v>
      </c>
      <c r="B326" s="1" t="s">
        <v>48</v>
      </c>
      <c r="C326" s="1" t="s">
        <v>26</v>
      </c>
      <c r="D326" s="1" t="s">
        <v>13</v>
      </c>
      <c r="E326" s="1" t="s">
        <v>24</v>
      </c>
      <c r="F326" s="1" t="s">
        <v>20</v>
      </c>
      <c r="G326" s="2">
        <v>45251</v>
      </c>
      <c r="H326" s="1">
        <v>415</v>
      </c>
      <c r="I326" s="1">
        <v>207.69</v>
      </c>
      <c r="J326" s="1">
        <v>91.77</v>
      </c>
    </row>
    <row r="327" spans="1:10" x14ac:dyDescent="0.25">
      <c r="A327" s="1" t="s">
        <v>354</v>
      </c>
      <c r="B327" s="1" t="s">
        <v>48</v>
      </c>
      <c r="C327" s="1" t="s">
        <v>26</v>
      </c>
      <c r="D327" s="1" t="s">
        <v>27</v>
      </c>
      <c r="E327" s="1" t="s">
        <v>24</v>
      </c>
      <c r="F327" s="1" t="s">
        <v>28</v>
      </c>
      <c r="G327" s="2">
        <v>45252</v>
      </c>
      <c r="H327" s="1">
        <v>112</v>
      </c>
      <c r="I327" s="1">
        <v>214.23</v>
      </c>
      <c r="J327" s="1">
        <v>152.01</v>
      </c>
    </row>
    <row r="328" spans="1:10" x14ac:dyDescent="0.25">
      <c r="A328" s="1" t="s">
        <v>355</v>
      </c>
      <c r="B328" s="1" t="s">
        <v>11</v>
      </c>
      <c r="C328" s="1" t="s">
        <v>12</v>
      </c>
      <c r="D328" s="1" t="s">
        <v>19</v>
      </c>
      <c r="E328" s="1" t="s">
        <v>24</v>
      </c>
      <c r="F328" s="1" t="s">
        <v>20</v>
      </c>
      <c r="G328" s="2">
        <v>45253</v>
      </c>
      <c r="H328" s="1">
        <v>203</v>
      </c>
      <c r="I328" s="1">
        <v>411.79</v>
      </c>
      <c r="J328" s="1">
        <v>185.77</v>
      </c>
    </row>
    <row r="329" spans="1:10" x14ac:dyDescent="0.25">
      <c r="A329" s="1" t="s">
        <v>356</v>
      </c>
      <c r="B329" s="1" t="s">
        <v>11</v>
      </c>
      <c r="C329" s="1" t="s">
        <v>18</v>
      </c>
      <c r="D329" s="1" t="s">
        <v>42</v>
      </c>
      <c r="E329" s="1" t="s">
        <v>24</v>
      </c>
      <c r="F329" s="1" t="s">
        <v>28</v>
      </c>
      <c r="G329" s="2">
        <v>45254</v>
      </c>
      <c r="H329" s="1"/>
      <c r="I329" s="1">
        <v>5.61</v>
      </c>
      <c r="J329" s="1">
        <v>193.4</v>
      </c>
    </row>
    <row r="330" spans="1:10" x14ac:dyDescent="0.25">
      <c r="A330" s="1" t="s">
        <v>357</v>
      </c>
      <c r="B330" s="1" t="s">
        <v>17</v>
      </c>
      <c r="C330" s="1" t="s">
        <v>50</v>
      </c>
      <c r="D330" s="1" t="s">
        <v>13</v>
      </c>
      <c r="E330" s="1" t="s">
        <v>24</v>
      </c>
      <c r="F330" s="1" t="s">
        <v>28</v>
      </c>
      <c r="G330" s="2">
        <v>45255</v>
      </c>
      <c r="H330" s="1">
        <v>368</v>
      </c>
      <c r="I330" s="1">
        <v>153.91999999999999</v>
      </c>
      <c r="J330" s="1">
        <v>175.2</v>
      </c>
    </row>
    <row r="331" spans="1:10" x14ac:dyDescent="0.25">
      <c r="A331" s="1" t="s">
        <v>358</v>
      </c>
      <c r="B331" s="1" t="s">
        <v>17</v>
      </c>
      <c r="C331" s="1" t="s">
        <v>50</v>
      </c>
      <c r="D331" s="1" t="s">
        <v>42</v>
      </c>
      <c r="E331" s="1" t="s">
        <v>24</v>
      </c>
      <c r="F331" s="1" t="s">
        <v>28</v>
      </c>
      <c r="G331" s="2">
        <v>45256</v>
      </c>
      <c r="H331" s="1">
        <v>99</v>
      </c>
      <c r="I331" s="1">
        <v>490.71</v>
      </c>
      <c r="J331" s="1">
        <v>375.07</v>
      </c>
    </row>
    <row r="332" spans="1:10" x14ac:dyDescent="0.25">
      <c r="A332" s="1" t="s">
        <v>359</v>
      </c>
      <c r="B332" s="1" t="s">
        <v>22</v>
      </c>
      <c r="C332" s="1" t="s">
        <v>26</v>
      </c>
      <c r="D332" s="1" t="s">
        <v>42</v>
      </c>
      <c r="E332" s="1" t="s">
        <v>14</v>
      </c>
      <c r="F332" s="1" t="s">
        <v>15</v>
      </c>
      <c r="G332" s="2">
        <v>45257</v>
      </c>
      <c r="H332" s="1">
        <v>183</v>
      </c>
      <c r="I332" s="1">
        <v>240.07</v>
      </c>
      <c r="J332" s="1">
        <v>283</v>
      </c>
    </row>
    <row r="333" spans="1:10" x14ac:dyDescent="0.25">
      <c r="A333" s="1" t="s">
        <v>360</v>
      </c>
      <c r="B333" s="1"/>
      <c r="C333" s="1" t="s">
        <v>18</v>
      </c>
      <c r="D333" s="1" t="s">
        <v>42</v>
      </c>
      <c r="E333" s="1" t="s">
        <v>24</v>
      </c>
      <c r="F333" s="1" t="s">
        <v>20</v>
      </c>
      <c r="G333" s="2">
        <v>45258</v>
      </c>
      <c r="H333" s="1">
        <v>131</v>
      </c>
      <c r="I333" s="1">
        <v>194.35</v>
      </c>
      <c r="J333" s="1">
        <v>253.21</v>
      </c>
    </row>
    <row r="334" spans="1:10" x14ac:dyDescent="0.25">
      <c r="A334" s="1" t="s">
        <v>361</v>
      </c>
      <c r="B334" s="1" t="s">
        <v>17</v>
      </c>
      <c r="C334" s="1" t="s">
        <v>26</v>
      </c>
      <c r="D334" s="1" t="s">
        <v>23</v>
      </c>
      <c r="E334" s="1" t="s">
        <v>24</v>
      </c>
      <c r="F334" s="1" t="s">
        <v>20</v>
      </c>
      <c r="G334" s="2">
        <v>45259</v>
      </c>
      <c r="H334" s="1">
        <v>152</v>
      </c>
      <c r="I334" s="1">
        <v>64.319999999999993</v>
      </c>
      <c r="J334" s="1">
        <v>21.84</v>
      </c>
    </row>
    <row r="335" spans="1:10" x14ac:dyDescent="0.25">
      <c r="A335" s="1" t="s">
        <v>362</v>
      </c>
      <c r="B335" s="1" t="s">
        <v>11</v>
      </c>
      <c r="C335" s="1" t="s">
        <v>31</v>
      </c>
      <c r="D335" s="1" t="s">
        <v>23</v>
      </c>
      <c r="E335" s="1" t="s">
        <v>24</v>
      </c>
      <c r="F335" s="1" t="s">
        <v>28</v>
      </c>
      <c r="G335" s="2">
        <v>45260</v>
      </c>
      <c r="H335" s="1">
        <v>491</v>
      </c>
      <c r="I335" s="1">
        <v>487.21</v>
      </c>
      <c r="J335" s="1">
        <v>361.76</v>
      </c>
    </row>
    <row r="336" spans="1:10" x14ac:dyDescent="0.25">
      <c r="A336" s="1" t="s">
        <v>363</v>
      </c>
      <c r="B336" s="1" t="s">
        <v>48</v>
      </c>
      <c r="C336" s="1" t="s">
        <v>26</v>
      </c>
      <c r="D336" s="1" t="s">
        <v>42</v>
      </c>
      <c r="E336" s="1" t="s">
        <v>14</v>
      </c>
      <c r="F336" s="1" t="s">
        <v>15</v>
      </c>
      <c r="G336" s="2">
        <v>45261</v>
      </c>
      <c r="H336" s="1">
        <v>115</v>
      </c>
      <c r="I336" s="1">
        <v>14.91</v>
      </c>
      <c r="J336" s="1">
        <v>363.94</v>
      </c>
    </row>
    <row r="337" spans="1:10" x14ac:dyDescent="0.25">
      <c r="A337" s="1" t="s">
        <v>364</v>
      </c>
      <c r="B337" s="1" t="s">
        <v>17</v>
      </c>
      <c r="C337" s="1" t="s">
        <v>26</v>
      </c>
      <c r="D337" s="1" t="s">
        <v>13</v>
      </c>
      <c r="E337" s="1" t="s">
        <v>24</v>
      </c>
      <c r="F337" s="1" t="s">
        <v>15</v>
      </c>
      <c r="G337" s="2">
        <v>45262</v>
      </c>
      <c r="H337" s="1">
        <v>384</v>
      </c>
      <c r="I337" s="1">
        <v>369.9</v>
      </c>
      <c r="J337" s="1">
        <v>312.52</v>
      </c>
    </row>
    <row r="338" spans="1:10" x14ac:dyDescent="0.25">
      <c r="A338" s="1" t="s">
        <v>365</v>
      </c>
      <c r="B338" s="1" t="s">
        <v>22</v>
      </c>
      <c r="C338" s="1" t="s">
        <v>50</v>
      </c>
      <c r="D338" s="1" t="s">
        <v>19</v>
      </c>
      <c r="E338" s="1" t="s">
        <v>14</v>
      </c>
      <c r="F338" s="1" t="s">
        <v>20</v>
      </c>
      <c r="G338" s="2">
        <v>45263</v>
      </c>
      <c r="H338" s="1">
        <v>437</v>
      </c>
      <c r="I338" s="1">
        <v>385.46</v>
      </c>
      <c r="J338" s="1">
        <v>4.8</v>
      </c>
    </row>
    <row r="339" spans="1:10" x14ac:dyDescent="0.25">
      <c r="A339" s="1" t="s">
        <v>366</v>
      </c>
      <c r="B339" s="1" t="s">
        <v>11</v>
      </c>
      <c r="C339" s="1" t="s">
        <v>50</v>
      </c>
      <c r="D339" s="1" t="s">
        <v>19</v>
      </c>
      <c r="E339" s="1" t="s">
        <v>24</v>
      </c>
      <c r="F339" s="1" t="s">
        <v>15</v>
      </c>
      <c r="G339" s="2">
        <v>45264</v>
      </c>
      <c r="H339" s="1">
        <v>314</v>
      </c>
      <c r="I339" s="1">
        <v>125.61</v>
      </c>
      <c r="J339" s="1">
        <v>24.8</v>
      </c>
    </row>
    <row r="340" spans="1:10" x14ac:dyDescent="0.25">
      <c r="A340" s="1" t="s">
        <v>367</v>
      </c>
      <c r="B340" s="1" t="s">
        <v>17</v>
      </c>
      <c r="C340" s="1" t="s">
        <v>50</v>
      </c>
      <c r="D340" s="1" t="s">
        <v>27</v>
      </c>
      <c r="E340" s="1" t="s">
        <v>14</v>
      </c>
      <c r="F340" s="1" t="s">
        <v>15</v>
      </c>
      <c r="G340" s="2">
        <v>45265</v>
      </c>
      <c r="H340" s="1">
        <v>369</v>
      </c>
      <c r="I340" s="1">
        <v>337.42</v>
      </c>
      <c r="J340" s="1">
        <v>91.64</v>
      </c>
    </row>
    <row r="341" spans="1:10" x14ac:dyDescent="0.25">
      <c r="A341" s="1" t="s">
        <v>368</v>
      </c>
      <c r="B341" s="1" t="s">
        <v>17</v>
      </c>
      <c r="C341" s="1" t="s">
        <v>31</v>
      </c>
      <c r="D341" s="1" t="s">
        <v>13</v>
      </c>
      <c r="E341" s="1" t="s">
        <v>14</v>
      </c>
      <c r="F341" s="1" t="s">
        <v>28</v>
      </c>
      <c r="G341" s="2">
        <v>45266</v>
      </c>
      <c r="H341" s="1">
        <v>468</v>
      </c>
      <c r="I341" s="1">
        <v>51</v>
      </c>
      <c r="J341" s="1">
        <v>54.28</v>
      </c>
    </row>
    <row r="342" spans="1:10" x14ac:dyDescent="0.25">
      <c r="A342" s="1" t="s">
        <v>369</v>
      </c>
      <c r="B342" s="1" t="s">
        <v>11</v>
      </c>
      <c r="C342" s="1" t="s">
        <v>50</v>
      </c>
      <c r="D342" s="1" t="s">
        <v>23</v>
      </c>
      <c r="E342" s="1" t="s">
        <v>24</v>
      </c>
      <c r="F342" s="1" t="s">
        <v>15</v>
      </c>
      <c r="G342" s="2">
        <v>45267</v>
      </c>
      <c r="H342" s="1">
        <v>326</v>
      </c>
      <c r="I342" s="1">
        <v>132.24</v>
      </c>
      <c r="J342" s="1">
        <v>160.74</v>
      </c>
    </row>
    <row r="343" spans="1:10" x14ac:dyDescent="0.25">
      <c r="A343" s="1" t="s">
        <v>370</v>
      </c>
      <c r="B343" s="1" t="s">
        <v>17</v>
      </c>
      <c r="C343" s="1" t="s">
        <v>18</v>
      </c>
      <c r="D343" s="1" t="s">
        <v>42</v>
      </c>
      <c r="E343" s="1" t="s">
        <v>24</v>
      </c>
      <c r="F343" s="1" t="s">
        <v>28</v>
      </c>
      <c r="G343" s="2">
        <v>45268</v>
      </c>
      <c r="H343" s="1">
        <v>460</v>
      </c>
      <c r="I343" s="1">
        <v>395.01</v>
      </c>
      <c r="J343" s="1">
        <v>369.2</v>
      </c>
    </row>
    <row r="344" spans="1:10" x14ac:dyDescent="0.25">
      <c r="A344" s="1" t="s">
        <v>371</v>
      </c>
      <c r="B344" s="1" t="s">
        <v>11</v>
      </c>
      <c r="C344" s="1" t="s">
        <v>12</v>
      </c>
      <c r="D344" s="1" t="s">
        <v>27</v>
      </c>
      <c r="E344" s="1" t="s">
        <v>14</v>
      </c>
      <c r="F344" s="1" t="s">
        <v>20</v>
      </c>
      <c r="G344" s="2">
        <v>45269</v>
      </c>
      <c r="H344" s="1">
        <v>132</v>
      </c>
      <c r="I344" s="1">
        <v>433.02</v>
      </c>
      <c r="J344" s="1">
        <v>189.88</v>
      </c>
    </row>
    <row r="345" spans="1:10" x14ac:dyDescent="0.25">
      <c r="A345" s="1" t="s">
        <v>372</v>
      </c>
      <c r="B345" s="1" t="s">
        <v>48</v>
      </c>
      <c r="C345" s="1" t="s">
        <v>18</v>
      </c>
      <c r="D345" s="1" t="s">
        <v>19</v>
      </c>
      <c r="E345" s="1" t="s">
        <v>24</v>
      </c>
      <c r="F345" s="1" t="s">
        <v>15</v>
      </c>
      <c r="G345" s="2">
        <v>45270</v>
      </c>
      <c r="H345" s="1">
        <v>399</v>
      </c>
      <c r="I345" s="1">
        <v>306.2</v>
      </c>
      <c r="J345" s="1">
        <v>7.33</v>
      </c>
    </row>
    <row r="346" spans="1:10" x14ac:dyDescent="0.25">
      <c r="A346" s="1" t="s">
        <v>373</v>
      </c>
      <c r="B346" s="1" t="s">
        <v>11</v>
      </c>
      <c r="C346" s="1" t="s">
        <v>18</v>
      </c>
      <c r="D346" s="1" t="s">
        <v>23</v>
      </c>
      <c r="E346" s="1" t="s">
        <v>14</v>
      </c>
      <c r="F346" s="1" t="s">
        <v>20</v>
      </c>
      <c r="G346" s="2">
        <v>45271</v>
      </c>
      <c r="H346" s="1">
        <v>18</v>
      </c>
      <c r="I346" s="1">
        <v>255.89</v>
      </c>
      <c r="J346" s="1">
        <v>114.53</v>
      </c>
    </row>
    <row r="347" spans="1:10" x14ac:dyDescent="0.25">
      <c r="A347" s="1" t="s">
        <v>374</v>
      </c>
      <c r="B347" s="1" t="s">
        <v>11</v>
      </c>
      <c r="C347" s="1" t="s">
        <v>50</v>
      </c>
      <c r="D347" s="1" t="s">
        <v>23</v>
      </c>
      <c r="E347" s="1" t="s">
        <v>14</v>
      </c>
      <c r="F347" s="1" t="s">
        <v>20</v>
      </c>
      <c r="G347" s="2">
        <v>45272</v>
      </c>
      <c r="H347" s="1">
        <v>271</v>
      </c>
      <c r="I347" s="1">
        <v>83.86</v>
      </c>
      <c r="J347" s="1">
        <v>19.75</v>
      </c>
    </row>
    <row r="348" spans="1:10" x14ac:dyDescent="0.25">
      <c r="A348" s="1" t="s">
        <v>375</v>
      </c>
      <c r="B348" s="1"/>
      <c r="C348" s="1" t="s">
        <v>12</v>
      </c>
      <c r="D348" s="1" t="s">
        <v>42</v>
      </c>
      <c r="E348" s="1" t="s">
        <v>14</v>
      </c>
      <c r="F348" s="1" t="s">
        <v>15</v>
      </c>
      <c r="G348" s="2">
        <v>45273</v>
      </c>
      <c r="H348" s="1">
        <v>82</v>
      </c>
      <c r="I348" s="1">
        <v>36.24</v>
      </c>
      <c r="J348" s="1">
        <v>16.440000000000001</v>
      </c>
    </row>
    <row r="349" spans="1:10" x14ac:dyDescent="0.25">
      <c r="A349" s="1" t="s">
        <v>376</v>
      </c>
      <c r="B349" s="1" t="s">
        <v>17</v>
      </c>
      <c r="C349" s="1" t="s">
        <v>12</v>
      </c>
      <c r="D349" s="1" t="s">
        <v>19</v>
      </c>
      <c r="E349" s="1" t="s">
        <v>14</v>
      </c>
      <c r="F349" s="1" t="s">
        <v>15</v>
      </c>
      <c r="G349" s="2">
        <v>45274</v>
      </c>
      <c r="H349" s="1">
        <v>368</v>
      </c>
      <c r="I349" s="1">
        <v>63.24</v>
      </c>
      <c r="J349" s="1">
        <v>111.74</v>
      </c>
    </row>
    <row r="350" spans="1:10" x14ac:dyDescent="0.25">
      <c r="A350" s="1" t="s">
        <v>377</v>
      </c>
      <c r="B350" s="1" t="s">
        <v>17</v>
      </c>
      <c r="C350" s="1" t="s">
        <v>12</v>
      </c>
      <c r="D350" s="1" t="s">
        <v>13</v>
      </c>
      <c r="E350" s="1" t="s">
        <v>14</v>
      </c>
      <c r="F350" s="1" t="s">
        <v>20</v>
      </c>
      <c r="G350" s="2">
        <v>45275</v>
      </c>
      <c r="H350" s="1">
        <v>232</v>
      </c>
      <c r="I350" s="1">
        <v>117.54</v>
      </c>
      <c r="J350" s="1">
        <v>111.69</v>
      </c>
    </row>
    <row r="351" spans="1:10" x14ac:dyDescent="0.25">
      <c r="A351" s="1" t="s">
        <v>378</v>
      </c>
      <c r="B351" s="1" t="s">
        <v>11</v>
      </c>
      <c r="C351" s="1" t="s">
        <v>31</v>
      </c>
      <c r="D351" s="1" t="s">
        <v>23</v>
      </c>
      <c r="E351" s="1" t="s">
        <v>24</v>
      </c>
      <c r="F351" s="1" t="s">
        <v>15</v>
      </c>
      <c r="G351" s="2">
        <v>45276</v>
      </c>
      <c r="H351" s="1">
        <v>425</v>
      </c>
      <c r="I351" s="1">
        <v>174.13</v>
      </c>
      <c r="J351" s="1">
        <v>315.27999999999997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CCAF3-4192-4D32-8A09-EF653ADFEF17}">
  <dimension ref="A2:P356"/>
  <sheetViews>
    <sheetView tabSelected="1" workbookViewId="0">
      <selection activeCell="N10" sqref="N10"/>
    </sheetView>
  </sheetViews>
  <sheetFormatPr defaultRowHeight="15" x14ac:dyDescent="0.25"/>
  <cols>
    <col min="8" max="8" width="15.85546875" bestFit="1" customWidth="1"/>
    <col min="13" max="13" width="9.140625" bestFit="1" customWidth="1"/>
    <col min="14" max="14" width="11.42578125" bestFit="1" customWidth="1"/>
    <col min="15" max="15" width="12.7109375" bestFit="1" customWidth="1"/>
    <col min="16" max="16" width="12.42578125" bestFit="1" customWidth="1"/>
  </cols>
  <sheetData>
    <row r="2" spans="1:16" ht="21" x14ac:dyDescent="0.35">
      <c r="A2" s="4" t="s">
        <v>379</v>
      </c>
      <c r="B2" s="4" t="s">
        <v>380</v>
      </c>
    </row>
    <row r="4" spans="1:16" ht="21" x14ac:dyDescent="0.35">
      <c r="A4" s="4" t="s">
        <v>381</v>
      </c>
    </row>
    <row r="6" spans="1:16" ht="18.75" x14ac:dyDescent="0.3">
      <c r="B6" s="3" t="s">
        <v>0</v>
      </c>
      <c r="C6" s="3" t="s">
        <v>1</v>
      </c>
      <c r="D6" s="3" t="s">
        <v>2</v>
      </c>
      <c r="E6" s="3" t="s">
        <v>3</v>
      </c>
      <c r="F6" s="3" t="s">
        <v>4</v>
      </c>
      <c r="G6" s="3" t="s">
        <v>5</v>
      </c>
      <c r="H6" s="3" t="s">
        <v>6</v>
      </c>
      <c r="I6" s="3" t="s">
        <v>7</v>
      </c>
      <c r="J6" s="3" t="s">
        <v>8</v>
      </c>
      <c r="K6" s="3" t="s">
        <v>9</v>
      </c>
      <c r="M6" s="36" t="s">
        <v>1</v>
      </c>
      <c r="N6" s="36" t="s">
        <v>3</v>
      </c>
      <c r="O6" s="36" t="s">
        <v>7</v>
      </c>
      <c r="P6" s="36" t="s">
        <v>8</v>
      </c>
    </row>
    <row r="7" spans="1:16" ht="18.75" x14ac:dyDescent="0.3">
      <c r="B7" s="1" t="s">
        <v>10</v>
      </c>
      <c r="C7" s="1" t="s">
        <v>11</v>
      </c>
      <c r="D7" s="1" t="s">
        <v>12</v>
      </c>
      <c r="E7" s="1" t="s">
        <v>13</v>
      </c>
      <c r="F7" s="1" t="s">
        <v>14</v>
      </c>
      <c r="G7" s="1" t="s">
        <v>15</v>
      </c>
      <c r="H7" s="2">
        <v>44927</v>
      </c>
      <c r="I7" s="1">
        <v>235</v>
      </c>
      <c r="J7" s="1">
        <v>152.91999999999999</v>
      </c>
      <c r="K7" s="1">
        <v>153.6</v>
      </c>
      <c r="M7" s="37">
        <f>COUNTBLANK($C$7:$C$356)</f>
        <v>10</v>
      </c>
      <c r="N7" s="37">
        <f>COUNTBLANK($E$7:$E$356)</f>
        <v>10</v>
      </c>
      <c r="O7" s="37">
        <f>COUNTBLANK($I$7:$I$356)</f>
        <v>10</v>
      </c>
      <c r="P7" s="37">
        <f>COUNTBLANK($J$7:$J$356)</f>
        <v>10</v>
      </c>
    </row>
    <row r="8" spans="1:16" x14ac:dyDescent="0.25">
      <c r="B8" s="1" t="s">
        <v>16</v>
      </c>
      <c r="C8" s="1" t="s">
        <v>17</v>
      </c>
      <c r="D8" s="1" t="s">
        <v>18</v>
      </c>
      <c r="E8" s="1" t="s">
        <v>19</v>
      </c>
      <c r="F8" s="1" t="s">
        <v>14</v>
      </c>
      <c r="G8" s="1" t="s">
        <v>20</v>
      </c>
      <c r="H8" s="2">
        <v>44928</v>
      </c>
      <c r="I8" s="1">
        <v>341</v>
      </c>
      <c r="J8" s="1">
        <v>467.92</v>
      </c>
      <c r="K8" s="1">
        <v>139.84</v>
      </c>
    </row>
    <row r="9" spans="1:16" x14ac:dyDescent="0.25">
      <c r="B9" s="1" t="s">
        <v>21</v>
      </c>
      <c r="C9" s="1" t="s">
        <v>22</v>
      </c>
      <c r="D9" s="1" t="s">
        <v>18</v>
      </c>
      <c r="E9" s="1" t="s">
        <v>23</v>
      </c>
      <c r="F9" s="1" t="s">
        <v>24</v>
      </c>
      <c r="G9" s="1" t="s">
        <v>15</v>
      </c>
      <c r="H9" s="2">
        <v>44929</v>
      </c>
      <c r="I9" s="1">
        <v>179</v>
      </c>
      <c r="J9" s="1">
        <v>473.94</v>
      </c>
      <c r="K9" s="1">
        <v>97.14</v>
      </c>
    </row>
    <row r="10" spans="1:16" x14ac:dyDescent="0.25">
      <c r="B10" s="1" t="s">
        <v>25</v>
      </c>
      <c r="C10" s="1" t="s">
        <v>11</v>
      </c>
      <c r="D10" s="1" t="s">
        <v>26</v>
      </c>
      <c r="E10" s="1" t="s">
        <v>27</v>
      </c>
      <c r="F10" s="1" t="s">
        <v>24</v>
      </c>
      <c r="G10" s="1" t="s">
        <v>28</v>
      </c>
      <c r="H10" s="2">
        <v>44930</v>
      </c>
      <c r="I10" s="1">
        <v>18</v>
      </c>
      <c r="J10" s="1">
        <v>314.52999999999997</v>
      </c>
      <c r="K10" s="1">
        <v>204.87</v>
      </c>
    </row>
    <row r="11" spans="1:16" x14ac:dyDescent="0.25">
      <c r="B11" s="1" t="s">
        <v>29</v>
      </c>
      <c r="C11" s="1" t="s">
        <v>11</v>
      </c>
      <c r="D11" s="1" t="s">
        <v>18</v>
      </c>
      <c r="E11" s="1" t="s">
        <v>27</v>
      </c>
      <c r="F11" s="1" t="s">
        <v>24</v>
      </c>
      <c r="G11" s="1" t="s">
        <v>28</v>
      </c>
      <c r="H11" s="2">
        <v>44931</v>
      </c>
      <c r="I11" s="1">
        <v>472</v>
      </c>
      <c r="J11" s="1">
        <v>392.79</v>
      </c>
      <c r="K11" s="1">
        <v>330.46</v>
      </c>
    </row>
    <row r="12" spans="1:16" x14ac:dyDescent="0.25">
      <c r="B12" s="1" t="s">
        <v>30</v>
      </c>
      <c r="C12" s="1" t="s">
        <v>17</v>
      </c>
      <c r="D12" s="1" t="s">
        <v>31</v>
      </c>
      <c r="E12" s="1" t="s">
        <v>23</v>
      </c>
      <c r="F12" s="1" t="s">
        <v>14</v>
      </c>
      <c r="G12" s="1" t="s">
        <v>15</v>
      </c>
      <c r="H12" s="2">
        <v>44932</v>
      </c>
      <c r="I12" s="1">
        <v>49</v>
      </c>
      <c r="J12" s="1">
        <v>308.07</v>
      </c>
      <c r="K12" s="1">
        <v>113.32</v>
      </c>
    </row>
    <row r="13" spans="1:16" x14ac:dyDescent="0.25">
      <c r="B13" s="1" t="s">
        <v>32</v>
      </c>
      <c r="C13" s="1" t="s">
        <v>22</v>
      </c>
      <c r="D13" s="1" t="s">
        <v>12</v>
      </c>
      <c r="E13" s="1" t="s">
        <v>23</v>
      </c>
      <c r="F13" s="1" t="s">
        <v>14</v>
      </c>
      <c r="G13" s="1" t="s">
        <v>20</v>
      </c>
      <c r="H13" s="2">
        <v>44933</v>
      </c>
      <c r="I13" s="1">
        <v>34</v>
      </c>
      <c r="J13" s="1">
        <v>244.78</v>
      </c>
      <c r="K13" s="1">
        <v>377.07</v>
      </c>
    </row>
    <row r="14" spans="1:16" x14ac:dyDescent="0.25">
      <c r="B14" s="1" t="s">
        <v>33</v>
      </c>
      <c r="C14" s="1" t="s">
        <v>22</v>
      </c>
      <c r="D14" s="1" t="s">
        <v>18</v>
      </c>
      <c r="E14" s="1" t="s">
        <v>13</v>
      </c>
      <c r="F14" s="1" t="s">
        <v>14</v>
      </c>
      <c r="G14" s="1" t="s">
        <v>15</v>
      </c>
      <c r="H14" s="2">
        <v>44934</v>
      </c>
      <c r="I14" s="1">
        <v>270</v>
      </c>
      <c r="J14" s="1">
        <v>332.11</v>
      </c>
      <c r="K14" s="1">
        <v>349.59</v>
      </c>
    </row>
    <row r="15" spans="1:16" x14ac:dyDescent="0.25">
      <c r="B15" s="1" t="s">
        <v>34</v>
      </c>
      <c r="C15" s="1" t="s">
        <v>11</v>
      </c>
      <c r="D15" s="1" t="s">
        <v>18</v>
      </c>
      <c r="E15" s="1" t="s">
        <v>13</v>
      </c>
      <c r="F15" s="1" t="s">
        <v>14</v>
      </c>
      <c r="G15" s="1" t="s">
        <v>20</v>
      </c>
      <c r="H15" s="2">
        <v>44935</v>
      </c>
      <c r="I15" s="1">
        <v>404</v>
      </c>
      <c r="J15" s="1">
        <v>278.74</v>
      </c>
      <c r="K15" s="1">
        <v>66.38</v>
      </c>
    </row>
    <row r="16" spans="1:16" x14ac:dyDescent="0.25">
      <c r="B16" s="1" t="s">
        <v>35</v>
      </c>
      <c r="C16" s="1"/>
      <c r="D16" s="1" t="s">
        <v>26</v>
      </c>
      <c r="E16" s="1" t="s">
        <v>27</v>
      </c>
      <c r="F16" s="1" t="s">
        <v>14</v>
      </c>
      <c r="G16" s="1" t="s">
        <v>28</v>
      </c>
      <c r="H16" s="2">
        <v>44936</v>
      </c>
      <c r="I16" s="1">
        <v>452</v>
      </c>
      <c r="J16" s="1">
        <v>300.75</v>
      </c>
      <c r="K16" s="1">
        <v>314.94</v>
      </c>
    </row>
    <row r="17" spans="2:11" x14ac:dyDescent="0.25">
      <c r="B17" s="1" t="s">
        <v>36</v>
      </c>
      <c r="C17" s="1" t="s">
        <v>11</v>
      </c>
      <c r="D17" s="1" t="s">
        <v>26</v>
      </c>
      <c r="E17" s="1" t="s">
        <v>19</v>
      </c>
      <c r="F17" s="1" t="s">
        <v>14</v>
      </c>
      <c r="G17" s="1" t="s">
        <v>20</v>
      </c>
      <c r="H17" s="2">
        <v>44937</v>
      </c>
      <c r="I17" s="1">
        <v>235</v>
      </c>
      <c r="J17" s="1">
        <v>393</v>
      </c>
      <c r="K17" s="1">
        <v>230.69</v>
      </c>
    </row>
    <row r="18" spans="2:11" x14ac:dyDescent="0.25">
      <c r="B18" s="1" t="s">
        <v>37</v>
      </c>
      <c r="C18" s="1" t="s">
        <v>11</v>
      </c>
      <c r="D18" s="1" t="s">
        <v>31</v>
      </c>
      <c r="E18" s="1" t="s">
        <v>27</v>
      </c>
      <c r="F18" s="1" t="s">
        <v>24</v>
      </c>
      <c r="G18" s="1" t="s">
        <v>28</v>
      </c>
      <c r="H18" s="2">
        <v>44938</v>
      </c>
      <c r="I18" s="1">
        <v>481</v>
      </c>
      <c r="J18" s="1">
        <v>243.05</v>
      </c>
      <c r="K18" s="1">
        <v>227.5</v>
      </c>
    </row>
    <row r="19" spans="2:11" x14ac:dyDescent="0.25">
      <c r="B19" s="1" t="s">
        <v>38</v>
      </c>
      <c r="C19" s="1" t="s">
        <v>11</v>
      </c>
      <c r="D19" s="1" t="s">
        <v>12</v>
      </c>
      <c r="E19" s="1" t="s">
        <v>19</v>
      </c>
      <c r="F19" s="1" t="s">
        <v>24</v>
      </c>
      <c r="G19" s="1" t="s">
        <v>20</v>
      </c>
      <c r="H19" s="2">
        <v>44939</v>
      </c>
      <c r="I19" s="1">
        <v>133</v>
      </c>
      <c r="J19" s="1">
        <v>25.17</v>
      </c>
      <c r="K19" s="1">
        <v>157.63999999999999</v>
      </c>
    </row>
    <row r="20" spans="2:11" x14ac:dyDescent="0.25">
      <c r="B20" s="1" t="s">
        <v>39</v>
      </c>
      <c r="C20" s="1" t="s">
        <v>11</v>
      </c>
      <c r="D20" s="1" t="s">
        <v>26</v>
      </c>
      <c r="E20" s="1" t="s">
        <v>19</v>
      </c>
      <c r="F20" s="1" t="s">
        <v>24</v>
      </c>
      <c r="G20" s="1" t="s">
        <v>20</v>
      </c>
      <c r="H20" s="2">
        <v>44940</v>
      </c>
      <c r="I20" s="1">
        <v>472</v>
      </c>
      <c r="J20" s="1">
        <v>86.18</v>
      </c>
      <c r="K20" s="1">
        <v>201.46</v>
      </c>
    </row>
    <row r="21" spans="2:11" x14ac:dyDescent="0.25">
      <c r="B21" s="1" t="s">
        <v>40</v>
      </c>
      <c r="C21" s="1" t="s">
        <v>17</v>
      </c>
      <c r="D21" s="1" t="s">
        <v>18</v>
      </c>
      <c r="E21" s="1" t="s">
        <v>13</v>
      </c>
      <c r="F21" s="1" t="s">
        <v>24</v>
      </c>
      <c r="G21" s="1" t="s">
        <v>20</v>
      </c>
      <c r="H21" s="2">
        <v>44941</v>
      </c>
      <c r="I21" s="1">
        <v>47</v>
      </c>
      <c r="J21" s="1">
        <v>222.11</v>
      </c>
      <c r="K21" s="1">
        <v>160.08000000000001</v>
      </c>
    </row>
    <row r="22" spans="2:11" x14ac:dyDescent="0.25">
      <c r="B22" s="1" t="s">
        <v>41</v>
      </c>
      <c r="C22" s="1" t="s">
        <v>22</v>
      </c>
      <c r="D22" s="1" t="s">
        <v>12</v>
      </c>
      <c r="E22" s="1" t="s">
        <v>42</v>
      </c>
      <c r="F22" s="1" t="s">
        <v>14</v>
      </c>
      <c r="G22" s="1" t="s">
        <v>15</v>
      </c>
      <c r="H22" s="2">
        <v>44942</v>
      </c>
      <c r="I22" s="1">
        <v>337</v>
      </c>
      <c r="J22" s="1">
        <v>363.79</v>
      </c>
      <c r="K22" s="1">
        <v>216.81</v>
      </c>
    </row>
    <row r="23" spans="2:11" x14ac:dyDescent="0.25">
      <c r="B23" s="1" t="s">
        <v>43</v>
      </c>
      <c r="C23" s="1" t="s">
        <v>17</v>
      </c>
      <c r="D23" s="1" t="s">
        <v>12</v>
      </c>
      <c r="E23" s="1" t="s">
        <v>42</v>
      </c>
      <c r="F23" s="1" t="s">
        <v>14</v>
      </c>
      <c r="G23" s="1" t="s">
        <v>15</v>
      </c>
      <c r="H23" s="2">
        <v>44943</v>
      </c>
      <c r="I23" s="1">
        <v>260</v>
      </c>
      <c r="J23" s="1">
        <v>298.67</v>
      </c>
      <c r="K23" s="1">
        <v>251.92</v>
      </c>
    </row>
    <row r="24" spans="2:11" x14ac:dyDescent="0.25">
      <c r="B24" s="1" t="s">
        <v>44</v>
      </c>
      <c r="C24" s="1"/>
      <c r="D24" s="1" t="s">
        <v>18</v>
      </c>
      <c r="E24" s="1" t="s">
        <v>23</v>
      </c>
      <c r="F24" s="1" t="s">
        <v>24</v>
      </c>
      <c r="G24" s="1" t="s">
        <v>28</v>
      </c>
      <c r="H24" s="2">
        <v>44944</v>
      </c>
      <c r="I24" s="1">
        <v>398</v>
      </c>
      <c r="J24" s="1">
        <v>326.89999999999998</v>
      </c>
      <c r="K24" s="1">
        <v>270.37</v>
      </c>
    </row>
    <row r="25" spans="2:11" x14ac:dyDescent="0.25">
      <c r="B25" s="1" t="s">
        <v>45</v>
      </c>
      <c r="C25" s="1" t="s">
        <v>17</v>
      </c>
      <c r="D25" s="1" t="s">
        <v>26</v>
      </c>
      <c r="E25" s="1" t="s">
        <v>13</v>
      </c>
      <c r="F25" s="1" t="s">
        <v>14</v>
      </c>
      <c r="G25" s="1" t="s">
        <v>28</v>
      </c>
      <c r="H25" s="2">
        <v>44945</v>
      </c>
      <c r="I25" s="1">
        <v>185</v>
      </c>
      <c r="J25" s="1">
        <v>242.24</v>
      </c>
      <c r="K25" s="1">
        <v>213.93</v>
      </c>
    </row>
    <row r="26" spans="2:11" x14ac:dyDescent="0.25">
      <c r="B26" s="1" t="s">
        <v>46</v>
      </c>
      <c r="C26" s="1" t="s">
        <v>11</v>
      </c>
      <c r="D26" s="1" t="s">
        <v>18</v>
      </c>
      <c r="E26" s="1" t="s">
        <v>19</v>
      </c>
      <c r="F26" s="1" t="s">
        <v>24</v>
      </c>
      <c r="G26" s="1" t="s">
        <v>15</v>
      </c>
      <c r="H26" s="2">
        <v>44946</v>
      </c>
      <c r="I26" s="1">
        <v>99</v>
      </c>
      <c r="J26" s="1">
        <v>309.79000000000002</v>
      </c>
      <c r="K26" s="1">
        <v>289.13</v>
      </c>
    </row>
    <row r="27" spans="2:11" x14ac:dyDescent="0.25">
      <c r="B27" s="1" t="s">
        <v>47</v>
      </c>
      <c r="C27" s="1" t="s">
        <v>48</v>
      </c>
      <c r="D27" s="1" t="s">
        <v>12</v>
      </c>
      <c r="E27" s="1" t="s">
        <v>42</v>
      </c>
      <c r="F27" s="1" t="s">
        <v>24</v>
      </c>
      <c r="G27" s="1" t="s">
        <v>28</v>
      </c>
      <c r="H27" s="2">
        <v>44947</v>
      </c>
      <c r="I27" s="1">
        <v>411</v>
      </c>
      <c r="J27" s="1">
        <v>167.86</v>
      </c>
      <c r="K27" s="1">
        <v>58.23</v>
      </c>
    </row>
    <row r="28" spans="2:11" x14ac:dyDescent="0.25">
      <c r="B28" s="1" t="s">
        <v>49</v>
      </c>
      <c r="C28" s="1" t="s">
        <v>22</v>
      </c>
      <c r="D28" s="1" t="s">
        <v>50</v>
      </c>
      <c r="E28" s="1" t="s">
        <v>19</v>
      </c>
      <c r="F28" s="1" t="s">
        <v>24</v>
      </c>
      <c r="G28" s="1" t="s">
        <v>15</v>
      </c>
      <c r="H28" s="2">
        <v>44948</v>
      </c>
      <c r="I28" s="1">
        <v>463</v>
      </c>
      <c r="J28" s="1">
        <v>237.74</v>
      </c>
      <c r="K28" s="1">
        <v>86.37</v>
      </c>
    </row>
    <row r="29" spans="2:11" x14ac:dyDescent="0.25">
      <c r="B29" s="1" t="s">
        <v>51</v>
      </c>
      <c r="C29" s="1" t="s">
        <v>48</v>
      </c>
      <c r="D29" s="1" t="s">
        <v>50</v>
      </c>
      <c r="E29" s="1" t="s">
        <v>42</v>
      </c>
      <c r="F29" s="1" t="s">
        <v>14</v>
      </c>
      <c r="G29" s="1" t="s">
        <v>20</v>
      </c>
      <c r="H29" s="2">
        <v>44949</v>
      </c>
      <c r="I29" s="1">
        <v>46</v>
      </c>
      <c r="J29" s="1">
        <v>373.42</v>
      </c>
      <c r="K29" s="1">
        <v>327.86</v>
      </c>
    </row>
    <row r="30" spans="2:11" x14ac:dyDescent="0.25">
      <c r="B30" s="1" t="s">
        <v>52</v>
      </c>
      <c r="C30" s="1" t="s">
        <v>17</v>
      </c>
      <c r="D30" s="1" t="s">
        <v>31</v>
      </c>
      <c r="E30" s="1" t="s">
        <v>42</v>
      </c>
      <c r="F30" s="1" t="s">
        <v>24</v>
      </c>
      <c r="G30" s="1" t="s">
        <v>28</v>
      </c>
      <c r="H30" s="2">
        <v>44950</v>
      </c>
      <c r="I30" s="1">
        <v>325</v>
      </c>
      <c r="J30" s="1">
        <v>436.56</v>
      </c>
      <c r="K30" s="1">
        <v>130.37</v>
      </c>
    </row>
    <row r="31" spans="2:11" x14ac:dyDescent="0.25">
      <c r="B31" s="1" t="s">
        <v>53</v>
      </c>
      <c r="C31" s="1" t="s">
        <v>17</v>
      </c>
      <c r="D31" s="1" t="s">
        <v>18</v>
      </c>
      <c r="E31" s="1"/>
      <c r="F31" s="1" t="s">
        <v>24</v>
      </c>
      <c r="G31" s="1" t="s">
        <v>28</v>
      </c>
      <c r="H31" s="2">
        <v>44951</v>
      </c>
      <c r="I31" s="1">
        <v>185</v>
      </c>
      <c r="J31" s="1">
        <v>219.66</v>
      </c>
      <c r="K31" s="1">
        <v>11.11</v>
      </c>
    </row>
    <row r="32" spans="2:11" x14ac:dyDescent="0.25">
      <c r="B32" s="1" t="s">
        <v>54</v>
      </c>
      <c r="C32" s="1" t="s">
        <v>48</v>
      </c>
      <c r="D32" s="1" t="s">
        <v>18</v>
      </c>
      <c r="E32" s="1" t="s">
        <v>13</v>
      </c>
      <c r="F32" s="1" t="s">
        <v>24</v>
      </c>
      <c r="G32" s="1" t="s">
        <v>15</v>
      </c>
      <c r="H32" s="2">
        <v>44952</v>
      </c>
      <c r="I32" s="1">
        <v>470</v>
      </c>
      <c r="J32" s="1">
        <v>26.61</v>
      </c>
      <c r="K32" s="1">
        <v>63.21</v>
      </c>
    </row>
    <row r="33" spans="2:11" x14ac:dyDescent="0.25">
      <c r="B33" s="1" t="s">
        <v>55</v>
      </c>
      <c r="C33" s="1" t="s">
        <v>48</v>
      </c>
      <c r="D33" s="1" t="s">
        <v>31</v>
      </c>
      <c r="E33" s="1" t="s">
        <v>27</v>
      </c>
      <c r="F33" s="1" t="s">
        <v>14</v>
      </c>
      <c r="G33" s="1" t="s">
        <v>28</v>
      </c>
      <c r="H33" s="2">
        <v>44953</v>
      </c>
      <c r="I33" s="1">
        <v>293</v>
      </c>
      <c r="J33" s="1">
        <v>85.03</v>
      </c>
      <c r="K33" s="1">
        <v>91</v>
      </c>
    </row>
    <row r="34" spans="2:11" x14ac:dyDescent="0.25">
      <c r="B34" s="1" t="s">
        <v>56</v>
      </c>
      <c r="C34" s="1" t="s">
        <v>48</v>
      </c>
      <c r="D34" s="1" t="s">
        <v>31</v>
      </c>
      <c r="E34" s="1" t="s">
        <v>19</v>
      </c>
      <c r="F34" s="1" t="s">
        <v>14</v>
      </c>
      <c r="G34" s="1" t="s">
        <v>28</v>
      </c>
      <c r="H34" s="2">
        <v>44954</v>
      </c>
      <c r="I34" s="1">
        <v>462</v>
      </c>
      <c r="J34" s="1"/>
      <c r="K34" s="1">
        <v>383.01</v>
      </c>
    </row>
    <row r="35" spans="2:11" x14ac:dyDescent="0.25">
      <c r="B35" s="1" t="s">
        <v>57</v>
      </c>
      <c r="C35" s="1" t="s">
        <v>17</v>
      </c>
      <c r="D35" s="1" t="s">
        <v>31</v>
      </c>
      <c r="E35" s="1" t="s">
        <v>13</v>
      </c>
      <c r="F35" s="1" t="s">
        <v>24</v>
      </c>
      <c r="G35" s="1" t="s">
        <v>20</v>
      </c>
      <c r="H35" s="2">
        <v>44955</v>
      </c>
      <c r="I35" s="1">
        <v>470</v>
      </c>
      <c r="J35" s="1">
        <v>328.37</v>
      </c>
      <c r="K35" s="1">
        <v>230.07</v>
      </c>
    </row>
    <row r="36" spans="2:11" x14ac:dyDescent="0.25">
      <c r="B36" s="1" t="s">
        <v>58</v>
      </c>
      <c r="C36" s="1" t="s">
        <v>17</v>
      </c>
      <c r="D36" s="1" t="s">
        <v>12</v>
      </c>
      <c r="E36" s="1" t="s">
        <v>13</v>
      </c>
      <c r="F36" s="1" t="s">
        <v>14</v>
      </c>
      <c r="G36" s="1" t="s">
        <v>28</v>
      </c>
      <c r="H36" s="2">
        <v>44956</v>
      </c>
      <c r="I36" s="1">
        <v>90</v>
      </c>
      <c r="J36" s="1">
        <v>169.5</v>
      </c>
      <c r="K36" s="1">
        <v>373.23</v>
      </c>
    </row>
    <row r="37" spans="2:11" x14ac:dyDescent="0.25">
      <c r="B37" s="1" t="s">
        <v>59</v>
      </c>
      <c r="C37" s="1"/>
      <c r="D37" s="1" t="s">
        <v>18</v>
      </c>
      <c r="E37" s="1" t="s">
        <v>13</v>
      </c>
      <c r="F37" s="1" t="s">
        <v>14</v>
      </c>
      <c r="G37" s="1" t="s">
        <v>20</v>
      </c>
      <c r="H37" s="2">
        <v>44957</v>
      </c>
      <c r="I37" s="1">
        <v>123</v>
      </c>
      <c r="J37" s="1">
        <v>273.52999999999997</v>
      </c>
      <c r="K37" s="1">
        <v>230.92</v>
      </c>
    </row>
    <row r="38" spans="2:11" x14ac:dyDescent="0.25">
      <c r="B38" s="1" t="s">
        <v>60</v>
      </c>
      <c r="C38" s="1" t="s">
        <v>22</v>
      </c>
      <c r="D38" s="1" t="s">
        <v>12</v>
      </c>
      <c r="E38" s="1" t="s">
        <v>13</v>
      </c>
      <c r="F38" s="1" t="s">
        <v>14</v>
      </c>
      <c r="G38" s="1" t="s">
        <v>15</v>
      </c>
      <c r="H38" s="2">
        <v>44958</v>
      </c>
      <c r="I38" s="1">
        <v>49</v>
      </c>
      <c r="J38" s="1">
        <v>249.17</v>
      </c>
      <c r="K38" s="1">
        <v>192.78</v>
      </c>
    </row>
    <row r="39" spans="2:11" x14ac:dyDescent="0.25">
      <c r="B39" s="1" t="s">
        <v>61</v>
      </c>
      <c r="C39" s="1" t="s">
        <v>17</v>
      </c>
      <c r="D39" s="1" t="s">
        <v>31</v>
      </c>
      <c r="E39" s="1" t="s">
        <v>13</v>
      </c>
      <c r="F39" s="1" t="s">
        <v>14</v>
      </c>
      <c r="G39" s="1" t="s">
        <v>28</v>
      </c>
      <c r="H39" s="2">
        <v>44959</v>
      </c>
      <c r="I39" s="1">
        <v>310</v>
      </c>
      <c r="J39" s="1">
        <v>45.36</v>
      </c>
      <c r="K39" s="1">
        <v>126.86</v>
      </c>
    </row>
    <row r="40" spans="2:11" x14ac:dyDescent="0.25">
      <c r="B40" s="1" t="s">
        <v>62</v>
      </c>
      <c r="C40" s="1" t="s">
        <v>48</v>
      </c>
      <c r="D40" s="1" t="s">
        <v>18</v>
      </c>
      <c r="E40" s="1" t="s">
        <v>23</v>
      </c>
      <c r="F40" s="1" t="s">
        <v>14</v>
      </c>
      <c r="G40" s="1" t="s">
        <v>20</v>
      </c>
      <c r="H40" s="2">
        <v>44960</v>
      </c>
      <c r="I40" s="1">
        <v>233</v>
      </c>
      <c r="J40" s="1">
        <v>204.61</v>
      </c>
      <c r="K40" s="1">
        <v>243.34</v>
      </c>
    </row>
    <row r="41" spans="2:11" x14ac:dyDescent="0.25">
      <c r="B41" s="1" t="s">
        <v>63</v>
      </c>
      <c r="C41" s="1" t="s">
        <v>48</v>
      </c>
      <c r="D41" s="1" t="s">
        <v>12</v>
      </c>
      <c r="E41" s="1" t="s">
        <v>19</v>
      </c>
      <c r="F41" s="1" t="s">
        <v>14</v>
      </c>
      <c r="G41" s="1" t="s">
        <v>15</v>
      </c>
      <c r="H41" s="2">
        <v>44961</v>
      </c>
      <c r="I41" s="1">
        <v>327</v>
      </c>
      <c r="J41" s="1">
        <v>114.18</v>
      </c>
      <c r="K41" s="1">
        <v>57.4</v>
      </c>
    </row>
    <row r="42" spans="2:11" x14ac:dyDescent="0.25">
      <c r="B42" s="1" t="s">
        <v>64</v>
      </c>
      <c r="C42" s="1" t="s">
        <v>22</v>
      </c>
      <c r="D42" s="1" t="s">
        <v>12</v>
      </c>
      <c r="E42" s="1" t="s">
        <v>13</v>
      </c>
      <c r="F42" s="1" t="s">
        <v>14</v>
      </c>
      <c r="G42" s="1" t="s">
        <v>28</v>
      </c>
      <c r="H42" s="2">
        <v>44962</v>
      </c>
      <c r="I42" s="1">
        <v>358</v>
      </c>
      <c r="J42" s="1">
        <v>212.11</v>
      </c>
      <c r="K42" s="1">
        <v>359.51</v>
      </c>
    </row>
    <row r="43" spans="2:11" x14ac:dyDescent="0.25">
      <c r="B43" s="1" t="s">
        <v>65</v>
      </c>
      <c r="C43" s="1" t="s">
        <v>17</v>
      </c>
      <c r="D43" s="1" t="s">
        <v>31</v>
      </c>
      <c r="E43" s="1" t="s">
        <v>19</v>
      </c>
      <c r="F43" s="1" t="s">
        <v>14</v>
      </c>
      <c r="G43" s="1" t="s">
        <v>15</v>
      </c>
      <c r="H43" s="2">
        <v>44963</v>
      </c>
      <c r="I43" s="1">
        <v>124</v>
      </c>
      <c r="J43" s="1"/>
      <c r="K43" s="1">
        <v>332.07</v>
      </c>
    </row>
    <row r="44" spans="2:11" x14ac:dyDescent="0.25">
      <c r="B44" s="1" t="s">
        <v>66</v>
      </c>
      <c r="C44" s="1" t="s">
        <v>22</v>
      </c>
      <c r="D44" s="1" t="s">
        <v>18</v>
      </c>
      <c r="E44" s="1" t="s">
        <v>23</v>
      </c>
      <c r="F44" s="1" t="s">
        <v>14</v>
      </c>
      <c r="G44" s="1" t="s">
        <v>28</v>
      </c>
      <c r="H44" s="2">
        <v>44964</v>
      </c>
      <c r="I44" s="1">
        <v>195</v>
      </c>
      <c r="J44" s="1">
        <v>421.02</v>
      </c>
      <c r="K44" s="1">
        <v>128.38</v>
      </c>
    </row>
    <row r="45" spans="2:11" x14ac:dyDescent="0.25">
      <c r="B45" s="1" t="s">
        <v>67</v>
      </c>
      <c r="C45" s="1" t="s">
        <v>22</v>
      </c>
      <c r="D45" s="1" t="s">
        <v>31</v>
      </c>
      <c r="E45" s="1" t="s">
        <v>23</v>
      </c>
      <c r="F45" s="1" t="s">
        <v>14</v>
      </c>
      <c r="G45" s="1" t="s">
        <v>15</v>
      </c>
      <c r="H45" s="2">
        <v>44965</v>
      </c>
      <c r="I45" s="1"/>
      <c r="J45" s="1">
        <v>91.23</v>
      </c>
      <c r="K45" s="1">
        <v>381.21</v>
      </c>
    </row>
    <row r="46" spans="2:11" x14ac:dyDescent="0.25">
      <c r="B46" s="1" t="s">
        <v>68</v>
      </c>
      <c r="C46" s="1" t="s">
        <v>11</v>
      </c>
      <c r="D46" s="1" t="s">
        <v>18</v>
      </c>
      <c r="E46" s="1" t="s">
        <v>19</v>
      </c>
      <c r="F46" s="1" t="s">
        <v>24</v>
      </c>
      <c r="G46" s="1" t="s">
        <v>15</v>
      </c>
      <c r="H46" s="2">
        <v>44966</v>
      </c>
      <c r="I46" s="1">
        <v>65</v>
      </c>
      <c r="J46" s="1">
        <v>480.59</v>
      </c>
      <c r="K46" s="1">
        <v>330.43</v>
      </c>
    </row>
    <row r="47" spans="2:11" x14ac:dyDescent="0.25">
      <c r="B47" s="1" t="s">
        <v>69</v>
      </c>
      <c r="C47" s="1" t="s">
        <v>11</v>
      </c>
      <c r="D47" s="1" t="s">
        <v>50</v>
      </c>
      <c r="E47" s="1" t="s">
        <v>42</v>
      </c>
      <c r="F47" s="1" t="s">
        <v>24</v>
      </c>
      <c r="G47" s="1" t="s">
        <v>20</v>
      </c>
      <c r="H47" s="2">
        <v>44967</v>
      </c>
      <c r="I47" s="1">
        <v>49</v>
      </c>
      <c r="J47" s="1">
        <v>210.87</v>
      </c>
      <c r="K47" s="1">
        <v>267.19</v>
      </c>
    </row>
    <row r="48" spans="2:11" x14ac:dyDescent="0.25">
      <c r="B48" s="1" t="s">
        <v>70</v>
      </c>
      <c r="C48" s="1" t="s">
        <v>11</v>
      </c>
      <c r="D48" s="1" t="s">
        <v>26</v>
      </c>
      <c r="E48" s="1" t="s">
        <v>27</v>
      </c>
      <c r="F48" s="1" t="s">
        <v>14</v>
      </c>
      <c r="G48" s="1" t="s">
        <v>15</v>
      </c>
      <c r="H48" s="2">
        <v>44968</v>
      </c>
      <c r="I48" s="1">
        <v>363</v>
      </c>
      <c r="J48" s="1">
        <v>423.89</v>
      </c>
      <c r="K48" s="1">
        <v>50.46</v>
      </c>
    </row>
    <row r="49" spans="2:11" x14ac:dyDescent="0.25">
      <c r="B49" s="1" t="s">
        <v>71</v>
      </c>
      <c r="C49" s="1" t="s">
        <v>48</v>
      </c>
      <c r="D49" s="1" t="s">
        <v>26</v>
      </c>
      <c r="E49" s="1" t="s">
        <v>42</v>
      </c>
      <c r="F49" s="1" t="s">
        <v>24</v>
      </c>
      <c r="G49" s="1" t="s">
        <v>28</v>
      </c>
      <c r="H49" s="2">
        <v>44969</v>
      </c>
      <c r="I49" s="1">
        <v>49</v>
      </c>
      <c r="J49" s="1">
        <v>316.24</v>
      </c>
      <c r="K49" s="1">
        <v>192.34</v>
      </c>
    </row>
    <row r="50" spans="2:11" x14ac:dyDescent="0.25">
      <c r="B50" s="1" t="s">
        <v>72</v>
      </c>
      <c r="C50" s="1" t="s">
        <v>17</v>
      </c>
      <c r="D50" s="1" t="s">
        <v>26</v>
      </c>
      <c r="E50" s="1" t="s">
        <v>42</v>
      </c>
      <c r="F50" s="1" t="s">
        <v>24</v>
      </c>
      <c r="G50" s="1" t="s">
        <v>28</v>
      </c>
      <c r="H50" s="2">
        <v>44970</v>
      </c>
      <c r="I50" s="1">
        <v>356</v>
      </c>
      <c r="J50" s="1">
        <v>369</v>
      </c>
      <c r="K50" s="1">
        <v>203.43</v>
      </c>
    </row>
    <row r="51" spans="2:11" x14ac:dyDescent="0.25">
      <c r="B51" s="1" t="s">
        <v>73</v>
      </c>
      <c r="C51" s="1" t="s">
        <v>17</v>
      </c>
      <c r="D51" s="1" t="s">
        <v>31</v>
      </c>
      <c r="E51" s="1" t="s">
        <v>42</v>
      </c>
      <c r="F51" s="1" t="s">
        <v>14</v>
      </c>
      <c r="G51" s="1" t="s">
        <v>20</v>
      </c>
      <c r="H51" s="2">
        <v>44971</v>
      </c>
      <c r="I51" s="1">
        <v>470</v>
      </c>
      <c r="J51" s="1"/>
      <c r="K51" s="1">
        <v>94.56</v>
      </c>
    </row>
    <row r="52" spans="2:11" x14ac:dyDescent="0.25">
      <c r="B52" s="1" t="s">
        <v>74</v>
      </c>
      <c r="C52" s="1" t="s">
        <v>17</v>
      </c>
      <c r="D52" s="1" t="s">
        <v>50</v>
      </c>
      <c r="E52" s="1" t="s">
        <v>13</v>
      </c>
      <c r="F52" s="1" t="s">
        <v>14</v>
      </c>
      <c r="G52" s="1" t="s">
        <v>28</v>
      </c>
      <c r="H52" s="2">
        <v>44972</v>
      </c>
      <c r="I52" s="1">
        <v>246</v>
      </c>
      <c r="J52" s="1">
        <v>254.9</v>
      </c>
      <c r="K52" s="1">
        <v>33.83</v>
      </c>
    </row>
    <row r="53" spans="2:11" x14ac:dyDescent="0.25">
      <c r="B53" s="1" t="s">
        <v>75</v>
      </c>
      <c r="C53" s="1" t="s">
        <v>17</v>
      </c>
      <c r="D53" s="1" t="s">
        <v>18</v>
      </c>
      <c r="E53" s="1" t="s">
        <v>23</v>
      </c>
      <c r="F53" s="1" t="s">
        <v>14</v>
      </c>
      <c r="G53" s="1" t="s">
        <v>28</v>
      </c>
      <c r="H53" s="2">
        <v>44973</v>
      </c>
      <c r="I53" s="1">
        <v>298</v>
      </c>
      <c r="J53" s="1">
        <v>273.93</v>
      </c>
      <c r="K53" s="1">
        <v>311.14</v>
      </c>
    </row>
    <row r="54" spans="2:11" x14ac:dyDescent="0.25">
      <c r="B54" s="1" t="s">
        <v>76</v>
      </c>
      <c r="C54" s="1" t="s">
        <v>11</v>
      </c>
      <c r="D54" s="1" t="s">
        <v>12</v>
      </c>
      <c r="E54" s="1" t="s">
        <v>42</v>
      </c>
      <c r="F54" s="1" t="s">
        <v>24</v>
      </c>
      <c r="G54" s="1" t="s">
        <v>28</v>
      </c>
      <c r="H54" s="2">
        <v>44974</v>
      </c>
      <c r="I54" s="1">
        <v>271</v>
      </c>
      <c r="J54" s="1">
        <v>259.43</v>
      </c>
      <c r="K54" s="1">
        <v>50.57</v>
      </c>
    </row>
    <row r="55" spans="2:11" x14ac:dyDescent="0.25">
      <c r="B55" s="1" t="s">
        <v>77</v>
      </c>
      <c r="C55" s="1" t="s">
        <v>48</v>
      </c>
      <c r="D55" s="1" t="s">
        <v>18</v>
      </c>
      <c r="E55" s="1" t="s">
        <v>23</v>
      </c>
      <c r="F55" s="1" t="s">
        <v>24</v>
      </c>
      <c r="G55" s="1" t="s">
        <v>15</v>
      </c>
      <c r="H55" s="2">
        <v>44975</v>
      </c>
      <c r="I55" s="1">
        <v>225</v>
      </c>
      <c r="J55" s="1">
        <v>296.08999999999997</v>
      </c>
      <c r="K55" s="1">
        <v>238.53</v>
      </c>
    </row>
    <row r="56" spans="2:11" x14ac:dyDescent="0.25">
      <c r="B56" s="1" t="s">
        <v>78</v>
      </c>
      <c r="C56" s="1"/>
      <c r="D56" s="1" t="s">
        <v>12</v>
      </c>
      <c r="E56" s="1" t="s">
        <v>19</v>
      </c>
      <c r="F56" s="1" t="s">
        <v>14</v>
      </c>
      <c r="G56" s="1" t="s">
        <v>15</v>
      </c>
      <c r="H56" s="2">
        <v>44976</v>
      </c>
      <c r="I56" s="1">
        <v>156</v>
      </c>
      <c r="J56" s="1">
        <v>19.55</v>
      </c>
      <c r="K56" s="1">
        <v>374.71</v>
      </c>
    </row>
    <row r="57" spans="2:11" x14ac:dyDescent="0.25">
      <c r="B57" s="1" t="s">
        <v>79</v>
      </c>
      <c r="C57" s="1" t="s">
        <v>11</v>
      </c>
      <c r="D57" s="1" t="s">
        <v>18</v>
      </c>
      <c r="E57" s="1" t="s">
        <v>27</v>
      </c>
      <c r="F57" s="1" t="s">
        <v>14</v>
      </c>
      <c r="G57" s="1" t="s">
        <v>28</v>
      </c>
      <c r="H57" s="2">
        <v>44977</v>
      </c>
      <c r="I57" s="1">
        <v>345</v>
      </c>
      <c r="J57" s="1">
        <v>200.78</v>
      </c>
      <c r="K57" s="1">
        <v>350.69</v>
      </c>
    </row>
    <row r="58" spans="2:11" x14ac:dyDescent="0.25">
      <c r="B58" s="1" t="s">
        <v>80</v>
      </c>
      <c r="C58" s="1" t="s">
        <v>48</v>
      </c>
      <c r="D58" s="1" t="s">
        <v>50</v>
      </c>
      <c r="E58" s="1" t="s">
        <v>19</v>
      </c>
      <c r="F58" s="1" t="s">
        <v>14</v>
      </c>
      <c r="G58" s="1" t="s">
        <v>20</v>
      </c>
      <c r="H58" s="2">
        <v>44978</v>
      </c>
      <c r="I58" s="1">
        <v>177</v>
      </c>
      <c r="J58" s="1">
        <v>305.06</v>
      </c>
      <c r="K58" s="1">
        <v>112.55</v>
      </c>
    </row>
    <row r="59" spans="2:11" x14ac:dyDescent="0.25">
      <c r="B59" s="1" t="s">
        <v>81</v>
      </c>
      <c r="C59" s="1" t="s">
        <v>11</v>
      </c>
      <c r="D59" s="1" t="s">
        <v>12</v>
      </c>
      <c r="E59" s="1" t="s">
        <v>19</v>
      </c>
      <c r="F59" s="1" t="s">
        <v>24</v>
      </c>
      <c r="G59" s="1" t="s">
        <v>15</v>
      </c>
      <c r="H59" s="2">
        <v>44979</v>
      </c>
      <c r="I59" s="1">
        <v>101</v>
      </c>
      <c r="J59" s="1">
        <v>300.87</v>
      </c>
      <c r="K59" s="1">
        <v>340.88</v>
      </c>
    </row>
    <row r="60" spans="2:11" x14ac:dyDescent="0.25">
      <c r="B60" s="1" t="s">
        <v>82</v>
      </c>
      <c r="C60" s="1" t="s">
        <v>17</v>
      </c>
      <c r="D60" s="1" t="s">
        <v>31</v>
      </c>
      <c r="E60" s="1" t="s">
        <v>13</v>
      </c>
      <c r="F60" s="1" t="s">
        <v>24</v>
      </c>
      <c r="G60" s="1" t="s">
        <v>20</v>
      </c>
      <c r="H60" s="2">
        <v>44980</v>
      </c>
      <c r="I60" s="1">
        <v>362</v>
      </c>
      <c r="J60" s="1">
        <v>397.51</v>
      </c>
      <c r="K60" s="1">
        <v>2.13</v>
      </c>
    </row>
    <row r="61" spans="2:11" x14ac:dyDescent="0.25">
      <c r="B61" s="1" t="s">
        <v>83</v>
      </c>
      <c r="C61" s="1" t="s">
        <v>11</v>
      </c>
      <c r="D61" s="1" t="s">
        <v>18</v>
      </c>
      <c r="E61" s="1" t="s">
        <v>27</v>
      </c>
      <c r="F61" s="1" t="s">
        <v>24</v>
      </c>
      <c r="G61" s="1" t="s">
        <v>28</v>
      </c>
      <c r="H61" s="2">
        <v>44981</v>
      </c>
      <c r="I61" s="1">
        <v>68</v>
      </c>
      <c r="J61" s="1">
        <v>329.23</v>
      </c>
      <c r="K61" s="1">
        <v>9.0399999999999991</v>
      </c>
    </row>
    <row r="62" spans="2:11" x14ac:dyDescent="0.25">
      <c r="B62" s="1" t="s">
        <v>84</v>
      </c>
      <c r="C62" s="1" t="s">
        <v>17</v>
      </c>
      <c r="D62" s="1" t="s">
        <v>18</v>
      </c>
      <c r="E62" s="1" t="s">
        <v>19</v>
      </c>
      <c r="F62" s="1" t="s">
        <v>24</v>
      </c>
      <c r="G62" s="1" t="s">
        <v>28</v>
      </c>
      <c r="H62" s="2">
        <v>44982</v>
      </c>
      <c r="I62" s="1">
        <v>68</v>
      </c>
      <c r="J62" s="1">
        <v>496.11</v>
      </c>
      <c r="K62" s="1">
        <v>241.82</v>
      </c>
    </row>
    <row r="63" spans="2:11" x14ac:dyDescent="0.25">
      <c r="B63" s="1" t="s">
        <v>85</v>
      </c>
      <c r="C63" s="1" t="s">
        <v>17</v>
      </c>
      <c r="D63" s="1" t="s">
        <v>12</v>
      </c>
      <c r="E63" s="1" t="s">
        <v>19</v>
      </c>
      <c r="F63" s="1" t="s">
        <v>14</v>
      </c>
      <c r="G63" s="1" t="s">
        <v>15</v>
      </c>
      <c r="H63" s="2">
        <v>44983</v>
      </c>
      <c r="I63" s="1">
        <v>313</v>
      </c>
      <c r="J63" s="1">
        <v>145.51</v>
      </c>
      <c r="K63" s="1">
        <v>147.19</v>
      </c>
    </row>
    <row r="64" spans="2:11" x14ac:dyDescent="0.25">
      <c r="B64" s="1" t="s">
        <v>86</v>
      </c>
      <c r="C64" s="1" t="s">
        <v>22</v>
      </c>
      <c r="D64" s="1" t="s">
        <v>31</v>
      </c>
      <c r="E64" s="1" t="s">
        <v>27</v>
      </c>
      <c r="F64" s="1" t="s">
        <v>14</v>
      </c>
      <c r="G64" s="1" t="s">
        <v>28</v>
      </c>
      <c r="H64" s="2">
        <v>44984</v>
      </c>
      <c r="I64" s="1">
        <v>178</v>
      </c>
      <c r="J64" s="1">
        <v>182.78</v>
      </c>
      <c r="K64" s="1">
        <v>155.81</v>
      </c>
    </row>
    <row r="65" spans="2:11" x14ac:dyDescent="0.25">
      <c r="B65" s="1" t="s">
        <v>87</v>
      </c>
      <c r="C65" s="1" t="s">
        <v>11</v>
      </c>
      <c r="D65" s="1" t="s">
        <v>31</v>
      </c>
      <c r="E65" s="1" t="s">
        <v>27</v>
      </c>
      <c r="F65" s="1" t="s">
        <v>14</v>
      </c>
      <c r="G65" s="1" t="s">
        <v>15</v>
      </c>
      <c r="H65" s="2">
        <v>44985</v>
      </c>
      <c r="I65" s="1">
        <v>278</v>
      </c>
      <c r="J65" s="1">
        <v>195</v>
      </c>
      <c r="K65" s="1">
        <v>226.65</v>
      </c>
    </row>
    <row r="66" spans="2:11" x14ac:dyDescent="0.25">
      <c r="B66" s="1" t="s">
        <v>88</v>
      </c>
      <c r="C66" s="1" t="s">
        <v>22</v>
      </c>
      <c r="D66" s="1" t="s">
        <v>50</v>
      </c>
      <c r="E66" s="1" t="s">
        <v>19</v>
      </c>
      <c r="F66" s="1" t="s">
        <v>14</v>
      </c>
      <c r="G66" s="1" t="s">
        <v>28</v>
      </c>
      <c r="H66" s="2">
        <v>44986</v>
      </c>
      <c r="I66" s="1">
        <v>372</v>
      </c>
      <c r="J66" s="1">
        <v>235.58</v>
      </c>
      <c r="K66" s="1">
        <v>78.33</v>
      </c>
    </row>
    <row r="67" spans="2:11" x14ac:dyDescent="0.25">
      <c r="B67" s="1" t="s">
        <v>89</v>
      </c>
      <c r="C67" s="1" t="s">
        <v>11</v>
      </c>
      <c r="D67" s="1" t="s">
        <v>31</v>
      </c>
      <c r="E67" s="1" t="s">
        <v>27</v>
      </c>
      <c r="F67" s="1" t="s">
        <v>24</v>
      </c>
      <c r="G67" s="1" t="s">
        <v>28</v>
      </c>
      <c r="H67" s="2">
        <v>44987</v>
      </c>
      <c r="I67" s="1">
        <v>54</v>
      </c>
      <c r="J67" s="1">
        <v>418.82</v>
      </c>
      <c r="K67" s="1">
        <v>86.28</v>
      </c>
    </row>
    <row r="68" spans="2:11" x14ac:dyDescent="0.25">
      <c r="B68" s="1" t="s">
        <v>90</v>
      </c>
      <c r="C68" s="1" t="s">
        <v>11</v>
      </c>
      <c r="D68" s="1" t="s">
        <v>31</v>
      </c>
      <c r="E68" s="1" t="s">
        <v>19</v>
      </c>
      <c r="F68" s="1" t="s">
        <v>24</v>
      </c>
      <c r="G68" s="1" t="s">
        <v>15</v>
      </c>
      <c r="H68" s="2">
        <v>44988</v>
      </c>
      <c r="I68" s="1">
        <v>354</v>
      </c>
      <c r="J68" s="1">
        <v>121.72</v>
      </c>
      <c r="K68" s="1">
        <v>194.87</v>
      </c>
    </row>
    <row r="69" spans="2:11" x14ac:dyDescent="0.25">
      <c r="B69" s="1" t="s">
        <v>91</v>
      </c>
      <c r="C69" s="1" t="s">
        <v>22</v>
      </c>
      <c r="D69" s="1" t="s">
        <v>31</v>
      </c>
      <c r="E69" s="1" t="s">
        <v>19</v>
      </c>
      <c r="F69" s="1" t="s">
        <v>14</v>
      </c>
      <c r="G69" s="1" t="s">
        <v>15</v>
      </c>
      <c r="H69" s="2">
        <v>44989</v>
      </c>
      <c r="I69" s="1">
        <v>190</v>
      </c>
      <c r="J69" s="1">
        <v>389.12</v>
      </c>
      <c r="K69" s="1">
        <v>302.19</v>
      </c>
    </row>
    <row r="70" spans="2:11" x14ac:dyDescent="0.25">
      <c r="B70" s="1" t="s">
        <v>92</v>
      </c>
      <c r="C70" s="1"/>
      <c r="D70" s="1" t="s">
        <v>26</v>
      </c>
      <c r="E70" s="1" t="s">
        <v>13</v>
      </c>
      <c r="F70" s="1" t="s">
        <v>14</v>
      </c>
      <c r="G70" s="1" t="s">
        <v>15</v>
      </c>
      <c r="H70" s="2">
        <v>44990</v>
      </c>
      <c r="I70" s="1">
        <v>179</v>
      </c>
      <c r="J70" s="1">
        <v>205.63</v>
      </c>
      <c r="K70" s="1">
        <v>248.56</v>
      </c>
    </row>
    <row r="71" spans="2:11" x14ac:dyDescent="0.25">
      <c r="B71" s="1" t="s">
        <v>93</v>
      </c>
      <c r="C71" s="1" t="s">
        <v>11</v>
      </c>
      <c r="D71" s="1" t="s">
        <v>50</v>
      </c>
      <c r="E71" s="1" t="s">
        <v>42</v>
      </c>
      <c r="F71" s="1" t="s">
        <v>24</v>
      </c>
      <c r="G71" s="1" t="s">
        <v>28</v>
      </c>
      <c r="H71" s="2">
        <v>44991</v>
      </c>
      <c r="I71" s="1">
        <v>365</v>
      </c>
      <c r="J71" s="1">
        <v>302.92</v>
      </c>
      <c r="K71" s="1">
        <v>120.35</v>
      </c>
    </row>
    <row r="72" spans="2:11" x14ac:dyDescent="0.25">
      <c r="B72" s="1" t="s">
        <v>94</v>
      </c>
      <c r="C72" s="1" t="s">
        <v>48</v>
      </c>
      <c r="D72" s="1" t="s">
        <v>18</v>
      </c>
      <c r="E72" s="1" t="s">
        <v>19</v>
      </c>
      <c r="F72" s="1" t="s">
        <v>14</v>
      </c>
      <c r="G72" s="1" t="s">
        <v>28</v>
      </c>
      <c r="H72" s="2">
        <v>44992</v>
      </c>
      <c r="I72" s="1">
        <v>200</v>
      </c>
      <c r="J72" s="1">
        <v>318.11</v>
      </c>
      <c r="K72" s="1">
        <v>173.27</v>
      </c>
    </row>
    <row r="73" spans="2:11" x14ac:dyDescent="0.25">
      <c r="B73" s="1" t="s">
        <v>95</v>
      </c>
      <c r="C73" s="1" t="s">
        <v>17</v>
      </c>
      <c r="D73" s="1" t="s">
        <v>12</v>
      </c>
      <c r="E73" s="1" t="s">
        <v>23</v>
      </c>
      <c r="F73" s="1" t="s">
        <v>24</v>
      </c>
      <c r="G73" s="1" t="s">
        <v>20</v>
      </c>
      <c r="H73" s="2">
        <v>44993</v>
      </c>
      <c r="I73" s="1">
        <v>164</v>
      </c>
      <c r="J73" s="1">
        <v>189.56</v>
      </c>
      <c r="K73" s="1">
        <v>69.92</v>
      </c>
    </row>
    <row r="74" spans="2:11" x14ac:dyDescent="0.25">
      <c r="B74" s="1" t="s">
        <v>96</v>
      </c>
      <c r="C74" s="1" t="s">
        <v>22</v>
      </c>
      <c r="D74" s="1" t="s">
        <v>18</v>
      </c>
      <c r="E74" s="1" t="s">
        <v>42</v>
      </c>
      <c r="F74" s="1" t="s">
        <v>14</v>
      </c>
      <c r="G74" s="1" t="s">
        <v>15</v>
      </c>
      <c r="H74" s="2">
        <v>44994</v>
      </c>
      <c r="I74" s="1">
        <v>431</v>
      </c>
      <c r="J74" s="1">
        <v>258.74</v>
      </c>
      <c r="K74" s="1">
        <v>31.7</v>
      </c>
    </row>
    <row r="75" spans="2:11" x14ac:dyDescent="0.25">
      <c r="B75" s="1" t="s">
        <v>97</v>
      </c>
      <c r="C75" s="1" t="s">
        <v>17</v>
      </c>
      <c r="D75" s="1" t="s">
        <v>50</v>
      </c>
      <c r="E75" s="1" t="s">
        <v>42</v>
      </c>
      <c r="F75" s="1" t="s">
        <v>14</v>
      </c>
      <c r="G75" s="1" t="s">
        <v>28</v>
      </c>
      <c r="H75" s="2">
        <v>44995</v>
      </c>
      <c r="I75" s="1">
        <v>197</v>
      </c>
      <c r="J75" s="1">
        <v>209.45</v>
      </c>
      <c r="K75" s="1">
        <v>313.51</v>
      </c>
    </row>
    <row r="76" spans="2:11" x14ac:dyDescent="0.25">
      <c r="B76" s="1" t="s">
        <v>98</v>
      </c>
      <c r="C76" s="1" t="s">
        <v>48</v>
      </c>
      <c r="D76" s="1" t="s">
        <v>12</v>
      </c>
      <c r="E76" s="1" t="s">
        <v>42</v>
      </c>
      <c r="F76" s="1" t="s">
        <v>14</v>
      </c>
      <c r="G76" s="1" t="s">
        <v>28</v>
      </c>
      <c r="H76" s="2">
        <v>44996</v>
      </c>
      <c r="I76" s="1">
        <v>16</v>
      </c>
      <c r="J76" s="1">
        <v>39.22</v>
      </c>
      <c r="K76" s="1">
        <v>107.62</v>
      </c>
    </row>
    <row r="77" spans="2:11" x14ac:dyDescent="0.25">
      <c r="B77" s="1" t="s">
        <v>99</v>
      </c>
      <c r="C77" s="1" t="s">
        <v>48</v>
      </c>
      <c r="D77" s="1" t="s">
        <v>50</v>
      </c>
      <c r="E77" s="1" t="s">
        <v>13</v>
      </c>
      <c r="F77" s="1" t="s">
        <v>14</v>
      </c>
      <c r="G77" s="1" t="s">
        <v>15</v>
      </c>
      <c r="H77" s="2">
        <v>44997</v>
      </c>
      <c r="I77" s="1">
        <v>142</v>
      </c>
      <c r="J77" s="1">
        <v>221.4</v>
      </c>
      <c r="K77" s="1">
        <v>72.75</v>
      </c>
    </row>
    <row r="78" spans="2:11" x14ac:dyDescent="0.25">
      <c r="B78" s="1" t="s">
        <v>100</v>
      </c>
      <c r="C78" s="1" t="s">
        <v>48</v>
      </c>
      <c r="D78" s="1" t="s">
        <v>31</v>
      </c>
      <c r="E78" s="1" t="s">
        <v>19</v>
      </c>
      <c r="F78" s="1" t="s">
        <v>14</v>
      </c>
      <c r="G78" s="1" t="s">
        <v>20</v>
      </c>
      <c r="H78" s="2">
        <v>44998</v>
      </c>
      <c r="I78" s="1">
        <v>244</v>
      </c>
      <c r="J78" s="1">
        <v>53.21</v>
      </c>
      <c r="K78" s="1">
        <v>277.26</v>
      </c>
    </row>
    <row r="79" spans="2:11" x14ac:dyDescent="0.25">
      <c r="B79" s="1" t="s">
        <v>101</v>
      </c>
      <c r="C79" s="1" t="s">
        <v>22</v>
      </c>
      <c r="D79" s="1" t="s">
        <v>12</v>
      </c>
      <c r="E79" s="1" t="s">
        <v>13</v>
      </c>
      <c r="F79" s="1" t="s">
        <v>14</v>
      </c>
      <c r="G79" s="1" t="s">
        <v>15</v>
      </c>
      <c r="H79" s="2">
        <v>44999</v>
      </c>
      <c r="I79" s="1">
        <v>54</v>
      </c>
      <c r="J79" s="1">
        <v>205.49</v>
      </c>
      <c r="K79" s="1">
        <v>247.98</v>
      </c>
    </row>
    <row r="80" spans="2:11" x14ac:dyDescent="0.25">
      <c r="B80" s="1" t="s">
        <v>102</v>
      </c>
      <c r="C80" s="1" t="s">
        <v>48</v>
      </c>
      <c r="D80" s="1" t="s">
        <v>31</v>
      </c>
      <c r="E80" s="1" t="s">
        <v>19</v>
      </c>
      <c r="F80" s="1" t="s">
        <v>14</v>
      </c>
      <c r="G80" s="1" t="s">
        <v>20</v>
      </c>
      <c r="H80" s="2">
        <v>45000</v>
      </c>
      <c r="I80" s="1">
        <v>323</v>
      </c>
      <c r="J80" s="1">
        <v>298.49</v>
      </c>
      <c r="K80" s="1">
        <v>254.01</v>
      </c>
    </row>
    <row r="81" spans="2:11" x14ac:dyDescent="0.25">
      <c r="B81" s="1" t="s">
        <v>103</v>
      </c>
      <c r="C81" s="1" t="s">
        <v>22</v>
      </c>
      <c r="D81" s="1" t="s">
        <v>18</v>
      </c>
      <c r="E81" s="1" t="s">
        <v>13</v>
      </c>
      <c r="F81" s="1" t="s">
        <v>24</v>
      </c>
      <c r="G81" s="1" t="s">
        <v>28</v>
      </c>
      <c r="H81" s="2">
        <v>45001</v>
      </c>
      <c r="I81" s="1">
        <v>258</v>
      </c>
      <c r="J81" s="1">
        <v>291.81</v>
      </c>
      <c r="K81" s="1">
        <v>93.1</v>
      </c>
    </row>
    <row r="82" spans="2:11" x14ac:dyDescent="0.25">
      <c r="B82" s="1" t="s">
        <v>104</v>
      </c>
      <c r="C82" s="1" t="s">
        <v>48</v>
      </c>
      <c r="D82" s="1" t="s">
        <v>18</v>
      </c>
      <c r="E82" s="1" t="s">
        <v>13</v>
      </c>
      <c r="F82" s="1" t="s">
        <v>24</v>
      </c>
      <c r="G82" s="1" t="s">
        <v>20</v>
      </c>
      <c r="H82" s="2">
        <v>45002</v>
      </c>
      <c r="I82" s="1">
        <v>40</v>
      </c>
      <c r="J82" s="1">
        <v>333</v>
      </c>
      <c r="K82" s="1">
        <v>94.59</v>
      </c>
    </row>
    <row r="83" spans="2:11" x14ac:dyDescent="0.25">
      <c r="B83" s="1" t="s">
        <v>105</v>
      </c>
      <c r="C83" s="1" t="s">
        <v>17</v>
      </c>
      <c r="D83" s="1" t="s">
        <v>12</v>
      </c>
      <c r="E83" s="1" t="s">
        <v>23</v>
      </c>
      <c r="F83" s="1" t="s">
        <v>24</v>
      </c>
      <c r="G83" s="1" t="s">
        <v>28</v>
      </c>
      <c r="H83" s="2">
        <v>45003</v>
      </c>
      <c r="I83" s="1">
        <v>32</v>
      </c>
      <c r="J83" s="1">
        <v>52.15</v>
      </c>
      <c r="K83" s="1">
        <v>89.88</v>
      </c>
    </row>
    <row r="84" spans="2:11" x14ac:dyDescent="0.25">
      <c r="B84" s="1" t="s">
        <v>106</v>
      </c>
      <c r="C84" s="1" t="s">
        <v>17</v>
      </c>
      <c r="D84" s="1" t="s">
        <v>12</v>
      </c>
      <c r="E84" s="1" t="s">
        <v>13</v>
      </c>
      <c r="F84" s="1" t="s">
        <v>24</v>
      </c>
      <c r="G84" s="1" t="s">
        <v>15</v>
      </c>
      <c r="H84" s="2">
        <v>45004</v>
      </c>
      <c r="I84" s="1">
        <v>435</v>
      </c>
      <c r="J84" s="1">
        <v>327.8</v>
      </c>
      <c r="K84" s="1">
        <v>71.150000000000006</v>
      </c>
    </row>
    <row r="85" spans="2:11" x14ac:dyDescent="0.25">
      <c r="B85" s="1" t="s">
        <v>107</v>
      </c>
      <c r="C85" s="1" t="s">
        <v>11</v>
      </c>
      <c r="D85" s="1" t="s">
        <v>50</v>
      </c>
      <c r="E85" s="1" t="s">
        <v>27</v>
      </c>
      <c r="F85" s="1" t="s">
        <v>24</v>
      </c>
      <c r="G85" s="1" t="s">
        <v>15</v>
      </c>
      <c r="H85" s="2">
        <v>45005</v>
      </c>
      <c r="I85" s="1">
        <v>403</v>
      </c>
      <c r="J85" s="1">
        <v>159.51</v>
      </c>
      <c r="K85" s="1">
        <v>262.98</v>
      </c>
    </row>
    <row r="86" spans="2:11" x14ac:dyDescent="0.25">
      <c r="B86" s="1" t="s">
        <v>108</v>
      </c>
      <c r="C86" s="1" t="s">
        <v>17</v>
      </c>
      <c r="D86" s="1" t="s">
        <v>50</v>
      </c>
      <c r="E86" s="1" t="s">
        <v>23</v>
      </c>
      <c r="F86" s="1" t="s">
        <v>14</v>
      </c>
      <c r="G86" s="1" t="s">
        <v>15</v>
      </c>
      <c r="H86" s="2">
        <v>45006</v>
      </c>
      <c r="I86" s="1">
        <v>169</v>
      </c>
      <c r="J86" s="1"/>
      <c r="K86" s="1">
        <v>339.51</v>
      </c>
    </row>
    <row r="87" spans="2:11" x14ac:dyDescent="0.25">
      <c r="B87" s="1" t="s">
        <v>109</v>
      </c>
      <c r="C87" s="1" t="s">
        <v>11</v>
      </c>
      <c r="D87" s="1" t="s">
        <v>31</v>
      </c>
      <c r="E87" s="1" t="s">
        <v>13</v>
      </c>
      <c r="F87" s="1" t="s">
        <v>14</v>
      </c>
      <c r="G87" s="1" t="s">
        <v>20</v>
      </c>
      <c r="H87" s="2">
        <v>45007</v>
      </c>
      <c r="I87" s="1">
        <v>372</v>
      </c>
      <c r="J87" s="1">
        <v>429.7</v>
      </c>
      <c r="K87" s="1">
        <v>290.27999999999997</v>
      </c>
    </row>
    <row r="88" spans="2:11" x14ac:dyDescent="0.25">
      <c r="B88" s="1" t="s">
        <v>110</v>
      </c>
      <c r="C88" s="1" t="s">
        <v>17</v>
      </c>
      <c r="D88" s="1" t="s">
        <v>12</v>
      </c>
      <c r="E88" s="1" t="s">
        <v>42</v>
      </c>
      <c r="F88" s="1" t="s">
        <v>24</v>
      </c>
      <c r="G88" s="1" t="s">
        <v>28</v>
      </c>
      <c r="H88" s="2">
        <v>45008</v>
      </c>
      <c r="I88" s="1">
        <v>446</v>
      </c>
      <c r="J88" s="1">
        <v>9.4700000000000006</v>
      </c>
      <c r="K88" s="1">
        <v>317.25</v>
      </c>
    </row>
    <row r="89" spans="2:11" x14ac:dyDescent="0.25">
      <c r="B89" s="1" t="s">
        <v>111</v>
      </c>
      <c r="C89" s="1" t="s">
        <v>22</v>
      </c>
      <c r="D89" s="1" t="s">
        <v>18</v>
      </c>
      <c r="E89" s="1" t="s">
        <v>27</v>
      </c>
      <c r="F89" s="1" t="s">
        <v>14</v>
      </c>
      <c r="G89" s="1" t="s">
        <v>15</v>
      </c>
      <c r="H89" s="2">
        <v>45009</v>
      </c>
      <c r="I89" s="1">
        <v>167</v>
      </c>
      <c r="J89" s="1">
        <v>296.26</v>
      </c>
      <c r="K89" s="1">
        <v>163.11000000000001</v>
      </c>
    </row>
    <row r="90" spans="2:11" x14ac:dyDescent="0.25">
      <c r="B90" s="1" t="s">
        <v>112</v>
      </c>
      <c r="C90" s="1" t="s">
        <v>17</v>
      </c>
      <c r="D90" s="1" t="s">
        <v>50</v>
      </c>
      <c r="E90" s="1" t="s">
        <v>27</v>
      </c>
      <c r="F90" s="1" t="s">
        <v>24</v>
      </c>
      <c r="G90" s="1" t="s">
        <v>15</v>
      </c>
      <c r="H90" s="2">
        <v>45010</v>
      </c>
      <c r="I90" s="1">
        <v>48</v>
      </c>
      <c r="J90" s="1">
        <v>301.36</v>
      </c>
      <c r="K90" s="1">
        <v>262.32</v>
      </c>
    </row>
    <row r="91" spans="2:11" x14ac:dyDescent="0.25">
      <c r="B91" s="1" t="s">
        <v>113</v>
      </c>
      <c r="C91" s="1" t="s">
        <v>11</v>
      </c>
      <c r="D91" s="1" t="s">
        <v>50</v>
      </c>
      <c r="E91" s="1" t="s">
        <v>27</v>
      </c>
      <c r="F91" s="1" t="s">
        <v>24</v>
      </c>
      <c r="G91" s="1" t="s">
        <v>28</v>
      </c>
      <c r="H91" s="2">
        <v>45011</v>
      </c>
      <c r="I91" s="1">
        <v>424</v>
      </c>
      <c r="J91" s="1">
        <v>201.35</v>
      </c>
      <c r="K91" s="1">
        <v>142.99</v>
      </c>
    </row>
    <row r="92" spans="2:11" x14ac:dyDescent="0.25">
      <c r="B92" s="1" t="s">
        <v>114</v>
      </c>
      <c r="C92" s="1" t="s">
        <v>11</v>
      </c>
      <c r="D92" s="1" t="s">
        <v>18</v>
      </c>
      <c r="E92" s="1" t="s">
        <v>23</v>
      </c>
      <c r="F92" s="1" t="s">
        <v>14</v>
      </c>
      <c r="G92" s="1" t="s">
        <v>15</v>
      </c>
      <c r="H92" s="2">
        <v>45012</v>
      </c>
      <c r="I92" s="1">
        <v>91</v>
      </c>
      <c r="J92" s="1">
        <v>122.33</v>
      </c>
      <c r="K92" s="1">
        <v>211.15</v>
      </c>
    </row>
    <row r="93" spans="2:11" x14ac:dyDescent="0.25">
      <c r="B93" s="1" t="s">
        <v>115</v>
      </c>
      <c r="C93" s="1" t="s">
        <v>48</v>
      </c>
      <c r="D93" s="1" t="s">
        <v>50</v>
      </c>
      <c r="E93" s="1" t="s">
        <v>13</v>
      </c>
      <c r="F93" s="1" t="s">
        <v>14</v>
      </c>
      <c r="G93" s="1" t="s">
        <v>28</v>
      </c>
      <c r="H93" s="2">
        <v>45013</v>
      </c>
      <c r="I93" s="1">
        <v>365</v>
      </c>
      <c r="J93" s="1">
        <v>121.16</v>
      </c>
      <c r="K93" s="1">
        <v>193.69</v>
      </c>
    </row>
    <row r="94" spans="2:11" x14ac:dyDescent="0.25">
      <c r="B94" s="1" t="s">
        <v>116</v>
      </c>
      <c r="C94" s="1" t="s">
        <v>22</v>
      </c>
      <c r="D94" s="1" t="s">
        <v>31</v>
      </c>
      <c r="E94" s="1" t="s">
        <v>13</v>
      </c>
      <c r="F94" s="1" t="s">
        <v>14</v>
      </c>
      <c r="G94" s="1" t="s">
        <v>28</v>
      </c>
      <c r="H94" s="2">
        <v>45014</v>
      </c>
      <c r="I94" s="1">
        <v>267</v>
      </c>
      <c r="J94" s="1">
        <v>442.44</v>
      </c>
      <c r="K94" s="1">
        <v>72.400000000000006</v>
      </c>
    </row>
    <row r="95" spans="2:11" x14ac:dyDescent="0.25">
      <c r="B95" s="1" t="s">
        <v>117</v>
      </c>
      <c r="C95" s="1" t="s">
        <v>17</v>
      </c>
      <c r="D95" s="1" t="s">
        <v>12</v>
      </c>
      <c r="E95" s="1" t="s">
        <v>42</v>
      </c>
      <c r="F95" s="1" t="s">
        <v>24</v>
      </c>
      <c r="G95" s="1" t="s">
        <v>28</v>
      </c>
      <c r="H95" s="2">
        <v>45015</v>
      </c>
      <c r="I95" s="1">
        <v>215</v>
      </c>
      <c r="J95" s="1">
        <v>223.8</v>
      </c>
      <c r="K95" s="1">
        <v>156.06</v>
      </c>
    </row>
    <row r="96" spans="2:11" x14ac:dyDescent="0.25">
      <c r="B96" s="1" t="s">
        <v>118</v>
      </c>
      <c r="C96" s="1" t="s">
        <v>48</v>
      </c>
      <c r="D96" s="1" t="s">
        <v>18</v>
      </c>
      <c r="E96" s="1" t="s">
        <v>42</v>
      </c>
      <c r="F96" s="1" t="s">
        <v>14</v>
      </c>
      <c r="G96" s="1" t="s">
        <v>28</v>
      </c>
      <c r="H96" s="2">
        <v>45016</v>
      </c>
      <c r="I96" s="1">
        <v>86</v>
      </c>
      <c r="J96" s="1">
        <v>168.79</v>
      </c>
      <c r="K96" s="1">
        <v>385.6</v>
      </c>
    </row>
    <row r="97" spans="2:11" x14ac:dyDescent="0.25">
      <c r="B97" s="1" t="s">
        <v>119</v>
      </c>
      <c r="C97" s="1" t="s">
        <v>17</v>
      </c>
      <c r="D97" s="1" t="s">
        <v>12</v>
      </c>
      <c r="E97" s="1" t="s">
        <v>27</v>
      </c>
      <c r="F97" s="1" t="s">
        <v>24</v>
      </c>
      <c r="G97" s="1" t="s">
        <v>28</v>
      </c>
      <c r="H97" s="2">
        <v>45017</v>
      </c>
      <c r="I97" s="1">
        <v>486</v>
      </c>
      <c r="J97" s="1">
        <v>227.14</v>
      </c>
      <c r="K97" s="1">
        <v>100.93</v>
      </c>
    </row>
    <row r="98" spans="2:11" x14ac:dyDescent="0.25">
      <c r="B98" s="1" t="s">
        <v>120</v>
      </c>
      <c r="C98" s="1" t="s">
        <v>17</v>
      </c>
      <c r="D98" s="1" t="s">
        <v>50</v>
      </c>
      <c r="E98" s="1" t="s">
        <v>42</v>
      </c>
      <c r="F98" s="1" t="s">
        <v>24</v>
      </c>
      <c r="G98" s="1" t="s">
        <v>20</v>
      </c>
      <c r="H98" s="2">
        <v>45018</v>
      </c>
      <c r="I98" s="1">
        <v>21</v>
      </c>
      <c r="J98" s="1"/>
      <c r="K98" s="1">
        <v>55.25</v>
      </c>
    </row>
    <row r="99" spans="2:11" x14ac:dyDescent="0.25">
      <c r="B99" s="1" t="s">
        <v>121</v>
      </c>
      <c r="C99" s="1" t="s">
        <v>48</v>
      </c>
      <c r="D99" s="1" t="s">
        <v>50</v>
      </c>
      <c r="E99" s="1" t="s">
        <v>23</v>
      </c>
      <c r="F99" s="1" t="s">
        <v>24</v>
      </c>
      <c r="G99" s="1" t="s">
        <v>15</v>
      </c>
      <c r="H99" s="2">
        <v>45019</v>
      </c>
      <c r="I99" s="1">
        <v>304</v>
      </c>
      <c r="J99" s="1">
        <v>77.150000000000006</v>
      </c>
      <c r="K99" s="1">
        <v>168.6</v>
      </c>
    </row>
    <row r="100" spans="2:11" x14ac:dyDescent="0.25">
      <c r="B100" s="1" t="s">
        <v>122</v>
      </c>
      <c r="C100" s="1" t="s">
        <v>48</v>
      </c>
      <c r="D100" s="1" t="s">
        <v>18</v>
      </c>
      <c r="E100" s="1" t="s">
        <v>13</v>
      </c>
      <c r="F100" s="1" t="s">
        <v>14</v>
      </c>
      <c r="G100" s="1" t="s">
        <v>20</v>
      </c>
      <c r="H100" s="2">
        <v>45020</v>
      </c>
      <c r="I100" s="1">
        <v>459</v>
      </c>
      <c r="J100" s="1">
        <v>227.47</v>
      </c>
      <c r="K100" s="1">
        <v>316.55</v>
      </c>
    </row>
    <row r="101" spans="2:11" x14ac:dyDescent="0.25">
      <c r="B101" s="1" t="s">
        <v>123</v>
      </c>
      <c r="C101" s="1" t="s">
        <v>48</v>
      </c>
      <c r="D101" s="1" t="s">
        <v>31</v>
      </c>
      <c r="E101" s="1" t="s">
        <v>27</v>
      </c>
      <c r="F101" s="1" t="s">
        <v>14</v>
      </c>
      <c r="G101" s="1" t="s">
        <v>15</v>
      </c>
      <c r="H101" s="2">
        <v>45021</v>
      </c>
      <c r="I101" s="1">
        <v>233</v>
      </c>
      <c r="J101" s="1">
        <v>296</v>
      </c>
      <c r="K101" s="1">
        <v>233.69</v>
      </c>
    </row>
    <row r="102" spans="2:11" x14ac:dyDescent="0.25">
      <c r="B102" s="1" t="s">
        <v>124</v>
      </c>
      <c r="C102" s="1" t="s">
        <v>48</v>
      </c>
      <c r="D102" s="1" t="s">
        <v>26</v>
      </c>
      <c r="E102" s="1" t="s">
        <v>42</v>
      </c>
      <c r="F102" s="1" t="s">
        <v>24</v>
      </c>
      <c r="G102" s="1" t="s">
        <v>20</v>
      </c>
      <c r="H102" s="2">
        <v>45022</v>
      </c>
      <c r="I102" s="1">
        <v>22</v>
      </c>
      <c r="J102" s="1">
        <v>474.55</v>
      </c>
      <c r="K102" s="1">
        <v>273.02999999999997</v>
      </c>
    </row>
    <row r="103" spans="2:11" x14ac:dyDescent="0.25">
      <c r="B103" s="1" t="s">
        <v>125</v>
      </c>
      <c r="C103" s="1" t="s">
        <v>48</v>
      </c>
      <c r="D103" s="1" t="s">
        <v>18</v>
      </c>
      <c r="E103" s="1" t="s">
        <v>23</v>
      </c>
      <c r="F103" s="1" t="s">
        <v>14</v>
      </c>
      <c r="G103" s="1" t="s">
        <v>28</v>
      </c>
      <c r="H103" s="2">
        <v>45023</v>
      </c>
      <c r="I103" s="1">
        <v>55</v>
      </c>
      <c r="J103" s="1">
        <v>130</v>
      </c>
      <c r="K103" s="1">
        <v>77.5</v>
      </c>
    </row>
    <row r="104" spans="2:11" x14ac:dyDescent="0.25">
      <c r="B104" s="1" t="s">
        <v>126</v>
      </c>
      <c r="C104" s="1" t="s">
        <v>17</v>
      </c>
      <c r="D104" s="1" t="s">
        <v>26</v>
      </c>
      <c r="E104" s="1" t="s">
        <v>23</v>
      </c>
      <c r="F104" s="1" t="s">
        <v>14</v>
      </c>
      <c r="G104" s="1" t="s">
        <v>15</v>
      </c>
      <c r="H104" s="2">
        <v>45024</v>
      </c>
      <c r="I104" s="1">
        <v>164</v>
      </c>
      <c r="J104" s="1">
        <v>182.83</v>
      </c>
      <c r="K104" s="1">
        <v>248.34</v>
      </c>
    </row>
    <row r="105" spans="2:11" x14ac:dyDescent="0.25">
      <c r="B105" s="1" t="s">
        <v>127</v>
      </c>
      <c r="C105" s="1" t="s">
        <v>48</v>
      </c>
      <c r="D105" s="1" t="s">
        <v>26</v>
      </c>
      <c r="E105" s="1" t="s">
        <v>42</v>
      </c>
      <c r="F105" s="1" t="s">
        <v>14</v>
      </c>
      <c r="G105" s="1" t="s">
        <v>15</v>
      </c>
      <c r="H105" s="2">
        <v>45025</v>
      </c>
      <c r="I105" s="1">
        <v>122</v>
      </c>
      <c r="J105" s="1">
        <v>192.78</v>
      </c>
      <c r="K105" s="1">
        <v>130.75</v>
      </c>
    </row>
    <row r="106" spans="2:11" x14ac:dyDescent="0.25">
      <c r="B106" s="1" t="s">
        <v>128</v>
      </c>
      <c r="C106" s="1" t="s">
        <v>22</v>
      </c>
      <c r="D106" s="1" t="s">
        <v>31</v>
      </c>
      <c r="E106" s="1" t="s">
        <v>13</v>
      </c>
      <c r="F106" s="1" t="s">
        <v>24</v>
      </c>
      <c r="G106" s="1" t="s">
        <v>20</v>
      </c>
      <c r="H106" s="2">
        <v>45026</v>
      </c>
      <c r="I106" s="1">
        <v>242</v>
      </c>
      <c r="J106" s="1">
        <v>304.74</v>
      </c>
      <c r="K106" s="1">
        <v>334.05</v>
      </c>
    </row>
    <row r="107" spans="2:11" x14ac:dyDescent="0.25">
      <c r="B107" s="1" t="s">
        <v>129</v>
      </c>
      <c r="C107" s="1" t="s">
        <v>11</v>
      </c>
      <c r="D107" s="1" t="s">
        <v>26</v>
      </c>
      <c r="E107" s="1" t="s">
        <v>42</v>
      </c>
      <c r="F107" s="1" t="s">
        <v>24</v>
      </c>
      <c r="G107" s="1" t="s">
        <v>20</v>
      </c>
      <c r="H107" s="2">
        <v>45027</v>
      </c>
      <c r="I107" s="1">
        <v>26</v>
      </c>
      <c r="J107" s="1">
        <v>181.58</v>
      </c>
      <c r="K107" s="1">
        <v>252.46</v>
      </c>
    </row>
    <row r="108" spans="2:11" x14ac:dyDescent="0.25">
      <c r="B108" s="1" t="s">
        <v>130</v>
      </c>
      <c r="C108" s="1" t="s">
        <v>48</v>
      </c>
      <c r="D108" s="1" t="s">
        <v>26</v>
      </c>
      <c r="E108" s="1" t="s">
        <v>27</v>
      </c>
      <c r="F108" s="1" t="s">
        <v>14</v>
      </c>
      <c r="G108" s="1" t="s">
        <v>15</v>
      </c>
      <c r="H108" s="2">
        <v>45028</v>
      </c>
      <c r="I108" s="1">
        <v>369</v>
      </c>
      <c r="J108" s="1">
        <v>269.08999999999997</v>
      </c>
      <c r="K108" s="1">
        <v>81.14</v>
      </c>
    </row>
    <row r="109" spans="2:11" x14ac:dyDescent="0.25">
      <c r="B109" s="1" t="s">
        <v>131</v>
      </c>
      <c r="C109" s="1" t="s">
        <v>48</v>
      </c>
      <c r="D109" s="1" t="s">
        <v>31</v>
      </c>
      <c r="E109" s="1" t="s">
        <v>42</v>
      </c>
      <c r="F109" s="1" t="s">
        <v>24</v>
      </c>
      <c r="G109" s="1" t="s">
        <v>20</v>
      </c>
      <c r="H109" s="2">
        <v>45029</v>
      </c>
      <c r="I109" s="1">
        <v>232</v>
      </c>
      <c r="J109" s="1">
        <v>391.99</v>
      </c>
      <c r="K109" s="1">
        <v>27.72</v>
      </c>
    </row>
    <row r="110" spans="2:11" x14ac:dyDescent="0.25">
      <c r="B110" s="1" t="s">
        <v>132</v>
      </c>
      <c r="C110" s="1" t="s">
        <v>17</v>
      </c>
      <c r="D110" s="1" t="s">
        <v>26</v>
      </c>
      <c r="E110" s="1" t="s">
        <v>23</v>
      </c>
      <c r="F110" s="1" t="s">
        <v>14</v>
      </c>
      <c r="G110" s="1" t="s">
        <v>20</v>
      </c>
      <c r="H110" s="2">
        <v>45030</v>
      </c>
      <c r="I110" s="1">
        <v>363</v>
      </c>
      <c r="J110" s="1">
        <v>354.17</v>
      </c>
      <c r="K110" s="1">
        <v>18.97</v>
      </c>
    </row>
    <row r="111" spans="2:11" x14ac:dyDescent="0.25">
      <c r="B111" s="1" t="s">
        <v>133</v>
      </c>
      <c r="C111" s="1" t="s">
        <v>48</v>
      </c>
      <c r="D111" s="1" t="s">
        <v>26</v>
      </c>
      <c r="E111" s="1" t="s">
        <v>42</v>
      </c>
      <c r="F111" s="1" t="s">
        <v>14</v>
      </c>
      <c r="G111" s="1" t="s">
        <v>20</v>
      </c>
      <c r="H111" s="2">
        <v>45031</v>
      </c>
      <c r="I111" s="1">
        <v>197</v>
      </c>
      <c r="J111" s="1">
        <v>225.95</v>
      </c>
      <c r="K111" s="1">
        <v>149.82</v>
      </c>
    </row>
    <row r="112" spans="2:11" x14ac:dyDescent="0.25">
      <c r="B112" s="1" t="s">
        <v>134</v>
      </c>
      <c r="C112" s="1" t="s">
        <v>48</v>
      </c>
      <c r="D112" s="1" t="s">
        <v>26</v>
      </c>
      <c r="E112" s="1" t="s">
        <v>13</v>
      </c>
      <c r="F112" s="1" t="s">
        <v>14</v>
      </c>
      <c r="G112" s="1" t="s">
        <v>28</v>
      </c>
      <c r="H112" s="2">
        <v>45032</v>
      </c>
      <c r="I112" s="1">
        <v>457</v>
      </c>
      <c r="J112" s="1">
        <v>432.79</v>
      </c>
      <c r="K112" s="1">
        <v>107.81</v>
      </c>
    </row>
    <row r="113" spans="2:11" x14ac:dyDescent="0.25">
      <c r="B113" s="1" t="s">
        <v>135</v>
      </c>
      <c r="C113" s="1" t="s">
        <v>48</v>
      </c>
      <c r="D113" s="1" t="s">
        <v>18</v>
      </c>
      <c r="E113" s="1" t="s">
        <v>19</v>
      </c>
      <c r="F113" s="1" t="s">
        <v>14</v>
      </c>
      <c r="G113" s="1" t="s">
        <v>28</v>
      </c>
      <c r="H113" s="2">
        <v>45033</v>
      </c>
      <c r="I113" s="1">
        <v>353</v>
      </c>
      <c r="J113" s="1">
        <v>281.27999999999997</v>
      </c>
      <c r="K113" s="1">
        <v>259.14</v>
      </c>
    </row>
    <row r="114" spans="2:11" x14ac:dyDescent="0.25">
      <c r="B114" s="1" t="s">
        <v>136</v>
      </c>
      <c r="C114" s="1" t="s">
        <v>17</v>
      </c>
      <c r="D114" s="1" t="s">
        <v>18</v>
      </c>
      <c r="E114" s="1" t="s">
        <v>42</v>
      </c>
      <c r="F114" s="1" t="s">
        <v>24</v>
      </c>
      <c r="G114" s="1" t="s">
        <v>20</v>
      </c>
      <c r="H114" s="2">
        <v>45034</v>
      </c>
      <c r="I114" s="1">
        <v>374</v>
      </c>
      <c r="J114" s="1">
        <v>272.25</v>
      </c>
      <c r="K114" s="1">
        <v>200.73</v>
      </c>
    </row>
    <row r="115" spans="2:11" x14ac:dyDescent="0.25">
      <c r="B115" s="1" t="s">
        <v>137</v>
      </c>
      <c r="C115" s="1" t="s">
        <v>48</v>
      </c>
      <c r="D115" s="1" t="s">
        <v>18</v>
      </c>
      <c r="E115" s="1" t="s">
        <v>13</v>
      </c>
      <c r="F115" s="1" t="s">
        <v>24</v>
      </c>
      <c r="G115" s="1" t="s">
        <v>20</v>
      </c>
      <c r="H115" s="2">
        <v>45035</v>
      </c>
      <c r="I115" s="1">
        <v>172</v>
      </c>
      <c r="J115" s="1">
        <v>21.92</v>
      </c>
      <c r="K115" s="1">
        <v>107.88</v>
      </c>
    </row>
    <row r="116" spans="2:11" x14ac:dyDescent="0.25">
      <c r="B116" s="1" t="s">
        <v>138</v>
      </c>
      <c r="C116" s="1" t="s">
        <v>11</v>
      </c>
      <c r="D116" s="1" t="s">
        <v>31</v>
      </c>
      <c r="E116" s="1" t="s">
        <v>13</v>
      </c>
      <c r="F116" s="1" t="s">
        <v>24</v>
      </c>
      <c r="G116" s="1" t="s">
        <v>28</v>
      </c>
      <c r="H116" s="2">
        <v>45036</v>
      </c>
      <c r="I116" s="1">
        <v>335</v>
      </c>
      <c r="J116" s="1">
        <v>493.41</v>
      </c>
      <c r="K116" s="1">
        <v>61.4</v>
      </c>
    </row>
    <row r="117" spans="2:11" x14ac:dyDescent="0.25">
      <c r="B117" s="1" t="s">
        <v>139</v>
      </c>
      <c r="C117" s="1" t="s">
        <v>17</v>
      </c>
      <c r="D117" s="1" t="s">
        <v>50</v>
      </c>
      <c r="E117" s="1" t="s">
        <v>23</v>
      </c>
      <c r="F117" s="1" t="s">
        <v>14</v>
      </c>
      <c r="G117" s="1" t="s">
        <v>28</v>
      </c>
      <c r="H117" s="2">
        <v>45037</v>
      </c>
      <c r="I117" s="1">
        <v>476</v>
      </c>
      <c r="J117" s="1">
        <v>65.87</v>
      </c>
      <c r="K117" s="1">
        <v>52.63</v>
      </c>
    </row>
    <row r="118" spans="2:11" x14ac:dyDescent="0.25">
      <c r="B118" s="1" t="s">
        <v>140</v>
      </c>
      <c r="C118" s="1" t="s">
        <v>11</v>
      </c>
      <c r="D118" s="1" t="s">
        <v>26</v>
      </c>
      <c r="E118" s="1" t="s">
        <v>13</v>
      </c>
      <c r="F118" s="1" t="s">
        <v>14</v>
      </c>
      <c r="G118" s="1" t="s">
        <v>15</v>
      </c>
      <c r="H118" s="2">
        <v>45038</v>
      </c>
      <c r="I118" s="1">
        <v>423</v>
      </c>
      <c r="J118" s="1">
        <v>119.41</v>
      </c>
      <c r="K118" s="1">
        <v>346.13</v>
      </c>
    </row>
    <row r="119" spans="2:11" x14ac:dyDescent="0.25">
      <c r="B119" s="1" t="s">
        <v>141</v>
      </c>
      <c r="C119" s="1" t="s">
        <v>17</v>
      </c>
      <c r="D119" s="1" t="s">
        <v>26</v>
      </c>
      <c r="E119" s="1" t="s">
        <v>13</v>
      </c>
      <c r="F119" s="1" t="s">
        <v>14</v>
      </c>
      <c r="G119" s="1" t="s">
        <v>15</v>
      </c>
      <c r="H119" s="2">
        <v>45039</v>
      </c>
      <c r="I119" s="1">
        <v>464</v>
      </c>
      <c r="J119" s="1">
        <v>30.59</v>
      </c>
      <c r="K119" s="1">
        <v>98.9</v>
      </c>
    </row>
    <row r="120" spans="2:11" x14ac:dyDescent="0.25">
      <c r="B120" s="1" t="s">
        <v>142</v>
      </c>
      <c r="C120" s="1" t="s">
        <v>48</v>
      </c>
      <c r="D120" s="1" t="s">
        <v>31</v>
      </c>
      <c r="E120" s="1" t="s">
        <v>13</v>
      </c>
      <c r="F120" s="1" t="s">
        <v>24</v>
      </c>
      <c r="G120" s="1" t="s">
        <v>28</v>
      </c>
      <c r="H120" s="2">
        <v>45040</v>
      </c>
      <c r="I120" s="1">
        <v>83</v>
      </c>
      <c r="J120" s="1">
        <v>321.8</v>
      </c>
      <c r="K120" s="1">
        <v>261.38</v>
      </c>
    </row>
    <row r="121" spans="2:11" x14ac:dyDescent="0.25">
      <c r="B121" s="1" t="s">
        <v>143</v>
      </c>
      <c r="C121" s="1" t="s">
        <v>11</v>
      </c>
      <c r="D121" s="1" t="s">
        <v>26</v>
      </c>
      <c r="E121" s="1" t="s">
        <v>13</v>
      </c>
      <c r="F121" s="1" t="s">
        <v>14</v>
      </c>
      <c r="G121" s="1" t="s">
        <v>20</v>
      </c>
      <c r="H121" s="2">
        <v>45041</v>
      </c>
      <c r="I121" s="1">
        <v>242</v>
      </c>
      <c r="J121" s="1">
        <v>116.23</v>
      </c>
      <c r="K121" s="1">
        <v>324.64999999999998</v>
      </c>
    </row>
    <row r="122" spans="2:11" x14ac:dyDescent="0.25">
      <c r="B122" s="1" t="s">
        <v>144</v>
      </c>
      <c r="C122" s="1" t="s">
        <v>17</v>
      </c>
      <c r="D122" s="1" t="s">
        <v>18</v>
      </c>
      <c r="E122" s="1" t="s">
        <v>27</v>
      </c>
      <c r="F122" s="1" t="s">
        <v>24</v>
      </c>
      <c r="G122" s="1" t="s">
        <v>20</v>
      </c>
      <c r="H122" s="2">
        <v>45042</v>
      </c>
      <c r="I122" s="1">
        <v>233</v>
      </c>
      <c r="J122" s="1">
        <v>94.11</v>
      </c>
      <c r="K122" s="1">
        <v>246.4</v>
      </c>
    </row>
    <row r="123" spans="2:11" x14ac:dyDescent="0.25">
      <c r="B123" s="1" t="s">
        <v>145</v>
      </c>
      <c r="C123" s="1" t="s">
        <v>22</v>
      </c>
      <c r="D123" s="1" t="s">
        <v>50</v>
      </c>
      <c r="E123" s="1" t="s">
        <v>27</v>
      </c>
      <c r="F123" s="1" t="s">
        <v>24</v>
      </c>
      <c r="G123" s="1" t="s">
        <v>20</v>
      </c>
      <c r="H123" s="2">
        <v>45043</v>
      </c>
      <c r="I123" s="1">
        <v>491</v>
      </c>
      <c r="J123" s="1">
        <v>48.84</v>
      </c>
      <c r="K123" s="1">
        <v>344.11</v>
      </c>
    </row>
    <row r="124" spans="2:11" x14ac:dyDescent="0.25">
      <c r="B124" s="1" t="s">
        <v>146</v>
      </c>
      <c r="C124" s="1"/>
      <c r="D124" s="1" t="s">
        <v>12</v>
      </c>
      <c r="E124" s="1" t="s">
        <v>23</v>
      </c>
      <c r="F124" s="1" t="s">
        <v>24</v>
      </c>
      <c r="G124" s="1" t="s">
        <v>20</v>
      </c>
      <c r="H124" s="2">
        <v>45044</v>
      </c>
      <c r="I124" s="1">
        <v>328</v>
      </c>
      <c r="J124" s="1">
        <v>56.14</v>
      </c>
      <c r="K124" s="1">
        <v>158.16999999999999</v>
      </c>
    </row>
    <row r="125" spans="2:11" x14ac:dyDescent="0.25">
      <c r="B125" s="1" t="s">
        <v>147</v>
      </c>
      <c r="C125" s="1" t="s">
        <v>17</v>
      </c>
      <c r="D125" s="1" t="s">
        <v>26</v>
      </c>
      <c r="E125" s="1" t="s">
        <v>42</v>
      </c>
      <c r="F125" s="1" t="s">
        <v>24</v>
      </c>
      <c r="G125" s="1" t="s">
        <v>15</v>
      </c>
      <c r="H125" s="2">
        <v>45045</v>
      </c>
      <c r="I125" s="1">
        <v>421</v>
      </c>
      <c r="J125" s="1">
        <v>294.41000000000003</v>
      </c>
      <c r="K125" s="1">
        <v>382.58</v>
      </c>
    </row>
    <row r="126" spans="2:11" x14ac:dyDescent="0.25">
      <c r="B126" s="1" t="s">
        <v>148</v>
      </c>
      <c r="C126" s="1" t="s">
        <v>22</v>
      </c>
      <c r="D126" s="1" t="s">
        <v>18</v>
      </c>
      <c r="E126" s="1" t="s">
        <v>13</v>
      </c>
      <c r="F126" s="1" t="s">
        <v>24</v>
      </c>
      <c r="G126" s="1" t="s">
        <v>28</v>
      </c>
      <c r="H126" s="2">
        <v>45046</v>
      </c>
      <c r="I126" s="1">
        <v>69</v>
      </c>
      <c r="J126" s="1">
        <v>345.66</v>
      </c>
      <c r="K126" s="1">
        <v>54.99</v>
      </c>
    </row>
    <row r="127" spans="2:11" x14ac:dyDescent="0.25">
      <c r="B127" s="1" t="s">
        <v>149</v>
      </c>
      <c r="C127" s="1" t="s">
        <v>17</v>
      </c>
      <c r="D127" s="1" t="s">
        <v>12</v>
      </c>
      <c r="E127" s="1" t="s">
        <v>42</v>
      </c>
      <c r="F127" s="1" t="s">
        <v>24</v>
      </c>
      <c r="G127" s="1" t="s">
        <v>20</v>
      </c>
      <c r="H127" s="2">
        <v>45047</v>
      </c>
      <c r="I127" s="1">
        <v>344</v>
      </c>
      <c r="J127" s="1">
        <v>201.7</v>
      </c>
      <c r="K127" s="1">
        <v>42.66</v>
      </c>
    </row>
    <row r="128" spans="2:11" x14ac:dyDescent="0.25">
      <c r="B128" s="1" t="s">
        <v>150</v>
      </c>
      <c r="C128" s="1"/>
      <c r="D128" s="1" t="s">
        <v>50</v>
      </c>
      <c r="E128" s="1" t="s">
        <v>42</v>
      </c>
      <c r="F128" s="1" t="s">
        <v>14</v>
      </c>
      <c r="G128" s="1" t="s">
        <v>15</v>
      </c>
      <c r="H128" s="2">
        <v>45048</v>
      </c>
      <c r="I128" s="1">
        <v>231</v>
      </c>
      <c r="J128" s="1">
        <v>242.55</v>
      </c>
      <c r="K128" s="1">
        <v>264.16000000000003</v>
      </c>
    </row>
    <row r="129" spans="2:11" x14ac:dyDescent="0.25">
      <c r="B129" s="1" t="s">
        <v>151</v>
      </c>
      <c r="C129" s="1" t="s">
        <v>48</v>
      </c>
      <c r="D129" s="1" t="s">
        <v>12</v>
      </c>
      <c r="E129" s="1" t="s">
        <v>23</v>
      </c>
      <c r="F129" s="1" t="s">
        <v>14</v>
      </c>
      <c r="G129" s="1" t="s">
        <v>20</v>
      </c>
      <c r="H129" s="2">
        <v>45049</v>
      </c>
      <c r="I129" s="1">
        <v>46</v>
      </c>
      <c r="J129" s="1">
        <v>344.55</v>
      </c>
      <c r="K129" s="1">
        <v>377.25</v>
      </c>
    </row>
    <row r="130" spans="2:11" x14ac:dyDescent="0.25">
      <c r="B130" s="1" t="s">
        <v>152</v>
      </c>
      <c r="C130" s="1" t="s">
        <v>11</v>
      </c>
      <c r="D130" s="1" t="s">
        <v>18</v>
      </c>
      <c r="E130" s="1" t="s">
        <v>13</v>
      </c>
      <c r="F130" s="1" t="s">
        <v>24</v>
      </c>
      <c r="G130" s="1" t="s">
        <v>28</v>
      </c>
      <c r="H130" s="2">
        <v>45050</v>
      </c>
      <c r="I130" s="1">
        <v>486</v>
      </c>
      <c r="J130" s="1">
        <v>13.6</v>
      </c>
      <c r="K130" s="1">
        <v>323.94</v>
      </c>
    </row>
    <row r="131" spans="2:11" x14ac:dyDescent="0.25">
      <c r="B131" s="1" t="s">
        <v>153</v>
      </c>
      <c r="C131" s="1" t="s">
        <v>22</v>
      </c>
      <c r="D131" s="1" t="s">
        <v>12</v>
      </c>
      <c r="E131" s="1" t="s">
        <v>13</v>
      </c>
      <c r="F131" s="1" t="s">
        <v>24</v>
      </c>
      <c r="G131" s="1" t="s">
        <v>15</v>
      </c>
      <c r="H131" s="2">
        <v>45051</v>
      </c>
      <c r="I131" s="1">
        <v>287</v>
      </c>
      <c r="J131" s="1">
        <v>164.95</v>
      </c>
      <c r="K131" s="1">
        <v>32.409999999999997</v>
      </c>
    </row>
    <row r="132" spans="2:11" x14ac:dyDescent="0.25">
      <c r="B132" s="1" t="s">
        <v>154</v>
      </c>
      <c r="C132" s="1" t="s">
        <v>17</v>
      </c>
      <c r="D132" s="1" t="s">
        <v>31</v>
      </c>
      <c r="E132" s="1" t="s">
        <v>19</v>
      </c>
      <c r="F132" s="1" t="s">
        <v>14</v>
      </c>
      <c r="G132" s="1" t="s">
        <v>28</v>
      </c>
      <c r="H132" s="2">
        <v>45052</v>
      </c>
      <c r="I132" s="1">
        <v>205</v>
      </c>
      <c r="J132" s="1">
        <v>486.68</v>
      </c>
      <c r="K132" s="1">
        <v>113.19</v>
      </c>
    </row>
    <row r="133" spans="2:11" x14ac:dyDescent="0.25">
      <c r="B133" s="1" t="s">
        <v>155</v>
      </c>
      <c r="C133" s="1" t="s">
        <v>48</v>
      </c>
      <c r="D133" s="1" t="s">
        <v>12</v>
      </c>
      <c r="E133" s="1" t="s">
        <v>42</v>
      </c>
      <c r="F133" s="1" t="s">
        <v>24</v>
      </c>
      <c r="G133" s="1" t="s">
        <v>28</v>
      </c>
      <c r="H133" s="2">
        <v>45053</v>
      </c>
      <c r="I133" s="1">
        <v>413</v>
      </c>
      <c r="J133" s="1">
        <v>292.16000000000003</v>
      </c>
      <c r="K133" s="1">
        <v>372.27</v>
      </c>
    </row>
    <row r="134" spans="2:11" x14ac:dyDescent="0.25">
      <c r="B134" s="1" t="s">
        <v>156</v>
      </c>
      <c r="C134" s="1" t="s">
        <v>22</v>
      </c>
      <c r="D134" s="1" t="s">
        <v>26</v>
      </c>
      <c r="E134" s="1" t="s">
        <v>42</v>
      </c>
      <c r="F134" s="1" t="s">
        <v>24</v>
      </c>
      <c r="G134" s="1" t="s">
        <v>15</v>
      </c>
      <c r="H134" s="2">
        <v>45054</v>
      </c>
      <c r="I134" s="1">
        <v>361</v>
      </c>
      <c r="J134" s="1">
        <v>130.84</v>
      </c>
      <c r="K134" s="1">
        <v>102.72</v>
      </c>
    </row>
    <row r="135" spans="2:11" x14ac:dyDescent="0.25">
      <c r="B135" s="1" t="s">
        <v>157</v>
      </c>
      <c r="C135" s="1" t="s">
        <v>17</v>
      </c>
      <c r="D135" s="1" t="s">
        <v>26</v>
      </c>
      <c r="E135" s="1" t="s">
        <v>27</v>
      </c>
      <c r="F135" s="1" t="s">
        <v>14</v>
      </c>
      <c r="G135" s="1" t="s">
        <v>15</v>
      </c>
      <c r="H135" s="2">
        <v>45055</v>
      </c>
      <c r="I135" s="1">
        <v>493</v>
      </c>
      <c r="J135" s="1">
        <v>263.26</v>
      </c>
      <c r="K135" s="1">
        <v>312.91000000000003</v>
      </c>
    </row>
    <row r="136" spans="2:11" x14ac:dyDescent="0.25">
      <c r="B136" s="1" t="s">
        <v>158</v>
      </c>
      <c r="C136" s="1" t="s">
        <v>17</v>
      </c>
      <c r="D136" s="1" t="s">
        <v>31</v>
      </c>
      <c r="E136" s="1" t="s">
        <v>19</v>
      </c>
      <c r="F136" s="1" t="s">
        <v>24</v>
      </c>
      <c r="G136" s="1" t="s">
        <v>15</v>
      </c>
      <c r="H136" s="2">
        <v>45056</v>
      </c>
      <c r="I136" s="1">
        <v>251</v>
      </c>
      <c r="J136" s="1">
        <v>174.61</v>
      </c>
      <c r="K136" s="1">
        <v>330.4</v>
      </c>
    </row>
    <row r="137" spans="2:11" x14ac:dyDescent="0.25">
      <c r="B137" s="1" t="s">
        <v>159</v>
      </c>
      <c r="C137" s="1" t="s">
        <v>17</v>
      </c>
      <c r="D137" s="1" t="s">
        <v>18</v>
      </c>
      <c r="E137" s="1" t="s">
        <v>27</v>
      </c>
      <c r="F137" s="1" t="s">
        <v>24</v>
      </c>
      <c r="G137" s="1" t="s">
        <v>15</v>
      </c>
      <c r="H137" s="2">
        <v>45057</v>
      </c>
      <c r="I137" s="1"/>
      <c r="J137" s="1">
        <v>268.45999999999998</v>
      </c>
      <c r="K137" s="1">
        <v>199.19</v>
      </c>
    </row>
    <row r="138" spans="2:11" x14ac:dyDescent="0.25">
      <c r="B138" s="1" t="s">
        <v>160</v>
      </c>
      <c r="C138" s="1" t="s">
        <v>22</v>
      </c>
      <c r="D138" s="1" t="s">
        <v>26</v>
      </c>
      <c r="E138" s="1" t="s">
        <v>27</v>
      </c>
      <c r="F138" s="1" t="s">
        <v>24</v>
      </c>
      <c r="G138" s="1" t="s">
        <v>15</v>
      </c>
      <c r="H138" s="2">
        <v>45058</v>
      </c>
      <c r="I138" s="1">
        <v>228</v>
      </c>
      <c r="J138" s="1">
        <v>67.239999999999995</v>
      </c>
      <c r="K138" s="1">
        <v>155.77000000000001</v>
      </c>
    </row>
    <row r="139" spans="2:11" x14ac:dyDescent="0.25">
      <c r="B139" s="1" t="s">
        <v>161</v>
      </c>
      <c r="C139" s="1" t="s">
        <v>22</v>
      </c>
      <c r="D139" s="1" t="s">
        <v>50</v>
      </c>
      <c r="E139" s="1" t="s">
        <v>27</v>
      </c>
      <c r="F139" s="1" t="s">
        <v>14</v>
      </c>
      <c r="G139" s="1" t="s">
        <v>15</v>
      </c>
      <c r="H139" s="2">
        <v>45059</v>
      </c>
      <c r="I139" s="1">
        <v>201</v>
      </c>
      <c r="J139" s="1">
        <v>70.69</v>
      </c>
      <c r="K139" s="1">
        <v>181.15</v>
      </c>
    </row>
    <row r="140" spans="2:11" x14ac:dyDescent="0.25">
      <c r="B140" s="1" t="s">
        <v>162</v>
      </c>
      <c r="C140" s="1" t="s">
        <v>22</v>
      </c>
      <c r="D140" s="1" t="s">
        <v>26</v>
      </c>
      <c r="E140" s="1" t="s">
        <v>23</v>
      </c>
      <c r="F140" s="1" t="s">
        <v>14</v>
      </c>
      <c r="G140" s="1" t="s">
        <v>15</v>
      </c>
      <c r="H140" s="2">
        <v>45060</v>
      </c>
      <c r="I140" s="1">
        <v>26</v>
      </c>
      <c r="J140" s="1">
        <v>76.05</v>
      </c>
      <c r="K140" s="1">
        <v>92.33</v>
      </c>
    </row>
    <row r="141" spans="2:11" x14ac:dyDescent="0.25">
      <c r="B141" s="1" t="s">
        <v>163</v>
      </c>
      <c r="C141" s="1" t="s">
        <v>11</v>
      </c>
      <c r="D141" s="1" t="s">
        <v>26</v>
      </c>
      <c r="E141" s="1" t="s">
        <v>23</v>
      </c>
      <c r="F141" s="1" t="s">
        <v>14</v>
      </c>
      <c r="G141" s="1" t="s">
        <v>20</v>
      </c>
      <c r="H141" s="2">
        <v>45061</v>
      </c>
      <c r="I141" s="1">
        <v>21</v>
      </c>
      <c r="J141" s="1">
        <v>470.21</v>
      </c>
      <c r="K141" s="1">
        <v>355.98</v>
      </c>
    </row>
    <row r="142" spans="2:11" x14ac:dyDescent="0.25">
      <c r="B142" s="1" t="s">
        <v>164</v>
      </c>
      <c r="C142" s="1" t="s">
        <v>22</v>
      </c>
      <c r="D142" s="1" t="s">
        <v>18</v>
      </c>
      <c r="E142" s="1" t="s">
        <v>27</v>
      </c>
      <c r="F142" s="1" t="s">
        <v>24</v>
      </c>
      <c r="G142" s="1" t="s">
        <v>28</v>
      </c>
      <c r="H142" s="2">
        <v>45062</v>
      </c>
      <c r="I142" s="1">
        <v>415</v>
      </c>
      <c r="J142" s="1">
        <v>367.78</v>
      </c>
      <c r="K142" s="1">
        <v>181.35</v>
      </c>
    </row>
    <row r="143" spans="2:11" x14ac:dyDescent="0.25">
      <c r="B143" s="1" t="s">
        <v>165</v>
      </c>
      <c r="C143" s="1" t="s">
        <v>22</v>
      </c>
      <c r="D143" s="1" t="s">
        <v>12</v>
      </c>
      <c r="E143" s="1" t="s">
        <v>19</v>
      </c>
      <c r="F143" s="1" t="s">
        <v>24</v>
      </c>
      <c r="G143" s="1" t="s">
        <v>15</v>
      </c>
      <c r="H143" s="2">
        <v>45063</v>
      </c>
      <c r="I143" s="1">
        <v>410</v>
      </c>
      <c r="J143" s="1">
        <v>85.38</v>
      </c>
      <c r="K143" s="1">
        <v>353.22</v>
      </c>
    </row>
    <row r="144" spans="2:11" x14ac:dyDescent="0.25">
      <c r="B144" s="1" t="s">
        <v>166</v>
      </c>
      <c r="C144" s="1" t="s">
        <v>22</v>
      </c>
      <c r="D144" s="1" t="s">
        <v>26</v>
      </c>
      <c r="E144" s="1" t="s">
        <v>42</v>
      </c>
      <c r="F144" s="1" t="s">
        <v>14</v>
      </c>
      <c r="G144" s="1" t="s">
        <v>20</v>
      </c>
      <c r="H144" s="2">
        <v>45064</v>
      </c>
      <c r="I144" s="1">
        <v>403</v>
      </c>
      <c r="J144" s="1">
        <v>98.23</v>
      </c>
      <c r="K144" s="1">
        <v>44.07</v>
      </c>
    </row>
    <row r="145" spans="2:11" x14ac:dyDescent="0.25">
      <c r="B145" s="1" t="s">
        <v>167</v>
      </c>
      <c r="C145" s="1" t="s">
        <v>11</v>
      </c>
      <c r="D145" s="1" t="s">
        <v>31</v>
      </c>
      <c r="E145" s="1" t="s">
        <v>19</v>
      </c>
      <c r="F145" s="1" t="s">
        <v>24</v>
      </c>
      <c r="G145" s="1" t="s">
        <v>20</v>
      </c>
      <c r="H145" s="2">
        <v>45065</v>
      </c>
      <c r="I145" s="1">
        <v>383</v>
      </c>
      <c r="J145" s="1">
        <v>366.76</v>
      </c>
      <c r="K145" s="1">
        <v>395.33</v>
      </c>
    </row>
    <row r="146" spans="2:11" x14ac:dyDescent="0.25">
      <c r="B146" s="1" t="s">
        <v>168</v>
      </c>
      <c r="C146" s="1" t="s">
        <v>22</v>
      </c>
      <c r="D146" s="1" t="s">
        <v>12</v>
      </c>
      <c r="E146" s="1" t="s">
        <v>13</v>
      </c>
      <c r="F146" s="1" t="s">
        <v>24</v>
      </c>
      <c r="G146" s="1" t="s">
        <v>20</v>
      </c>
      <c r="H146" s="2">
        <v>45066</v>
      </c>
      <c r="I146" s="1">
        <v>202</v>
      </c>
      <c r="J146" s="1">
        <v>82.3</v>
      </c>
      <c r="K146" s="1">
        <v>178.42</v>
      </c>
    </row>
    <row r="147" spans="2:11" x14ac:dyDescent="0.25">
      <c r="B147" s="1" t="s">
        <v>169</v>
      </c>
      <c r="C147" s="1" t="s">
        <v>17</v>
      </c>
      <c r="D147" s="1" t="s">
        <v>50</v>
      </c>
      <c r="E147" s="1" t="s">
        <v>23</v>
      </c>
      <c r="F147" s="1" t="s">
        <v>24</v>
      </c>
      <c r="G147" s="1" t="s">
        <v>28</v>
      </c>
      <c r="H147" s="2">
        <v>45067</v>
      </c>
      <c r="I147" s="1">
        <v>31</v>
      </c>
      <c r="J147" s="1">
        <v>121.11</v>
      </c>
      <c r="K147" s="1">
        <v>21.04</v>
      </c>
    </row>
    <row r="148" spans="2:11" x14ac:dyDescent="0.25">
      <c r="B148" s="1" t="s">
        <v>170</v>
      </c>
      <c r="C148" s="1" t="s">
        <v>22</v>
      </c>
      <c r="D148" s="1" t="s">
        <v>18</v>
      </c>
      <c r="E148" s="1" t="s">
        <v>42</v>
      </c>
      <c r="F148" s="1" t="s">
        <v>24</v>
      </c>
      <c r="G148" s="1" t="s">
        <v>15</v>
      </c>
      <c r="H148" s="2">
        <v>45068</v>
      </c>
      <c r="I148" s="1">
        <v>483</v>
      </c>
      <c r="J148" s="1">
        <v>481.86</v>
      </c>
      <c r="K148" s="1">
        <v>17.13</v>
      </c>
    </row>
    <row r="149" spans="2:11" x14ac:dyDescent="0.25">
      <c r="B149" s="1" t="s">
        <v>171</v>
      </c>
      <c r="C149" s="1" t="s">
        <v>17</v>
      </c>
      <c r="D149" s="1" t="s">
        <v>50</v>
      </c>
      <c r="E149" s="1" t="s">
        <v>42</v>
      </c>
      <c r="F149" s="1" t="s">
        <v>24</v>
      </c>
      <c r="G149" s="1" t="s">
        <v>20</v>
      </c>
      <c r="H149" s="2">
        <v>45069</v>
      </c>
      <c r="I149" s="1">
        <v>129</v>
      </c>
      <c r="J149" s="1">
        <v>131.38</v>
      </c>
      <c r="K149" s="1">
        <v>298.99</v>
      </c>
    </row>
    <row r="150" spans="2:11" x14ac:dyDescent="0.25">
      <c r="B150" s="1" t="s">
        <v>172</v>
      </c>
      <c r="C150" s="1" t="s">
        <v>17</v>
      </c>
      <c r="D150" s="1" t="s">
        <v>12</v>
      </c>
      <c r="E150" s="1" t="s">
        <v>13</v>
      </c>
      <c r="F150" s="1" t="s">
        <v>14</v>
      </c>
      <c r="G150" s="1" t="s">
        <v>28</v>
      </c>
      <c r="H150" s="2">
        <v>45070</v>
      </c>
      <c r="I150" s="1">
        <v>219</v>
      </c>
      <c r="J150" s="1">
        <v>332.51</v>
      </c>
      <c r="K150" s="1">
        <v>264.3</v>
      </c>
    </row>
    <row r="151" spans="2:11" x14ac:dyDescent="0.25">
      <c r="B151" s="1" t="s">
        <v>173</v>
      </c>
      <c r="C151" s="1" t="s">
        <v>17</v>
      </c>
      <c r="D151" s="1" t="s">
        <v>12</v>
      </c>
      <c r="E151" s="1" t="s">
        <v>13</v>
      </c>
      <c r="F151" s="1" t="s">
        <v>24</v>
      </c>
      <c r="G151" s="1" t="s">
        <v>28</v>
      </c>
      <c r="H151" s="2">
        <v>45071</v>
      </c>
      <c r="I151" s="1">
        <v>315</v>
      </c>
      <c r="J151" s="1">
        <v>489.42</v>
      </c>
      <c r="K151" s="1">
        <v>321.25</v>
      </c>
    </row>
    <row r="152" spans="2:11" x14ac:dyDescent="0.25">
      <c r="B152" s="1" t="s">
        <v>174</v>
      </c>
      <c r="C152" s="1" t="s">
        <v>11</v>
      </c>
      <c r="D152" s="1" t="s">
        <v>12</v>
      </c>
      <c r="E152" s="1" t="s">
        <v>27</v>
      </c>
      <c r="F152" s="1" t="s">
        <v>14</v>
      </c>
      <c r="G152" s="1" t="s">
        <v>28</v>
      </c>
      <c r="H152" s="2">
        <v>45072</v>
      </c>
      <c r="I152" s="1">
        <v>279</v>
      </c>
      <c r="J152" s="1">
        <v>190.28</v>
      </c>
      <c r="K152" s="1">
        <v>43.94</v>
      </c>
    </row>
    <row r="153" spans="2:11" x14ac:dyDescent="0.25">
      <c r="B153" s="1" t="s">
        <v>175</v>
      </c>
      <c r="C153" s="1" t="s">
        <v>11</v>
      </c>
      <c r="D153" s="1" t="s">
        <v>50</v>
      </c>
      <c r="E153" s="1" t="s">
        <v>23</v>
      </c>
      <c r="F153" s="1" t="s">
        <v>24</v>
      </c>
      <c r="G153" s="1" t="s">
        <v>20</v>
      </c>
      <c r="H153" s="2">
        <v>45073</v>
      </c>
      <c r="I153" s="1">
        <v>201</v>
      </c>
      <c r="J153" s="1">
        <v>13.67</v>
      </c>
      <c r="K153" s="1">
        <v>16.16</v>
      </c>
    </row>
    <row r="154" spans="2:11" x14ac:dyDescent="0.25">
      <c r="B154" s="1" t="s">
        <v>176</v>
      </c>
      <c r="C154" s="1" t="s">
        <v>11</v>
      </c>
      <c r="D154" s="1" t="s">
        <v>12</v>
      </c>
      <c r="E154" s="1" t="s">
        <v>23</v>
      </c>
      <c r="F154" s="1" t="s">
        <v>14</v>
      </c>
      <c r="G154" s="1" t="s">
        <v>15</v>
      </c>
      <c r="H154" s="2">
        <v>45074</v>
      </c>
      <c r="I154" s="1">
        <v>184</v>
      </c>
      <c r="J154" s="1">
        <v>125.85</v>
      </c>
      <c r="K154" s="1">
        <v>204.41</v>
      </c>
    </row>
    <row r="155" spans="2:11" x14ac:dyDescent="0.25">
      <c r="B155" s="1" t="s">
        <v>177</v>
      </c>
      <c r="C155" s="1" t="s">
        <v>22</v>
      </c>
      <c r="D155" s="1" t="s">
        <v>50</v>
      </c>
      <c r="E155" s="1" t="s">
        <v>19</v>
      </c>
      <c r="F155" s="1" t="s">
        <v>24</v>
      </c>
      <c r="G155" s="1" t="s">
        <v>20</v>
      </c>
      <c r="H155" s="2">
        <v>45075</v>
      </c>
      <c r="I155" s="1">
        <v>294</v>
      </c>
      <c r="J155" s="1">
        <v>416.28</v>
      </c>
      <c r="K155" s="1">
        <v>156.26</v>
      </c>
    </row>
    <row r="156" spans="2:11" x14ac:dyDescent="0.25">
      <c r="B156" s="1" t="s">
        <v>178</v>
      </c>
      <c r="C156" s="1" t="s">
        <v>17</v>
      </c>
      <c r="D156" s="1" t="s">
        <v>12</v>
      </c>
      <c r="E156" s="1" t="s">
        <v>27</v>
      </c>
      <c r="F156" s="1" t="s">
        <v>14</v>
      </c>
      <c r="G156" s="1" t="s">
        <v>20</v>
      </c>
      <c r="H156" s="2">
        <v>45076</v>
      </c>
      <c r="I156" s="1">
        <v>213</v>
      </c>
      <c r="J156" s="1">
        <v>432.98</v>
      </c>
      <c r="K156" s="1">
        <v>185.85</v>
      </c>
    </row>
    <row r="157" spans="2:11" x14ac:dyDescent="0.25">
      <c r="B157" s="1" t="s">
        <v>179</v>
      </c>
      <c r="C157" s="1" t="s">
        <v>11</v>
      </c>
      <c r="D157" s="1" t="s">
        <v>31</v>
      </c>
      <c r="E157" s="1" t="s">
        <v>27</v>
      </c>
      <c r="F157" s="1" t="s">
        <v>24</v>
      </c>
      <c r="G157" s="1" t="s">
        <v>15</v>
      </c>
      <c r="H157" s="2">
        <v>45077</v>
      </c>
      <c r="I157" s="1">
        <v>173</v>
      </c>
      <c r="J157" s="1">
        <v>385.42</v>
      </c>
      <c r="K157" s="1">
        <v>396.65</v>
      </c>
    </row>
    <row r="158" spans="2:11" x14ac:dyDescent="0.25">
      <c r="B158" s="1" t="s">
        <v>180</v>
      </c>
      <c r="C158" s="1" t="s">
        <v>11</v>
      </c>
      <c r="D158" s="1" t="s">
        <v>12</v>
      </c>
      <c r="E158" s="1" t="s">
        <v>27</v>
      </c>
      <c r="F158" s="1" t="s">
        <v>14</v>
      </c>
      <c r="G158" s="1" t="s">
        <v>15</v>
      </c>
      <c r="H158" s="2">
        <v>45078</v>
      </c>
      <c r="I158" s="1">
        <v>260</v>
      </c>
      <c r="J158" s="1">
        <v>60.99</v>
      </c>
      <c r="K158" s="1">
        <v>388.36</v>
      </c>
    </row>
    <row r="159" spans="2:11" x14ac:dyDescent="0.25">
      <c r="B159" s="1" t="s">
        <v>181</v>
      </c>
      <c r="C159" s="1" t="s">
        <v>22</v>
      </c>
      <c r="D159" s="1" t="s">
        <v>50</v>
      </c>
      <c r="E159" s="1" t="s">
        <v>27</v>
      </c>
      <c r="F159" s="1" t="s">
        <v>24</v>
      </c>
      <c r="G159" s="1" t="s">
        <v>15</v>
      </c>
      <c r="H159" s="2">
        <v>45079</v>
      </c>
      <c r="I159" s="1">
        <v>236</v>
      </c>
      <c r="J159" s="1">
        <v>398.78</v>
      </c>
      <c r="K159" s="1">
        <v>377.04</v>
      </c>
    </row>
    <row r="160" spans="2:11" x14ac:dyDescent="0.25">
      <c r="B160" s="1" t="s">
        <v>182</v>
      </c>
      <c r="C160" s="1" t="s">
        <v>11</v>
      </c>
      <c r="D160" s="1" t="s">
        <v>26</v>
      </c>
      <c r="E160" s="1" t="s">
        <v>23</v>
      </c>
      <c r="F160" s="1" t="s">
        <v>14</v>
      </c>
      <c r="G160" s="1" t="s">
        <v>28</v>
      </c>
      <c r="H160" s="2">
        <v>45080</v>
      </c>
      <c r="I160" s="1">
        <v>445</v>
      </c>
      <c r="J160" s="1">
        <v>459.75</v>
      </c>
      <c r="K160" s="1">
        <v>313.97000000000003</v>
      </c>
    </row>
    <row r="161" spans="2:11" x14ac:dyDescent="0.25">
      <c r="B161" s="1" t="s">
        <v>183</v>
      </c>
      <c r="C161" s="1" t="s">
        <v>22</v>
      </c>
      <c r="D161" s="1" t="s">
        <v>12</v>
      </c>
      <c r="E161" s="1" t="s">
        <v>23</v>
      </c>
      <c r="F161" s="1" t="s">
        <v>24</v>
      </c>
      <c r="G161" s="1" t="s">
        <v>15</v>
      </c>
      <c r="H161" s="2">
        <v>45081</v>
      </c>
      <c r="I161" s="1">
        <v>390</v>
      </c>
      <c r="J161" s="1">
        <v>302.3</v>
      </c>
      <c r="K161" s="1">
        <v>143.22999999999999</v>
      </c>
    </row>
    <row r="162" spans="2:11" x14ac:dyDescent="0.25">
      <c r="B162" s="1" t="s">
        <v>184</v>
      </c>
      <c r="C162" s="1" t="s">
        <v>48</v>
      </c>
      <c r="D162" s="1" t="s">
        <v>26</v>
      </c>
      <c r="E162" s="1" t="s">
        <v>27</v>
      </c>
      <c r="F162" s="1" t="s">
        <v>14</v>
      </c>
      <c r="G162" s="1" t="s">
        <v>20</v>
      </c>
      <c r="H162" s="2">
        <v>45082</v>
      </c>
      <c r="I162" s="1">
        <v>469</v>
      </c>
      <c r="J162" s="1">
        <v>470.73</v>
      </c>
      <c r="K162" s="1">
        <v>166.03</v>
      </c>
    </row>
    <row r="163" spans="2:11" x14ac:dyDescent="0.25">
      <c r="B163" s="1" t="s">
        <v>185</v>
      </c>
      <c r="C163" s="1" t="s">
        <v>11</v>
      </c>
      <c r="D163" s="1" t="s">
        <v>31</v>
      </c>
      <c r="E163" s="1" t="s">
        <v>19</v>
      </c>
      <c r="F163" s="1" t="s">
        <v>14</v>
      </c>
      <c r="G163" s="1" t="s">
        <v>15</v>
      </c>
      <c r="H163" s="2">
        <v>45083</v>
      </c>
      <c r="I163" s="1">
        <v>16</v>
      </c>
      <c r="J163" s="1"/>
      <c r="K163" s="1">
        <v>220.75</v>
      </c>
    </row>
    <row r="164" spans="2:11" x14ac:dyDescent="0.25">
      <c r="B164" s="1" t="s">
        <v>186</v>
      </c>
      <c r="C164" s="1" t="s">
        <v>48</v>
      </c>
      <c r="D164" s="1" t="s">
        <v>18</v>
      </c>
      <c r="E164" s="1" t="s">
        <v>42</v>
      </c>
      <c r="F164" s="1" t="s">
        <v>24</v>
      </c>
      <c r="G164" s="1" t="s">
        <v>20</v>
      </c>
      <c r="H164" s="2">
        <v>45084</v>
      </c>
      <c r="I164" s="1">
        <v>38</v>
      </c>
      <c r="J164" s="1">
        <v>335.15</v>
      </c>
      <c r="K164" s="1">
        <v>332.55</v>
      </c>
    </row>
    <row r="165" spans="2:11" x14ac:dyDescent="0.25">
      <c r="B165" s="1" t="s">
        <v>187</v>
      </c>
      <c r="C165" s="1" t="s">
        <v>22</v>
      </c>
      <c r="D165" s="1" t="s">
        <v>31</v>
      </c>
      <c r="E165" s="1"/>
      <c r="F165" s="1" t="s">
        <v>24</v>
      </c>
      <c r="G165" s="1" t="s">
        <v>28</v>
      </c>
      <c r="H165" s="2">
        <v>45085</v>
      </c>
      <c r="I165" s="1">
        <v>404</v>
      </c>
      <c r="J165" s="1">
        <v>290.70999999999998</v>
      </c>
      <c r="K165" s="1">
        <v>29.35</v>
      </c>
    </row>
    <row r="166" spans="2:11" x14ac:dyDescent="0.25">
      <c r="B166" s="1" t="s">
        <v>188</v>
      </c>
      <c r="C166" s="1" t="s">
        <v>17</v>
      </c>
      <c r="D166" s="1" t="s">
        <v>12</v>
      </c>
      <c r="E166" s="1" t="s">
        <v>19</v>
      </c>
      <c r="F166" s="1" t="s">
        <v>14</v>
      </c>
      <c r="G166" s="1" t="s">
        <v>20</v>
      </c>
      <c r="H166" s="2">
        <v>45086</v>
      </c>
      <c r="I166" s="1">
        <v>42</v>
      </c>
      <c r="J166" s="1">
        <v>177.54</v>
      </c>
      <c r="K166" s="1">
        <v>170.87</v>
      </c>
    </row>
    <row r="167" spans="2:11" x14ac:dyDescent="0.25">
      <c r="B167" s="1" t="s">
        <v>189</v>
      </c>
      <c r="C167" s="1" t="s">
        <v>11</v>
      </c>
      <c r="D167" s="1" t="s">
        <v>26</v>
      </c>
      <c r="E167" s="1" t="s">
        <v>27</v>
      </c>
      <c r="F167" s="1" t="s">
        <v>24</v>
      </c>
      <c r="G167" s="1" t="s">
        <v>20</v>
      </c>
      <c r="H167" s="2">
        <v>45087</v>
      </c>
      <c r="I167" s="1">
        <v>143</v>
      </c>
      <c r="J167" s="1">
        <v>83.85</v>
      </c>
      <c r="K167" s="1">
        <v>34.880000000000003</v>
      </c>
    </row>
    <row r="168" spans="2:11" x14ac:dyDescent="0.25">
      <c r="B168" s="1" t="s">
        <v>190</v>
      </c>
      <c r="C168" s="1" t="s">
        <v>22</v>
      </c>
      <c r="D168" s="1" t="s">
        <v>26</v>
      </c>
      <c r="E168" s="1" t="s">
        <v>23</v>
      </c>
      <c r="F168" s="1" t="s">
        <v>14</v>
      </c>
      <c r="G168" s="1" t="s">
        <v>15</v>
      </c>
      <c r="H168" s="2">
        <v>45088</v>
      </c>
      <c r="I168" s="1">
        <v>376</v>
      </c>
      <c r="J168" s="1">
        <v>304.45</v>
      </c>
      <c r="K168" s="1">
        <v>206.83</v>
      </c>
    </row>
    <row r="169" spans="2:11" x14ac:dyDescent="0.25">
      <c r="B169" s="1" t="s">
        <v>191</v>
      </c>
      <c r="C169" s="1" t="s">
        <v>17</v>
      </c>
      <c r="D169" s="1" t="s">
        <v>50</v>
      </c>
      <c r="E169" s="1" t="s">
        <v>42</v>
      </c>
      <c r="F169" s="1" t="s">
        <v>14</v>
      </c>
      <c r="G169" s="1" t="s">
        <v>15</v>
      </c>
      <c r="H169" s="2">
        <v>45089</v>
      </c>
      <c r="I169" s="1">
        <v>88</v>
      </c>
      <c r="J169" s="1">
        <v>162.47</v>
      </c>
      <c r="K169" s="1">
        <v>359.76</v>
      </c>
    </row>
    <row r="170" spans="2:11" x14ac:dyDescent="0.25">
      <c r="B170" s="1" t="s">
        <v>192</v>
      </c>
      <c r="C170" s="1" t="s">
        <v>17</v>
      </c>
      <c r="D170" s="1" t="s">
        <v>26</v>
      </c>
      <c r="E170" s="1" t="s">
        <v>13</v>
      </c>
      <c r="F170" s="1" t="s">
        <v>14</v>
      </c>
      <c r="G170" s="1" t="s">
        <v>20</v>
      </c>
      <c r="H170" s="2">
        <v>45090</v>
      </c>
      <c r="I170" s="1">
        <v>425</v>
      </c>
      <c r="J170" s="1">
        <v>433.89</v>
      </c>
      <c r="K170" s="1">
        <v>313.43</v>
      </c>
    </row>
    <row r="171" spans="2:11" x14ac:dyDescent="0.25">
      <c r="B171" s="1" t="s">
        <v>193</v>
      </c>
      <c r="C171" s="1" t="s">
        <v>48</v>
      </c>
      <c r="D171" s="1" t="s">
        <v>50</v>
      </c>
      <c r="E171" s="1" t="s">
        <v>13</v>
      </c>
      <c r="F171" s="1" t="s">
        <v>24</v>
      </c>
      <c r="G171" s="1" t="s">
        <v>15</v>
      </c>
      <c r="H171" s="2">
        <v>45091</v>
      </c>
      <c r="I171" s="1">
        <v>444</v>
      </c>
      <c r="J171" s="1">
        <v>496.7</v>
      </c>
      <c r="K171" s="1">
        <v>92.68</v>
      </c>
    </row>
    <row r="172" spans="2:11" x14ac:dyDescent="0.25">
      <c r="B172" s="1" t="s">
        <v>194</v>
      </c>
      <c r="C172" s="1" t="s">
        <v>22</v>
      </c>
      <c r="D172" s="1" t="s">
        <v>18</v>
      </c>
      <c r="E172" s="1" t="s">
        <v>19</v>
      </c>
      <c r="F172" s="1" t="s">
        <v>14</v>
      </c>
      <c r="G172" s="1" t="s">
        <v>28</v>
      </c>
      <c r="H172" s="2">
        <v>45092</v>
      </c>
      <c r="I172" s="1">
        <v>468</v>
      </c>
      <c r="J172" s="1">
        <v>377.45</v>
      </c>
      <c r="K172" s="1">
        <v>390.44</v>
      </c>
    </row>
    <row r="173" spans="2:11" x14ac:dyDescent="0.25">
      <c r="B173" s="1" t="s">
        <v>195</v>
      </c>
      <c r="C173" s="1" t="s">
        <v>17</v>
      </c>
      <c r="D173" s="1" t="s">
        <v>12</v>
      </c>
      <c r="E173" s="1" t="s">
        <v>27</v>
      </c>
      <c r="F173" s="1" t="s">
        <v>14</v>
      </c>
      <c r="G173" s="1" t="s">
        <v>28</v>
      </c>
      <c r="H173" s="2">
        <v>45093</v>
      </c>
      <c r="I173" s="1">
        <v>67</v>
      </c>
      <c r="J173" s="1">
        <v>49.79</v>
      </c>
      <c r="K173" s="1">
        <v>267.61</v>
      </c>
    </row>
    <row r="174" spans="2:11" x14ac:dyDescent="0.25">
      <c r="B174" s="1" t="s">
        <v>196</v>
      </c>
      <c r="C174" s="1" t="s">
        <v>11</v>
      </c>
      <c r="D174" s="1" t="s">
        <v>50</v>
      </c>
      <c r="E174" s="1" t="s">
        <v>42</v>
      </c>
      <c r="F174" s="1" t="s">
        <v>24</v>
      </c>
      <c r="G174" s="1" t="s">
        <v>15</v>
      </c>
      <c r="H174" s="2">
        <v>45094</v>
      </c>
      <c r="I174" s="1">
        <v>480</v>
      </c>
      <c r="J174" s="1">
        <v>147.9</v>
      </c>
      <c r="K174" s="1">
        <v>6.15</v>
      </c>
    </row>
    <row r="175" spans="2:11" x14ac:dyDescent="0.25">
      <c r="B175" s="1" t="s">
        <v>197</v>
      </c>
      <c r="C175" s="1" t="s">
        <v>11</v>
      </c>
      <c r="D175" s="1" t="s">
        <v>18</v>
      </c>
      <c r="E175" s="1" t="s">
        <v>27</v>
      </c>
      <c r="F175" s="1" t="s">
        <v>24</v>
      </c>
      <c r="G175" s="1" t="s">
        <v>28</v>
      </c>
      <c r="H175" s="2">
        <v>45095</v>
      </c>
      <c r="I175" s="1">
        <v>35</v>
      </c>
      <c r="J175" s="1">
        <v>59.01</v>
      </c>
      <c r="K175" s="1">
        <v>103.65</v>
      </c>
    </row>
    <row r="176" spans="2:11" x14ac:dyDescent="0.25">
      <c r="B176" s="1" t="s">
        <v>198</v>
      </c>
      <c r="C176" s="1" t="s">
        <v>48</v>
      </c>
      <c r="D176" s="1" t="s">
        <v>26</v>
      </c>
      <c r="E176" s="1" t="s">
        <v>42</v>
      </c>
      <c r="F176" s="1" t="s">
        <v>24</v>
      </c>
      <c r="G176" s="1" t="s">
        <v>15</v>
      </c>
      <c r="H176" s="2">
        <v>45096</v>
      </c>
      <c r="I176" s="1">
        <v>491</v>
      </c>
      <c r="J176" s="1">
        <v>327</v>
      </c>
      <c r="K176" s="1">
        <v>105.76</v>
      </c>
    </row>
    <row r="177" spans="2:11" x14ac:dyDescent="0.25">
      <c r="B177" s="1" t="s">
        <v>199</v>
      </c>
      <c r="C177" s="1" t="s">
        <v>17</v>
      </c>
      <c r="D177" s="1" t="s">
        <v>26</v>
      </c>
      <c r="E177" s="1" t="s">
        <v>19</v>
      </c>
      <c r="F177" s="1" t="s">
        <v>24</v>
      </c>
      <c r="G177" s="1" t="s">
        <v>20</v>
      </c>
      <c r="H177" s="2">
        <v>45097</v>
      </c>
      <c r="I177" s="1">
        <v>439</v>
      </c>
      <c r="J177" s="1">
        <v>383.77</v>
      </c>
      <c r="K177" s="1">
        <v>29.56</v>
      </c>
    </row>
    <row r="178" spans="2:11" x14ac:dyDescent="0.25">
      <c r="B178" s="1" t="s">
        <v>200</v>
      </c>
      <c r="C178" s="1" t="s">
        <v>22</v>
      </c>
      <c r="D178" s="1" t="s">
        <v>18</v>
      </c>
      <c r="E178" s="1" t="s">
        <v>19</v>
      </c>
      <c r="F178" s="1" t="s">
        <v>14</v>
      </c>
      <c r="G178" s="1" t="s">
        <v>20</v>
      </c>
      <c r="H178" s="2">
        <v>45098</v>
      </c>
      <c r="I178" s="1">
        <v>235</v>
      </c>
      <c r="J178" s="1">
        <v>463.21</v>
      </c>
      <c r="K178" s="1">
        <v>384.01</v>
      </c>
    </row>
    <row r="179" spans="2:11" x14ac:dyDescent="0.25">
      <c r="B179" s="1" t="s">
        <v>201</v>
      </c>
      <c r="C179" s="1" t="s">
        <v>11</v>
      </c>
      <c r="D179" s="1" t="s">
        <v>26</v>
      </c>
      <c r="E179" s="1" t="s">
        <v>13</v>
      </c>
      <c r="F179" s="1" t="s">
        <v>14</v>
      </c>
      <c r="G179" s="1" t="s">
        <v>28</v>
      </c>
      <c r="H179" s="2">
        <v>45099</v>
      </c>
      <c r="I179" s="1">
        <v>294</v>
      </c>
      <c r="J179" s="1">
        <v>221.9</v>
      </c>
      <c r="K179" s="1">
        <v>192.35</v>
      </c>
    </row>
    <row r="180" spans="2:11" x14ac:dyDescent="0.25">
      <c r="B180" s="1" t="s">
        <v>202</v>
      </c>
      <c r="C180" s="1" t="s">
        <v>17</v>
      </c>
      <c r="D180" s="1" t="s">
        <v>18</v>
      </c>
      <c r="E180" s="1" t="s">
        <v>27</v>
      </c>
      <c r="F180" s="1" t="s">
        <v>14</v>
      </c>
      <c r="G180" s="1" t="s">
        <v>15</v>
      </c>
      <c r="H180" s="2">
        <v>45100</v>
      </c>
      <c r="I180" s="1">
        <v>13</v>
      </c>
      <c r="J180" s="1">
        <v>451.18</v>
      </c>
      <c r="K180" s="1">
        <v>358.53</v>
      </c>
    </row>
    <row r="181" spans="2:11" x14ac:dyDescent="0.25">
      <c r="B181" s="1" t="s">
        <v>203</v>
      </c>
      <c r="C181" s="1" t="s">
        <v>17</v>
      </c>
      <c r="D181" s="1" t="s">
        <v>50</v>
      </c>
      <c r="E181" s="1" t="s">
        <v>13</v>
      </c>
      <c r="F181" s="1" t="s">
        <v>14</v>
      </c>
      <c r="G181" s="1" t="s">
        <v>15</v>
      </c>
      <c r="H181" s="2">
        <v>45101</v>
      </c>
      <c r="I181" s="1">
        <v>474</v>
      </c>
      <c r="J181" s="1">
        <v>439.56</v>
      </c>
      <c r="K181" s="1">
        <v>130.24</v>
      </c>
    </row>
    <row r="182" spans="2:11" x14ac:dyDescent="0.25">
      <c r="B182" s="1" t="s">
        <v>204</v>
      </c>
      <c r="C182" s="1" t="s">
        <v>48</v>
      </c>
      <c r="D182" s="1" t="s">
        <v>50</v>
      </c>
      <c r="E182" s="1" t="s">
        <v>27</v>
      </c>
      <c r="F182" s="1" t="s">
        <v>24</v>
      </c>
      <c r="G182" s="1" t="s">
        <v>28</v>
      </c>
      <c r="H182" s="2">
        <v>45102</v>
      </c>
      <c r="I182" s="1">
        <v>108</v>
      </c>
      <c r="J182" s="1">
        <v>162.01</v>
      </c>
      <c r="K182" s="1">
        <v>51.84</v>
      </c>
    </row>
    <row r="183" spans="2:11" x14ac:dyDescent="0.25">
      <c r="B183" s="1" t="s">
        <v>205</v>
      </c>
      <c r="C183" s="1" t="s">
        <v>11</v>
      </c>
      <c r="D183" s="1" t="s">
        <v>18</v>
      </c>
      <c r="E183" s="1" t="s">
        <v>13</v>
      </c>
      <c r="F183" s="1" t="s">
        <v>14</v>
      </c>
      <c r="G183" s="1" t="s">
        <v>20</v>
      </c>
      <c r="H183" s="2">
        <v>45103</v>
      </c>
      <c r="I183" s="1">
        <v>406</v>
      </c>
      <c r="J183" s="1">
        <v>435.11</v>
      </c>
      <c r="K183" s="1">
        <v>190.79</v>
      </c>
    </row>
    <row r="184" spans="2:11" x14ac:dyDescent="0.25">
      <c r="B184" s="1" t="s">
        <v>206</v>
      </c>
      <c r="C184" s="1" t="s">
        <v>11</v>
      </c>
      <c r="D184" s="1" t="s">
        <v>50</v>
      </c>
      <c r="E184" s="1" t="s">
        <v>23</v>
      </c>
      <c r="F184" s="1" t="s">
        <v>14</v>
      </c>
      <c r="G184" s="1" t="s">
        <v>28</v>
      </c>
      <c r="H184" s="2">
        <v>45104</v>
      </c>
      <c r="I184" s="1">
        <v>498</v>
      </c>
      <c r="J184" s="1">
        <v>190.96</v>
      </c>
      <c r="K184" s="1">
        <v>47.35</v>
      </c>
    </row>
    <row r="185" spans="2:11" x14ac:dyDescent="0.25">
      <c r="B185" s="1" t="s">
        <v>207</v>
      </c>
      <c r="C185" s="1" t="s">
        <v>22</v>
      </c>
      <c r="D185" s="1" t="s">
        <v>50</v>
      </c>
      <c r="E185" s="1" t="s">
        <v>23</v>
      </c>
      <c r="F185" s="1" t="s">
        <v>24</v>
      </c>
      <c r="G185" s="1" t="s">
        <v>20</v>
      </c>
      <c r="H185" s="2">
        <v>45105</v>
      </c>
      <c r="I185" s="1">
        <v>48</v>
      </c>
      <c r="J185" s="1">
        <v>151.94999999999999</v>
      </c>
      <c r="K185" s="1">
        <v>195.43</v>
      </c>
    </row>
    <row r="186" spans="2:11" x14ac:dyDescent="0.25">
      <c r="B186" s="1" t="s">
        <v>208</v>
      </c>
      <c r="C186" s="1" t="s">
        <v>11</v>
      </c>
      <c r="D186" s="1" t="s">
        <v>50</v>
      </c>
      <c r="E186" s="1" t="s">
        <v>23</v>
      </c>
      <c r="F186" s="1" t="s">
        <v>14</v>
      </c>
      <c r="G186" s="1" t="s">
        <v>15</v>
      </c>
      <c r="H186" s="2">
        <v>45106</v>
      </c>
      <c r="I186" s="1">
        <v>280</v>
      </c>
      <c r="J186" s="1">
        <v>326.29000000000002</v>
      </c>
      <c r="K186" s="1">
        <v>368.28</v>
      </c>
    </row>
    <row r="187" spans="2:11" x14ac:dyDescent="0.25">
      <c r="B187" s="1" t="s">
        <v>209</v>
      </c>
      <c r="C187" s="1" t="s">
        <v>22</v>
      </c>
      <c r="D187" s="1" t="s">
        <v>31</v>
      </c>
      <c r="E187" s="1" t="s">
        <v>23</v>
      </c>
      <c r="F187" s="1" t="s">
        <v>14</v>
      </c>
      <c r="G187" s="1" t="s">
        <v>20</v>
      </c>
      <c r="H187" s="2">
        <v>45107</v>
      </c>
      <c r="I187" s="1">
        <v>384</v>
      </c>
      <c r="J187" s="1">
        <v>167.55</v>
      </c>
      <c r="K187" s="1">
        <v>209.27</v>
      </c>
    </row>
    <row r="188" spans="2:11" x14ac:dyDescent="0.25">
      <c r="B188" s="1" t="s">
        <v>210</v>
      </c>
      <c r="C188" s="1" t="s">
        <v>11</v>
      </c>
      <c r="D188" s="1" t="s">
        <v>12</v>
      </c>
      <c r="E188" s="1" t="s">
        <v>42</v>
      </c>
      <c r="F188" s="1" t="s">
        <v>14</v>
      </c>
      <c r="G188" s="1" t="s">
        <v>28</v>
      </c>
      <c r="H188" s="2">
        <v>45108</v>
      </c>
      <c r="I188" s="1">
        <v>294</v>
      </c>
      <c r="J188" s="1">
        <v>316.95</v>
      </c>
      <c r="K188" s="1">
        <v>247.37</v>
      </c>
    </row>
    <row r="189" spans="2:11" x14ac:dyDescent="0.25">
      <c r="B189" s="1" t="s">
        <v>211</v>
      </c>
      <c r="C189" s="1" t="s">
        <v>48</v>
      </c>
      <c r="D189" s="1" t="s">
        <v>26</v>
      </c>
      <c r="E189" s="1" t="s">
        <v>23</v>
      </c>
      <c r="F189" s="1" t="s">
        <v>14</v>
      </c>
      <c r="G189" s="1" t="s">
        <v>15</v>
      </c>
      <c r="H189" s="2">
        <v>45109</v>
      </c>
      <c r="I189" s="1">
        <v>166</v>
      </c>
      <c r="J189" s="1">
        <v>306.87</v>
      </c>
      <c r="K189" s="1">
        <v>64.34</v>
      </c>
    </row>
    <row r="190" spans="2:11" x14ac:dyDescent="0.25">
      <c r="B190" s="1" t="s">
        <v>212</v>
      </c>
      <c r="C190" s="1" t="s">
        <v>11</v>
      </c>
      <c r="D190" s="1" t="s">
        <v>31</v>
      </c>
      <c r="E190" s="1" t="s">
        <v>19</v>
      </c>
      <c r="F190" s="1" t="s">
        <v>14</v>
      </c>
      <c r="G190" s="1" t="s">
        <v>28</v>
      </c>
      <c r="H190" s="2">
        <v>45110</v>
      </c>
      <c r="I190" s="1">
        <v>84</v>
      </c>
      <c r="J190" s="1">
        <v>283.89999999999998</v>
      </c>
      <c r="K190" s="1">
        <v>19.41</v>
      </c>
    </row>
    <row r="191" spans="2:11" x14ac:dyDescent="0.25">
      <c r="B191" s="1" t="s">
        <v>213</v>
      </c>
      <c r="C191" s="1" t="s">
        <v>22</v>
      </c>
      <c r="D191" s="1" t="s">
        <v>50</v>
      </c>
      <c r="E191" s="1" t="s">
        <v>19</v>
      </c>
      <c r="F191" s="1" t="s">
        <v>14</v>
      </c>
      <c r="G191" s="1" t="s">
        <v>28</v>
      </c>
      <c r="H191" s="2">
        <v>45111</v>
      </c>
      <c r="I191" s="1">
        <v>381</v>
      </c>
      <c r="J191" s="1">
        <v>193.31</v>
      </c>
      <c r="K191" s="1">
        <v>46.1</v>
      </c>
    </row>
    <row r="192" spans="2:11" x14ac:dyDescent="0.25">
      <c r="B192" s="1" t="s">
        <v>214</v>
      </c>
      <c r="C192" s="1" t="s">
        <v>22</v>
      </c>
      <c r="D192" s="1" t="s">
        <v>18</v>
      </c>
      <c r="E192" s="1" t="s">
        <v>42</v>
      </c>
      <c r="F192" s="1" t="s">
        <v>24</v>
      </c>
      <c r="G192" s="1" t="s">
        <v>20</v>
      </c>
      <c r="H192" s="2">
        <v>45112</v>
      </c>
      <c r="I192" s="1">
        <v>297</v>
      </c>
      <c r="J192" s="1">
        <v>276.51</v>
      </c>
      <c r="K192" s="1">
        <v>240.22</v>
      </c>
    </row>
    <row r="193" spans="2:11" x14ac:dyDescent="0.25">
      <c r="B193" s="1" t="s">
        <v>215</v>
      </c>
      <c r="C193" s="1" t="s">
        <v>48</v>
      </c>
      <c r="D193" s="1" t="s">
        <v>50</v>
      </c>
      <c r="E193" s="1" t="s">
        <v>23</v>
      </c>
      <c r="F193" s="1" t="s">
        <v>24</v>
      </c>
      <c r="G193" s="1" t="s">
        <v>28</v>
      </c>
      <c r="H193" s="2">
        <v>45113</v>
      </c>
      <c r="I193" s="1">
        <v>139</v>
      </c>
      <c r="J193" s="1">
        <v>300.26</v>
      </c>
      <c r="K193" s="1">
        <v>39.81</v>
      </c>
    </row>
    <row r="194" spans="2:11" x14ac:dyDescent="0.25">
      <c r="B194" s="1" t="s">
        <v>216</v>
      </c>
      <c r="C194" s="1" t="s">
        <v>11</v>
      </c>
      <c r="D194" s="1" t="s">
        <v>12</v>
      </c>
      <c r="E194" s="1" t="s">
        <v>23</v>
      </c>
      <c r="F194" s="1" t="s">
        <v>14</v>
      </c>
      <c r="G194" s="1" t="s">
        <v>20</v>
      </c>
      <c r="H194" s="2">
        <v>45114</v>
      </c>
      <c r="I194" s="1">
        <v>184</v>
      </c>
      <c r="J194" s="1">
        <v>275.12</v>
      </c>
      <c r="K194" s="1">
        <v>151.65</v>
      </c>
    </row>
    <row r="195" spans="2:11" x14ac:dyDescent="0.25">
      <c r="B195" s="1" t="s">
        <v>217</v>
      </c>
      <c r="C195" s="1" t="s">
        <v>11</v>
      </c>
      <c r="D195" s="1" t="s">
        <v>50</v>
      </c>
      <c r="E195" s="1" t="s">
        <v>23</v>
      </c>
      <c r="F195" s="1" t="s">
        <v>14</v>
      </c>
      <c r="G195" s="1" t="s">
        <v>15</v>
      </c>
      <c r="H195" s="2">
        <v>45115</v>
      </c>
      <c r="I195" s="1">
        <v>471</v>
      </c>
      <c r="J195" s="1">
        <v>224.99</v>
      </c>
      <c r="K195" s="1">
        <v>220.94</v>
      </c>
    </row>
    <row r="196" spans="2:11" x14ac:dyDescent="0.25">
      <c r="B196" s="1" t="s">
        <v>218</v>
      </c>
      <c r="C196" s="1" t="s">
        <v>48</v>
      </c>
      <c r="D196" s="1" t="s">
        <v>18</v>
      </c>
      <c r="E196" s="1" t="s">
        <v>13</v>
      </c>
      <c r="F196" s="1" t="s">
        <v>24</v>
      </c>
      <c r="G196" s="1" t="s">
        <v>20</v>
      </c>
      <c r="H196" s="2">
        <v>45116</v>
      </c>
      <c r="I196" s="1">
        <v>93</v>
      </c>
      <c r="J196" s="1">
        <v>12.26</v>
      </c>
      <c r="K196" s="1">
        <v>156.68</v>
      </c>
    </row>
    <row r="197" spans="2:11" x14ac:dyDescent="0.25">
      <c r="B197" s="1" t="s">
        <v>219</v>
      </c>
      <c r="C197" s="1" t="s">
        <v>11</v>
      </c>
      <c r="D197" s="1" t="s">
        <v>12</v>
      </c>
      <c r="E197" s="1" t="s">
        <v>27</v>
      </c>
      <c r="F197" s="1" t="s">
        <v>14</v>
      </c>
      <c r="G197" s="1" t="s">
        <v>15</v>
      </c>
      <c r="H197" s="2">
        <v>45117</v>
      </c>
      <c r="I197" s="1">
        <v>31</v>
      </c>
      <c r="J197" s="1">
        <v>295.60000000000002</v>
      </c>
      <c r="K197" s="1">
        <v>67.150000000000006</v>
      </c>
    </row>
    <row r="198" spans="2:11" x14ac:dyDescent="0.25">
      <c r="B198" s="1" t="s">
        <v>220</v>
      </c>
      <c r="C198" s="1" t="s">
        <v>11</v>
      </c>
      <c r="D198" s="1" t="s">
        <v>50</v>
      </c>
      <c r="E198" s="1" t="s">
        <v>13</v>
      </c>
      <c r="F198" s="1" t="s">
        <v>14</v>
      </c>
      <c r="G198" s="1" t="s">
        <v>20</v>
      </c>
      <c r="H198" s="2">
        <v>45118</v>
      </c>
      <c r="I198" s="1">
        <v>468</v>
      </c>
      <c r="J198" s="1">
        <v>88.38</v>
      </c>
      <c r="K198" s="1">
        <v>110.97</v>
      </c>
    </row>
    <row r="199" spans="2:11" x14ac:dyDescent="0.25">
      <c r="B199" s="1" t="s">
        <v>221</v>
      </c>
      <c r="C199" s="1" t="s">
        <v>22</v>
      </c>
      <c r="D199" s="1" t="s">
        <v>12</v>
      </c>
      <c r="E199" s="1" t="s">
        <v>27</v>
      </c>
      <c r="F199" s="1" t="s">
        <v>14</v>
      </c>
      <c r="G199" s="1" t="s">
        <v>28</v>
      </c>
      <c r="H199" s="2">
        <v>45119</v>
      </c>
      <c r="I199" s="1">
        <v>36</v>
      </c>
      <c r="J199" s="1">
        <v>323.08</v>
      </c>
      <c r="K199" s="1">
        <v>371.47</v>
      </c>
    </row>
    <row r="200" spans="2:11" x14ac:dyDescent="0.25">
      <c r="B200" s="1" t="s">
        <v>222</v>
      </c>
      <c r="C200" s="1" t="s">
        <v>11</v>
      </c>
      <c r="D200" s="1" t="s">
        <v>26</v>
      </c>
      <c r="E200" s="1" t="s">
        <v>23</v>
      </c>
      <c r="F200" s="1" t="s">
        <v>24</v>
      </c>
      <c r="G200" s="1" t="s">
        <v>20</v>
      </c>
      <c r="H200" s="2">
        <v>45120</v>
      </c>
      <c r="I200" s="1">
        <v>204</v>
      </c>
      <c r="J200" s="1">
        <v>380.88</v>
      </c>
      <c r="K200" s="1">
        <v>271.04000000000002</v>
      </c>
    </row>
    <row r="201" spans="2:11" x14ac:dyDescent="0.25">
      <c r="B201" s="1" t="s">
        <v>223</v>
      </c>
      <c r="C201" s="1" t="s">
        <v>11</v>
      </c>
      <c r="D201" s="1" t="s">
        <v>26</v>
      </c>
      <c r="E201" s="1" t="s">
        <v>23</v>
      </c>
      <c r="F201" s="1" t="s">
        <v>14</v>
      </c>
      <c r="G201" s="1" t="s">
        <v>20</v>
      </c>
      <c r="H201" s="2">
        <v>45121</v>
      </c>
      <c r="I201" s="1">
        <v>346</v>
      </c>
      <c r="J201" s="1">
        <v>252.72</v>
      </c>
      <c r="K201" s="1">
        <v>199.43</v>
      </c>
    </row>
    <row r="202" spans="2:11" x14ac:dyDescent="0.25">
      <c r="B202" s="1" t="s">
        <v>224</v>
      </c>
      <c r="C202" s="1" t="s">
        <v>48</v>
      </c>
      <c r="D202" s="1" t="s">
        <v>50</v>
      </c>
      <c r="E202" s="1" t="s">
        <v>13</v>
      </c>
      <c r="F202" s="1" t="s">
        <v>24</v>
      </c>
      <c r="G202" s="1" t="s">
        <v>15</v>
      </c>
      <c r="H202" s="2">
        <v>45122</v>
      </c>
      <c r="I202" s="1">
        <v>391</v>
      </c>
      <c r="J202" s="1">
        <v>273.47000000000003</v>
      </c>
      <c r="K202" s="1">
        <v>7.06</v>
      </c>
    </row>
    <row r="203" spans="2:11" x14ac:dyDescent="0.25">
      <c r="B203" s="1" t="s">
        <v>225</v>
      </c>
      <c r="C203" s="1" t="s">
        <v>48</v>
      </c>
      <c r="D203" s="1" t="s">
        <v>12</v>
      </c>
      <c r="E203" s="1" t="s">
        <v>13</v>
      </c>
      <c r="F203" s="1" t="s">
        <v>14</v>
      </c>
      <c r="G203" s="1" t="s">
        <v>28</v>
      </c>
      <c r="H203" s="2">
        <v>45123</v>
      </c>
      <c r="I203" s="1">
        <v>245</v>
      </c>
      <c r="J203" s="1">
        <v>475.98</v>
      </c>
      <c r="K203" s="1">
        <v>396.98</v>
      </c>
    </row>
    <row r="204" spans="2:11" x14ac:dyDescent="0.25">
      <c r="B204" s="1" t="s">
        <v>226</v>
      </c>
      <c r="C204" s="1" t="s">
        <v>17</v>
      </c>
      <c r="D204" s="1" t="s">
        <v>18</v>
      </c>
      <c r="E204" s="1" t="s">
        <v>27</v>
      </c>
      <c r="F204" s="1" t="s">
        <v>24</v>
      </c>
      <c r="G204" s="1" t="s">
        <v>20</v>
      </c>
      <c r="H204" s="2">
        <v>45124</v>
      </c>
      <c r="I204" s="1">
        <v>449</v>
      </c>
      <c r="J204" s="1">
        <v>424.35</v>
      </c>
      <c r="K204" s="1">
        <v>269.24</v>
      </c>
    </row>
    <row r="205" spans="2:11" x14ac:dyDescent="0.25">
      <c r="B205" s="1" t="s">
        <v>227</v>
      </c>
      <c r="C205" s="1" t="s">
        <v>22</v>
      </c>
      <c r="D205" s="1" t="s">
        <v>50</v>
      </c>
      <c r="E205" s="1" t="s">
        <v>19</v>
      </c>
      <c r="F205" s="1" t="s">
        <v>24</v>
      </c>
      <c r="G205" s="1" t="s">
        <v>28</v>
      </c>
      <c r="H205" s="2">
        <v>45125</v>
      </c>
      <c r="I205" s="1">
        <v>101</v>
      </c>
      <c r="J205" s="1">
        <v>457.55</v>
      </c>
      <c r="K205" s="1">
        <v>128.13999999999999</v>
      </c>
    </row>
    <row r="206" spans="2:11" x14ac:dyDescent="0.25">
      <c r="B206" s="1" t="s">
        <v>228</v>
      </c>
      <c r="C206" s="1" t="s">
        <v>11</v>
      </c>
      <c r="D206" s="1" t="s">
        <v>26</v>
      </c>
      <c r="E206" s="1" t="s">
        <v>27</v>
      </c>
      <c r="F206" s="1" t="s">
        <v>14</v>
      </c>
      <c r="G206" s="1" t="s">
        <v>20</v>
      </c>
      <c r="H206" s="2">
        <v>45126</v>
      </c>
      <c r="I206" s="1"/>
      <c r="J206" s="1">
        <v>407.81</v>
      </c>
      <c r="K206" s="1">
        <v>351.95</v>
      </c>
    </row>
    <row r="207" spans="2:11" x14ac:dyDescent="0.25">
      <c r="B207" s="1" t="s">
        <v>229</v>
      </c>
      <c r="C207" s="1" t="s">
        <v>11</v>
      </c>
      <c r="D207" s="1" t="s">
        <v>26</v>
      </c>
      <c r="E207" s="1" t="s">
        <v>13</v>
      </c>
      <c r="F207" s="1" t="s">
        <v>24</v>
      </c>
      <c r="G207" s="1" t="s">
        <v>20</v>
      </c>
      <c r="H207" s="2">
        <v>45127</v>
      </c>
      <c r="I207" s="1">
        <v>30</v>
      </c>
      <c r="J207" s="1">
        <v>58.91</v>
      </c>
      <c r="K207" s="1">
        <v>104.86</v>
      </c>
    </row>
    <row r="208" spans="2:11" x14ac:dyDescent="0.25">
      <c r="B208" s="1" t="s">
        <v>230</v>
      </c>
      <c r="C208" s="1" t="s">
        <v>17</v>
      </c>
      <c r="D208" s="1" t="s">
        <v>50</v>
      </c>
      <c r="E208" s="1" t="s">
        <v>13</v>
      </c>
      <c r="F208" s="1" t="s">
        <v>14</v>
      </c>
      <c r="G208" s="1" t="s">
        <v>28</v>
      </c>
      <c r="H208" s="2">
        <v>45128</v>
      </c>
      <c r="I208" s="1">
        <v>312</v>
      </c>
      <c r="J208" s="1">
        <v>78.75</v>
      </c>
      <c r="K208" s="1">
        <v>218.52</v>
      </c>
    </row>
    <row r="209" spans="2:11" x14ac:dyDescent="0.25">
      <c r="B209" s="1" t="s">
        <v>231</v>
      </c>
      <c r="C209" s="1" t="s">
        <v>11</v>
      </c>
      <c r="D209" s="1" t="s">
        <v>12</v>
      </c>
      <c r="E209" s="1" t="s">
        <v>42</v>
      </c>
      <c r="F209" s="1" t="s">
        <v>24</v>
      </c>
      <c r="G209" s="1" t="s">
        <v>20</v>
      </c>
      <c r="H209" s="2">
        <v>45129</v>
      </c>
      <c r="I209" s="1">
        <v>473</v>
      </c>
      <c r="J209" s="1">
        <v>265.68</v>
      </c>
      <c r="K209" s="1">
        <v>255.16</v>
      </c>
    </row>
    <row r="210" spans="2:11" x14ac:dyDescent="0.25">
      <c r="B210" s="1" t="s">
        <v>232</v>
      </c>
      <c r="C210" s="1" t="s">
        <v>22</v>
      </c>
      <c r="D210" s="1" t="s">
        <v>26</v>
      </c>
      <c r="E210" s="1" t="s">
        <v>13</v>
      </c>
      <c r="F210" s="1" t="s">
        <v>14</v>
      </c>
      <c r="G210" s="1" t="s">
        <v>28</v>
      </c>
      <c r="H210" s="2">
        <v>45130</v>
      </c>
      <c r="I210" s="1">
        <v>366</v>
      </c>
      <c r="J210" s="1">
        <v>126.8</v>
      </c>
      <c r="K210" s="1">
        <v>89.98</v>
      </c>
    </row>
    <row r="211" spans="2:11" x14ac:dyDescent="0.25">
      <c r="B211" s="1" t="s">
        <v>233</v>
      </c>
      <c r="C211" s="1" t="s">
        <v>17</v>
      </c>
      <c r="D211" s="1" t="s">
        <v>12</v>
      </c>
      <c r="E211" s="1" t="s">
        <v>42</v>
      </c>
      <c r="F211" s="1" t="s">
        <v>14</v>
      </c>
      <c r="G211" s="1" t="s">
        <v>20</v>
      </c>
      <c r="H211" s="2">
        <v>45131</v>
      </c>
      <c r="I211" s="1">
        <v>452</v>
      </c>
      <c r="J211" s="1">
        <v>240.96</v>
      </c>
      <c r="K211" s="1">
        <v>391.4</v>
      </c>
    </row>
    <row r="212" spans="2:11" x14ac:dyDescent="0.25">
      <c r="B212" s="1" t="s">
        <v>234</v>
      </c>
      <c r="C212" s="1" t="s">
        <v>22</v>
      </c>
      <c r="D212" s="1" t="s">
        <v>26</v>
      </c>
      <c r="E212" s="1" t="s">
        <v>19</v>
      </c>
      <c r="F212" s="1" t="s">
        <v>24</v>
      </c>
      <c r="G212" s="1" t="s">
        <v>15</v>
      </c>
      <c r="H212" s="2">
        <v>45132</v>
      </c>
      <c r="I212" s="1">
        <v>93</v>
      </c>
      <c r="J212" s="1">
        <v>200.21</v>
      </c>
      <c r="K212" s="1">
        <v>299.77999999999997</v>
      </c>
    </row>
    <row r="213" spans="2:11" x14ac:dyDescent="0.25">
      <c r="B213" s="1" t="s">
        <v>235</v>
      </c>
      <c r="C213" s="1" t="s">
        <v>17</v>
      </c>
      <c r="D213" s="1" t="s">
        <v>26</v>
      </c>
      <c r="E213" s="1" t="s">
        <v>27</v>
      </c>
      <c r="F213" s="1" t="s">
        <v>14</v>
      </c>
      <c r="G213" s="1" t="s">
        <v>28</v>
      </c>
      <c r="H213" s="2">
        <v>45133</v>
      </c>
      <c r="I213" s="1">
        <v>271</v>
      </c>
      <c r="J213" s="1">
        <v>276.95999999999998</v>
      </c>
      <c r="K213" s="1">
        <v>224.01</v>
      </c>
    </row>
    <row r="214" spans="2:11" x14ac:dyDescent="0.25">
      <c r="B214" s="1" t="s">
        <v>236</v>
      </c>
      <c r="C214" s="1" t="s">
        <v>17</v>
      </c>
      <c r="D214" s="1" t="s">
        <v>31</v>
      </c>
      <c r="E214" s="1" t="s">
        <v>27</v>
      </c>
      <c r="F214" s="1" t="s">
        <v>14</v>
      </c>
      <c r="G214" s="1" t="s">
        <v>20</v>
      </c>
      <c r="H214" s="2">
        <v>45134</v>
      </c>
      <c r="I214" s="1">
        <v>156</v>
      </c>
      <c r="J214" s="1">
        <v>374.7</v>
      </c>
      <c r="K214" s="1">
        <v>73.88</v>
      </c>
    </row>
    <row r="215" spans="2:11" x14ac:dyDescent="0.25">
      <c r="B215" s="1" t="s">
        <v>237</v>
      </c>
      <c r="C215" s="1" t="s">
        <v>48</v>
      </c>
      <c r="D215" s="1" t="s">
        <v>26</v>
      </c>
      <c r="E215" s="1" t="s">
        <v>42</v>
      </c>
      <c r="F215" s="1" t="s">
        <v>24</v>
      </c>
      <c r="G215" s="1" t="s">
        <v>20</v>
      </c>
      <c r="H215" s="2">
        <v>45135</v>
      </c>
      <c r="I215" s="1">
        <v>450</v>
      </c>
      <c r="J215" s="1">
        <v>359.17</v>
      </c>
      <c r="K215" s="1">
        <v>23.44</v>
      </c>
    </row>
    <row r="216" spans="2:11" x14ac:dyDescent="0.25">
      <c r="B216" s="1" t="s">
        <v>238</v>
      </c>
      <c r="C216" s="1" t="s">
        <v>22</v>
      </c>
      <c r="D216" s="1" t="s">
        <v>18</v>
      </c>
      <c r="E216" s="1" t="s">
        <v>27</v>
      </c>
      <c r="F216" s="1" t="s">
        <v>14</v>
      </c>
      <c r="G216" s="1" t="s">
        <v>15</v>
      </c>
      <c r="H216" s="2">
        <v>45136</v>
      </c>
      <c r="I216" s="1">
        <v>462</v>
      </c>
      <c r="J216" s="1">
        <v>263.01</v>
      </c>
      <c r="K216" s="1">
        <v>129.38</v>
      </c>
    </row>
    <row r="217" spans="2:11" x14ac:dyDescent="0.25">
      <c r="B217" s="1" t="s">
        <v>239</v>
      </c>
      <c r="C217" s="1" t="s">
        <v>11</v>
      </c>
      <c r="D217" s="1" t="s">
        <v>50</v>
      </c>
      <c r="E217" s="1"/>
      <c r="F217" s="1" t="s">
        <v>14</v>
      </c>
      <c r="G217" s="1" t="s">
        <v>28</v>
      </c>
      <c r="H217" s="2">
        <v>45137</v>
      </c>
      <c r="I217" s="1">
        <v>396</v>
      </c>
      <c r="J217" s="1">
        <v>412.08</v>
      </c>
      <c r="K217" s="1">
        <v>301.77</v>
      </c>
    </row>
    <row r="218" spans="2:11" x14ac:dyDescent="0.25">
      <c r="B218" s="1" t="s">
        <v>240</v>
      </c>
      <c r="C218" s="1" t="s">
        <v>11</v>
      </c>
      <c r="D218" s="1" t="s">
        <v>50</v>
      </c>
      <c r="E218" s="1" t="s">
        <v>23</v>
      </c>
      <c r="F218" s="1" t="s">
        <v>24</v>
      </c>
      <c r="G218" s="1" t="s">
        <v>20</v>
      </c>
      <c r="H218" s="2">
        <v>45138</v>
      </c>
      <c r="I218" s="1">
        <v>266</v>
      </c>
      <c r="J218" s="1">
        <v>218.28</v>
      </c>
      <c r="K218" s="1">
        <v>109.19</v>
      </c>
    </row>
    <row r="219" spans="2:11" x14ac:dyDescent="0.25">
      <c r="B219" s="1" t="s">
        <v>241</v>
      </c>
      <c r="C219" s="1" t="s">
        <v>22</v>
      </c>
      <c r="D219" s="1" t="s">
        <v>12</v>
      </c>
      <c r="E219" s="1" t="s">
        <v>42</v>
      </c>
      <c r="F219" s="1" t="s">
        <v>24</v>
      </c>
      <c r="G219" s="1" t="s">
        <v>15</v>
      </c>
      <c r="H219" s="2">
        <v>45139</v>
      </c>
      <c r="I219" s="1">
        <v>67</v>
      </c>
      <c r="J219" s="1">
        <v>448.87</v>
      </c>
      <c r="K219" s="1">
        <v>216.74</v>
      </c>
    </row>
    <row r="220" spans="2:11" x14ac:dyDescent="0.25">
      <c r="B220" s="1" t="s">
        <v>242</v>
      </c>
      <c r="C220" s="1" t="s">
        <v>11</v>
      </c>
      <c r="D220" s="1" t="s">
        <v>26</v>
      </c>
      <c r="E220" s="1" t="s">
        <v>27</v>
      </c>
      <c r="F220" s="1" t="s">
        <v>14</v>
      </c>
      <c r="G220" s="1" t="s">
        <v>20</v>
      </c>
      <c r="H220" s="2">
        <v>45140</v>
      </c>
      <c r="I220" s="1">
        <v>389</v>
      </c>
      <c r="J220" s="1">
        <v>40.28</v>
      </c>
      <c r="K220" s="1">
        <v>291.72000000000003</v>
      </c>
    </row>
    <row r="221" spans="2:11" x14ac:dyDescent="0.25">
      <c r="B221" s="1" t="s">
        <v>243</v>
      </c>
      <c r="C221" s="1" t="s">
        <v>11</v>
      </c>
      <c r="D221" s="1" t="s">
        <v>18</v>
      </c>
      <c r="E221" s="1" t="s">
        <v>42</v>
      </c>
      <c r="F221" s="1" t="s">
        <v>14</v>
      </c>
      <c r="G221" s="1" t="s">
        <v>28</v>
      </c>
      <c r="H221" s="2">
        <v>45141</v>
      </c>
      <c r="I221" s="1">
        <v>431</v>
      </c>
      <c r="J221" s="1">
        <v>477.56</v>
      </c>
      <c r="K221" s="1">
        <v>44.96</v>
      </c>
    </row>
    <row r="222" spans="2:11" x14ac:dyDescent="0.25">
      <c r="B222" s="1" t="s">
        <v>244</v>
      </c>
      <c r="C222" s="1" t="s">
        <v>22</v>
      </c>
      <c r="D222" s="1" t="s">
        <v>12</v>
      </c>
      <c r="E222" s="1" t="s">
        <v>42</v>
      </c>
      <c r="F222" s="1" t="s">
        <v>24</v>
      </c>
      <c r="G222" s="1" t="s">
        <v>20</v>
      </c>
      <c r="H222" s="2">
        <v>45142</v>
      </c>
      <c r="I222" s="1">
        <v>24</v>
      </c>
      <c r="J222" s="1">
        <v>329.07</v>
      </c>
      <c r="K222" s="1">
        <v>274.75</v>
      </c>
    </row>
    <row r="223" spans="2:11" x14ac:dyDescent="0.25">
      <c r="B223" s="1" t="s">
        <v>245</v>
      </c>
      <c r="C223" s="1" t="s">
        <v>17</v>
      </c>
      <c r="D223" s="1" t="s">
        <v>31</v>
      </c>
      <c r="E223" s="1" t="s">
        <v>23</v>
      </c>
      <c r="F223" s="1" t="s">
        <v>24</v>
      </c>
      <c r="G223" s="1" t="s">
        <v>20</v>
      </c>
      <c r="H223" s="2">
        <v>45143</v>
      </c>
      <c r="I223" s="1">
        <v>171</v>
      </c>
      <c r="J223" s="1">
        <v>193.14</v>
      </c>
      <c r="K223" s="1">
        <v>38.56</v>
      </c>
    </row>
    <row r="224" spans="2:11" x14ac:dyDescent="0.25">
      <c r="B224" s="1" t="s">
        <v>246</v>
      </c>
      <c r="C224" s="1" t="s">
        <v>22</v>
      </c>
      <c r="D224" s="1" t="s">
        <v>12</v>
      </c>
      <c r="E224" s="1" t="s">
        <v>13</v>
      </c>
      <c r="F224" s="1" t="s">
        <v>14</v>
      </c>
      <c r="G224" s="1" t="s">
        <v>20</v>
      </c>
      <c r="H224" s="2">
        <v>45144</v>
      </c>
      <c r="I224" s="1">
        <v>454</v>
      </c>
      <c r="J224" s="1">
        <v>102.59</v>
      </c>
      <c r="K224" s="1">
        <v>386.12</v>
      </c>
    </row>
    <row r="225" spans="2:11" x14ac:dyDescent="0.25">
      <c r="B225" s="1" t="s">
        <v>247</v>
      </c>
      <c r="C225" s="1" t="s">
        <v>17</v>
      </c>
      <c r="D225" s="1" t="s">
        <v>12</v>
      </c>
      <c r="E225" s="1" t="s">
        <v>42</v>
      </c>
      <c r="F225" s="1" t="s">
        <v>24</v>
      </c>
      <c r="G225" s="1" t="s">
        <v>20</v>
      </c>
      <c r="H225" s="2">
        <v>45145</v>
      </c>
      <c r="I225" s="1">
        <v>172</v>
      </c>
      <c r="J225" s="1">
        <v>242.2</v>
      </c>
      <c r="K225" s="1">
        <v>196.38</v>
      </c>
    </row>
    <row r="226" spans="2:11" x14ac:dyDescent="0.25">
      <c r="B226" s="1" t="s">
        <v>248</v>
      </c>
      <c r="C226" s="1" t="s">
        <v>11</v>
      </c>
      <c r="D226" s="1" t="s">
        <v>26</v>
      </c>
      <c r="E226" s="1" t="s">
        <v>27</v>
      </c>
      <c r="F226" s="1" t="s">
        <v>14</v>
      </c>
      <c r="G226" s="1" t="s">
        <v>15</v>
      </c>
      <c r="H226" s="2">
        <v>45146</v>
      </c>
      <c r="I226" s="1">
        <v>329</v>
      </c>
      <c r="J226" s="1">
        <v>101.31</v>
      </c>
      <c r="K226" s="1">
        <v>61.97</v>
      </c>
    </row>
    <row r="227" spans="2:11" x14ac:dyDescent="0.25">
      <c r="B227" s="1" t="s">
        <v>249</v>
      </c>
      <c r="C227" s="1" t="s">
        <v>11</v>
      </c>
      <c r="D227" s="1" t="s">
        <v>31</v>
      </c>
      <c r="E227" s="1" t="s">
        <v>19</v>
      </c>
      <c r="F227" s="1" t="s">
        <v>14</v>
      </c>
      <c r="G227" s="1" t="s">
        <v>15</v>
      </c>
      <c r="H227" s="2">
        <v>45147</v>
      </c>
      <c r="I227" s="1">
        <v>290</v>
      </c>
      <c r="J227" s="1">
        <v>87.33</v>
      </c>
      <c r="K227" s="1">
        <v>138.27000000000001</v>
      </c>
    </row>
    <row r="228" spans="2:11" x14ac:dyDescent="0.25">
      <c r="B228" s="1" t="s">
        <v>250</v>
      </c>
      <c r="C228" s="1"/>
      <c r="D228" s="1" t="s">
        <v>12</v>
      </c>
      <c r="E228" s="1" t="s">
        <v>42</v>
      </c>
      <c r="F228" s="1" t="s">
        <v>14</v>
      </c>
      <c r="G228" s="1" t="s">
        <v>28</v>
      </c>
      <c r="H228" s="2">
        <v>45148</v>
      </c>
      <c r="I228" s="1">
        <v>289</v>
      </c>
      <c r="J228" s="1">
        <v>310.58999999999997</v>
      </c>
      <c r="K228" s="1">
        <v>166.54</v>
      </c>
    </row>
    <row r="229" spans="2:11" x14ac:dyDescent="0.25">
      <c r="B229" s="1" t="s">
        <v>251</v>
      </c>
      <c r="C229" s="1" t="s">
        <v>48</v>
      </c>
      <c r="D229" s="1" t="s">
        <v>18</v>
      </c>
      <c r="E229" s="1" t="s">
        <v>42</v>
      </c>
      <c r="F229" s="1" t="s">
        <v>14</v>
      </c>
      <c r="G229" s="1" t="s">
        <v>15</v>
      </c>
      <c r="H229" s="2">
        <v>45149</v>
      </c>
      <c r="I229" s="1">
        <v>21</v>
      </c>
      <c r="J229" s="1">
        <v>263.93</v>
      </c>
      <c r="K229" s="1">
        <v>303.76</v>
      </c>
    </row>
    <row r="230" spans="2:11" x14ac:dyDescent="0.25">
      <c r="B230" s="1" t="s">
        <v>252</v>
      </c>
      <c r="C230" s="1" t="s">
        <v>17</v>
      </c>
      <c r="D230" s="1" t="s">
        <v>18</v>
      </c>
      <c r="E230" s="1" t="s">
        <v>23</v>
      </c>
      <c r="F230" s="1" t="s">
        <v>14</v>
      </c>
      <c r="G230" s="1" t="s">
        <v>15</v>
      </c>
      <c r="H230" s="2">
        <v>45150</v>
      </c>
      <c r="I230" s="1">
        <v>283</v>
      </c>
      <c r="J230" s="1">
        <v>336.7</v>
      </c>
      <c r="K230" s="1">
        <v>297.88</v>
      </c>
    </row>
    <row r="231" spans="2:11" x14ac:dyDescent="0.25">
      <c r="B231" s="1" t="s">
        <v>253</v>
      </c>
      <c r="C231" s="1" t="s">
        <v>48</v>
      </c>
      <c r="D231" s="1" t="s">
        <v>50</v>
      </c>
      <c r="E231" s="1" t="s">
        <v>13</v>
      </c>
      <c r="F231" s="1" t="s">
        <v>24</v>
      </c>
      <c r="G231" s="1" t="s">
        <v>28</v>
      </c>
      <c r="H231" s="2">
        <v>45151</v>
      </c>
      <c r="I231" s="1">
        <v>280</v>
      </c>
      <c r="J231" s="1">
        <v>465.15</v>
      </c>
      <c r="K231" s="1">
        <v>245.55</v>
      </c>
    </row>
    <row r="232" spans="2:11" x14ac:dyDescent="0.25">
      <c r="B232" s="1" t="s">
        <v>254</v>
      </c>
      <c r="C232" s="1" t="s">
        <v>48</v>
      </c>
      <c r="D232" s="1" t="s">
        <v>31</v>
      </c>
      <c r="E232" s="1" t="s">
        <v>19</v>
      </c>
      <c r="F232" s="1" t="s">
        <v>24</v>
      </c>
      <c r="G232" s="1" t="s">
        <v>15</v>
      </c>
      <c r="H232" s="2">
        <v>45152</v>
      </c>
      <c r="I232" s="1">
        <v>217</v>
      </c>
      <c r="J232" s="1">
        <v>268.47000000000003</v>
      </c>
      <c r="K232" s="1">
        <v>44.16</v>
      </c>
    </row>
    <row r="233" spans="2:11" x14ac:dyDescent="0.25">
      <c r="B233" s="1" t="s">
        <v>255</v>
      </c>
      <c r="C233" s="1" t="s">
        <v>22</v>
      </c>
      <c r="D233" s="1" t="s">
        <v>31</v>
      </c>
      <c r="E233" s="1" t="s">
        <v>27</v>
      </c>
      <c r="F233" s="1" t="s">
        <v>24</v>
      </c>
      <c r="G233" s="1" t="s">
        <v>15</v>
      </c>
      <c r="H233" s="2">
        <v>45153</v>
      </c>
      <c r="I233" s="1">
        <v>36</v>
      </c>
      <c r="J233" s="1">
        <v>292.56</v>
      </c>
      <c r="K233" s="1">
        <v>62.32</v>
      </c>
    </row>
    <row r="234" spans="2:11" x14ac:dyDescent="0.25">
      <c r="B234" s="1" t="s">
        <v>256</v>
      </c>
      <c r="C234" s="1" t="s">
        <v>48</v>
      </c>
      <c r="D234" s="1" t="s">
        <v>50</v>
      </c>
      <c r="E234" s="1" t="s">
        <v>19</v>
      </c>
      <c r="F234" s="1" t="s">
        <v>24</v>
      </c>
      <c r="G234" s="1" t="s">
        <v>28</v>
      </c>
      <c r="H234" s="2">
        <v>45154</v>
      </c>
      <c r="I234" s="1"/>
      <c r="J234" s="1">
        <v>49.37</v>
      </c>
      <c r="K234" s="1">
        <v>39.32</v>
      </c>
    </row>
    <row r="235" spans="2:11" x14ac:dyDescent="0.25">
      <c r="B235" s="1" t="s">
        <v>257</v>
      </c>
      <c r="C235" s="1" t="s">
        <v>22</v>
      </c>
      <c r="D235" s="1" t="s">
        <v>12</v>
      </c>
      <c r="E235" s="1" t="s">
        <v>27</v>
      </c>
      <c r="F235" s="1" t="s">
        <v>14</v>
      </c>
      <c r="G235" s="1" t="s">
        <v>28</v>
      </c>
      <c r="H235" s="2">
        <v>45155</v>
      </c>
      <c r="I235" s="1">
        <v>69</v>
      </c>
      <c r="J235" s="1">
        <v>360.23</v>
      </c>
      <c r="K235" s="1">
        <v>231.71</v>
      </c>
    </row>
    <row r="236" spans="2:11" x14ac:dyDescent="0.25">
      <c r="B236" s="1" t="s">
        <v>258</v>
      </c>
      <c r="C236" s="1" t="s">
        <v>22</v>
      </c>
      <c r="D236" s="1" t="s">
        <v>31</v>
      </c>
      <c r="E236" s="1" t="s">
        <v>13</v>
      </c>
      <c r="F236" s="1" t="s">
        <v>14</v>
      </c>
      <c r="G236" s="1" t="s">
        <v>28</v>
      </c>
      <c r="H236" s="2">
        <v>45156</v>
      </c>
      <c r="I236" s="1">
        <v>439</v>
      </c>
      <c r="J236" s="1">
        <v>202.95</v>
      </c>
      <c r="K236" s="1">
        <v>351.1</v>
      </c>
    </row>
    <row r="237" spans="2:11" x14ac:dyDescent="0.25">
      <c r="B237" s="1" t="s">
        <v>259</v>
      </c>
      <c r="C237" s="1" t="s">
        <v>48</v>
      </c>
      <c r="D237" s="1" t="s">
        <v>18</v>
      </c>
      <c r="E237" s="1" t="s">
        <v>27</v>
      </c>
      <c r="F237" s="1" t="s">
        <v>14</v>
      </c>
      <c r="G237" s="1" t="s">
        <v>20</v>
      </c>
      <c r="H237" s="2">
        <v>45157</v>
      </c>
      <c r="I237" s="1">
        <v>482</v>
      </c>
      <c r="J237" s="1">
        <v>488.48</v>
      </c>
      <c r="K237" s="1">
        <v>174.65</v>
      </c>
    </row>
    <row r="238" spans="2:11" x14ac:dyDescent="0.25">
      <c r="B238" s="1" t="s">
        <v>260</v>
      </c>
      <c r="C238" s="1" t="s">
        <v>17</v>
      </c>
      <c r="D238" s="1" t="s">
        <v>18</v>
      </c>
      <c r="E238" s="1" t="s">
        <v>23</v>
      </c>
      <c r="F238" s="1" t="s">
        <v>14</v>
      </c>
      <c r="G238" s="1" t="s">
        <v>20</v>
      </c>
      <c r="H238" s="2">
        <v>45158</v>
      </c>
      <c r="I238" s="1">
        <v>154</v>
      </c>
      <c r="J238" s="1">
        <v>412.47</v>
      </c>
      <c r="K238" s="1">
        <v>66.02</v>
      </c>
    </row>
    <row r="239" spans="2:11" x14ac:dyDescent="0.25">
      <c r="B239" s="1" t="s">
        <v>261</v>
      </c>
      <c r="C239" s="1" t="s">
        <v>17</v>
      </c>
      <c r="D239" s="1" t="s">
        <v>26</v>
      </c>
      <c r="E239" s="1" t="s">
        <v>23</v>
      </c>
      <c r="F239" s="1" t="s">
        <v>24</v>
      </c>
      <c r="G239" s="1" t="s">
        <v>28</v>
      </c>
      <c r="H239" s="2">
        <v>45159</v>
      </c>
      <c r="I239" s="1">
        <v>102</v>
      </c>
      <c r="J239" s="1">
        <v>263.63</v>
      </c>
      <c r="K239" s="1">
        <v>224.1</v>
      </c>
    </row>
    <row r="240" spans="2:11" x14ac:dyDescent="0.25">
      <c r="B240" s="1" t="s">
        <v>262</v>
      </c>
      <c r="C240" s="1" t="s">
        <v>17</v>
      </c>
      <c r="D240" s="1" t="s">
        <v>31</v>
      </c>
      <c r="E240" s="1" t="s">
        <v>23</v>
      </c>
      <c r="F240" s="1" t="s">
        <v>14</v>
      </c>
      <c r="G240" s="1" t="s">
        <v>28</v>
      </c>
      <c r="H240" s="2">
        <v>45160</v>
      </c>
      <c r="I240" s="1">
        <v>318</v>
      </c>
      <c r="J240" s="1">
        <v>66</v>
      </c>
      <c r="K240" s="1">
        <v>325.08</v>
      </c>
    </row>
    <row r="241" spans="2:11" x14ac:dyDescent="0.25">
      <c r="B241" s="1" t="s">
        <v>263</v>
      </c>
      <c r="C241" s="1" t="s">
        <v>17</v>
      </c>
      <c r="D241" s="1" t="s">
        <v>12</v>
      </c>
      <c r="E241" s="1" t="s">
        <v>23</v>
      </c>
      <c r="F241" s="1" t="s">
        <v>14</v>
      </c>
      <c r="G241" s="1" t="s">
        <v>28</v>
      </c>
      <c r="H241" s="2">
        <v>45161</v>
      </c>
      <c r="I241" s="1">
        <v>17</v>
      </c>
      <c r="J241" s="1">
        <v>430.41</v>
      </c>
      <c r="K241" s="1">
        <v>297.2</v>
      </c>
    </row>
    <row r="242" spans="2:11" x14ac:dyDescent="0.25">
      <c r="B242" s="1" t="s">
        <v>264</v>
      </c>
      <c r="C242" s="1" t="s">
        <v>17</v>
      </c>
      <c r="D242" s="1" t="s">
        <v>50</v>
      </c>
      <c r="E242" s="1" t="s">
        <v>19</v>
      </c>
      <c r="F242" s="1" t="s">
        <v>24</v>
      </c>
      <c r="G242" s="1" t="s">
        <v>20</v>
      </c>
      <c r="H242" s="2">
        <v>45162</v>
      </c>
      <c r="I242" s="1">
        <v>88</v>
      </c>
      <c r="J242" s="1">
        <v>400.89</v>
      </c>
      <c r="K242" s="1">
        <v>352.82</v>
      </c>
    </row>
    <row r="243" spans="2:11" x14ac:dyDescent="0.25">
      <c r="B243" s="1" t="s">
        <v>265</v>
      </c>
      <c r="C243" s="1" t="s">
        <v>48</v>
      </c>
      <c r="D243" s="1" t="s">
        <v>50</v>
      </c>
      <c r="E243" s="1" t="s">
        <v>13</v>
      </c>
      <c r="F243" s="1" t="s">
        <v>24</v>
      </c>
      <c r="G243" s="1" t="s">
        <v>20</v>
      </c>
      <c r="H243" s="2">
        <v>45163</v>
      </c>
      <c r="I243" s="1">
        <v>36</v>
      </c>
      <c r="J243" s="1">
        <v>96.37</v>
      </c>
      <c r="K243" s="1">
        <v>112.61</v>
      </c>
    </row>
    <row r="244" spans="2:11" x14ac:dyDescent="0.25">
      <c r="B244" s="1" t="s">
        <v>266</v>
      </c>
      <c r="C244" s="1" t="s">
        <v>48</v>
      </c>
      <c r="D244" s="1" t="s">
        <v>12</v>
      </c>
      <c r="E244" s="1" t="s">
        <v>27</v>
      </c>
      <c r="F244" s="1" t="s">
        <v>24</v>
      </c>
      <c r="G244" s="1" t="s">
        <v>15</v>
      </c>
      <c r="H244" s="2">
        <v>45164</v>
      </c>
      <c r="I244" s="1">
        <v>183</v>
      </c>
      <c r="J244" s="1">
        <v>151.16</v>
      </c>
      <c r="K244" s="1">
        <v>79.19</v>
      </c>
    </row>
    <row r="245" spans="2:11" x14ac:dyDescent="0.25">
      <c r="B245" s="1" t="s">
        <v>267</v>
      </c>
      <c r="C245" s="1" t="s">
        <v>11</v>
      </c>
      <c r="D245" s="1" t="s">
        <v>26</v>
      </c>
      <c r="E245" s="1" t="s">
        <v>27</v>
      </c>
      <c r="F245" s="1" t="s">
        <v>24</v>
      </c>
      <c r="G245" s="1" t="s">
        <v>15</v>
      </c>
      <c r="H245" s="2">
        <v>45165</v>
      </c>
      <c r="I245" s="1">
        <v>59</v>
      </c>
      <c r="J245" s="1">
        <v>397.74</v>
      </c>
      <c r="K245" s="1">
        <v>352.17</v>
      </c>
    </row>
    <row r="246" spans="2:11" x14ac:dyDescent="0.25">
      <c r="B246" s="1" t="s">
        <v>268</v>
      </c>
      <c r="C246" s="1" t="s">
        <v>17</v>
      </c>
      <c r="D246" s="1" t="s">
        <v>50</v>
      </c>
      <c r="E246" s="1" t="s">
        <v>23</v>
      </c>
      <c r="F246" s="1" t="s">
        <v>14</v>
      </c>
      <c r="G246" s="1" t="s">
        <v>28</v>
      </c>
      <c r="H246" s="2">
        <v>45166</v>
      </c>
      <c r="I246" s="1">
        <v>208</v>
      </c>
      <c r="J246" s="1">
        <v>96.69</v>
      </c>
      <c r="K246" s="1">
        <v>263.70999999999998</v>
      </c>
    </row>
    <row r="247" spans="2:11" x14ac:dyDescent="0.25">
      <c r="B247" s="1" t="s">
        <v>269</v>
      </c>
      <c r="C247" s="1" t="s">
        <v>48</v>
      </c>
      <c r="D247" s="1" t="s">
        <v>31</v>
      </c>
      <c r="E247" s="1" t="s">
        <v>23</v>
      </c>
      <c r="F247" s="1" t="s">
        <v>14</v>
      </c>
      <c r="G247" s="1" t="s">
        <v>20</v>
      </c>
      <c r="H247" s="2">
        <v>45167</v>
      </c>
      <c r="I247" s="1">
        <v>396</v>
      </c>
      <c r="J247" s="1">
        <v>459.29</v>
      </c>
      <c r="K247" s="1">
        <v>125.75</v>
      </c>
    </row>
    <row r="248" spans="2:11" x14ac:dyDescent="0.25">
      <c r="B248" s="1" t="s">
        <v>270</v>
      </c>
      <c r="C248" s="1" t="s">
        <v>11</v>
      </c>
      <c r="D248" s="1" t="s">
        <v>26</v>
      </c>
      <c r="E248" s="1" t="s">
        <v>42</v>
      </c>
      <c r="F248" s="1" t="s">
        <v>24</v>
      </c>
      <c r="G248" s="1" t="s">
        <v>20</v>
      </c>
      <c r="H248" s="2">
        <v>45168</v>
      </c>
      <c r="I248" s="1">
        <v>358</v>
      </c>
      <c r="J248" s="1">
        <v>215.14</v>
      </c>
      <c r="K248" s="1">
        <v>297.45</v>
      </c>
    </row>
    <row r="249" spans="2:11" x14ac:dyDescent="0.25">
      <c r="B249" s="1" t="s">
        <v>271</v>
      </c>
      <c r="C249" s="1" t="s">
        <v>17</v>
      </c>
      <c r="D249" s="1" t="s">
        <v>31</v>
      </c>
      <c r="E249" s="1" t="s">
        <v>13</v>
      </c>
      <c r="F249" s="1" t="s">
        <v>14</v>
      </c>
      <c r="G249" s="1" t="s">
        <v>20</v>
      </c>
      <c r="H249" s="2">
        <v>45169</v>
      </c>
      <c r="I249" s="1">
        <v>457</v>
      </c>
      <c r="J249" s="1">
        <v>48.08</v>
      </c>
      <c r="K249" s="1">
        <v>326.42</v>
      </c>
    </row>
    <row r="250" spans="2:11" x14ac:dyDescent="0.25">
      <c r="B250" s="1" t="s">
        <v>272</v>
      </c>
      <c r="C250" s="1" t="s">
        <v>22</v>
      </c>
      <c r="D250" s="1" t="s">
        <v>18</v>
      </c>
      <c r="E250" s="1" t="s">
        <v>19</v>
      </c>
      <c r="F250" s="1" t="s">
        <v>14</v>
      </c>
      <c r="G250" s="1" t="s">
        <v>28</v>
      </c>
      <c r="H250" s="2">
        <v>45170</v>
      </c>
      <c r="I250" s="1">
        <v>437</v>
      </c>
      <c r="J250" s="1">
        <v>408.8</v>
      </c>
      <c r="K250" s="1">
        <v>246.76</v>
      </c>
    </row>
    <row r="251" spans="2:11" x14ac:dyDescent="0.25">
      <c r="B251" s="1" t="s">
        <v>273</v>
      </c>
      <c r="C251" s="1" t="s">
        <v>11</v>
      </c>
      <c r="D251" s="1" t="s">
        <v>26</v>
      </c>
      <c r="E251" s="1" t="s">
        <v>27</v>
      </c>
      <c r="F251" s="1" t="s">
        <v>14</v>
      </c>
      <c r="G251" s="1" t="s">
        <v>15</v>
      </c>
      <c r="H251" s="2">
        <v>45171</v>
      </c>
      <c r="I251" s="1">
        <v>190</v>
      </c>
      <c r="J251" s="1">
        <v>189.89</v>
      </c>
      <c r="K251" s="1">
        <v>275.77999999999997</v>
      </c>
    </row>
    <row r="252" spans="2:11" x14ac:dyDescent="0.25">
      <c r="B252" s="1" t="s">
        <v>274</v>
      </c>
      <c r="C252" s="1" t="s">
        <v>48</v>
      </c>
      <c r="D252" s="1" t="s">
        <v>50</v>
      </c>
      <c r="E252" s="1" t="s">
        <v>42</v>
      </c>
      <c r="F252" s="1" t="s">
        <v>24</v>
      </c>
      <c r="G252" s="1" t="s">
        <v>28</v>
      </c>
      <c r="H252" s="2">
        <v>45172</v>
      </c>
      <c r="I252" s="1">
        <v>33</v>
      </c>
      <c r="J252" s="1">
        <v>265.62</v>
      </c>
      <c r="K252" s="1">
        <v>151.35</v>
      </c>
    </row>
    <row r="253" spans="2:11" x14ac:dyDescent="0.25">
      <c r="B253" s="1" t="s">
        <v>275</v>
      </c>
      <c r="C253" s="1" t="s">
        <v>22</v>
      </c>
      <c r="D253" s="1" t="s">
        <v>26</v>
      </c>
      <c r="E253" s="1" t="s">
        <v>42</v>
      </c>
      <c r="F253" s="1" t="s">
        <v>14</v>
      </c>
      <c r="G253" s="1" t="s">
        <v>15</v>
      </c>
      <c r="H253" s="2">
        <v>45173</v>
      </c>
      <c r="I253" s="1">
        <v>325</v>
      </c>
      <c r="J253" s="1">
        <v>60.59</v>
      </c>
      <c r="K253" s="1">
        <v>216.4</v>
      </c>
    </row>
    <row r="254" spans="2:11" x14ac:dyDescent="0.25">
      <c r="B254" s="1" t="s">
        <v>276</v>
      </c>
      <c r="C254" s="1" t="s">
        <v>22</v>
      </c>
      <c r="D254" s="1" t="s">
        <v>26</v>
      </c>
      <c r="E254" s="1" t="s">
        <v>27</v>
      </c>
      <c r="F254" s="1" t="s">
        <v>24</v>
      </c>
      <c r="G254" s="1" t="s">
        <v>15</v>
      </c>
      <c r="H254" s="2">
        <v>45174</v>
      </c>
      <c r="I254" s="1">
        <v>387</v>
      </c>
      <c r="J254" s="1">
        <v>6.28</v>
      </c>
      <c r="K254" s="1">
        <v>210.62</v>
      </c>
    </row>
    <row r="255" spans="2:11" x14ac:dyDescent="0.25">
      <c r="B255" s="1" t="s">
        <v>277</v>
      </c>
      <c r="C255" s="1" t="s">
        <v>22</v>
      </c>
      <c r="D255" s="1" t="s">
        <v>26</v>
      </c>
      <c r="E255" s="1" t="s">
        <v>19</v>
      </c>
      <c r="F255" s="1" t="s">
        <v>14</v>
      </c>
      <c r="G255" s="1" t="s">
        <v>28</v>
      </c>
      <c r="H255" s="2">
        <v>45175</v>
      </c>
      <c r="I255" s="1">
        <v>396</v>
      </c>
      <c r="J255" s="1">
        <v>320.8</v>
      </c>
      <c r="K255" s="1">
        <v>339.52</v>
      </c>
    </row>
    <row r="256" spans="2:11" x14ac:dyDescent="0.25">
      <c r="B256" s="1" t="s">
        <v>278</v>
      </c>
      <c r="C256" s="1" t="s">
        <v>11</v>
      </c>
      <c r="D256" s="1" t="s">
        <v>26</v>
      </c>
      <c r="E256" s="1" t="s">
        <v>42</v>
      </c>
      <c r="F256" s="1" t="s">
        <v>14</v>
      </c>
      <c r="G256" s="1" t="s">
        <v>15</v>
      </c>
      <c r="H256" s="2">
        <v>45176</v>
      </c>
      <c r="I256" s="1">
        <v>413</v>
      </c>
      <c r="J256" s="1">
        <v>260.01</v>
      </c>
      <c r="K256" s="1">
        <v>336.31</v>
      </c>
    </row>
    <row r="257" spans="2:11" x14ac:dyDescent="0.25">
      <c r="B257" s="1" t="s">
        <v>279</v>
      </c>
      <c r="C257" s="1" t="s">
        <v>48</v>
      </c>
      <c r="D257" s="1" t="s">
        <v>31</v>
      </c>
      <c r="E257" s="1" t="s">
        <v>42</v>
      </c>
      <c r="F257" s="1" t="s">
        <v>14</v>
      </c>
      <c r="G257" s="1" t="s">
        <v>15</v>
      </c>
      <c r="H257" s="2">
        <v>45177</v>
      </c>
      <c r="I257" s="1"/>
      <c r="J257" s="1">
        <v>298.8</v>
      </c>
      <c r="K257" s="1">
        <v>333.41</v>
      </c>
    </row>
    <row r="258" spans="2:11" x14ac:dyDescent="0.25">
      <c r="B258" s="1" t="s">
        <v>280</v>
      </c>
      <c r="C258" s="1" t="s">
        <v>22</v>
      </c>
      <c r="D258" s="1" t="s">
        <v>18</v>
      </c>
      <c r="E258" s="1" t="s">
        <v>13</v>
      </c>
      <c r="F258" s="1" t="s">
        <v>24</v>
      </c>
      <c r="G258" s="1" t="s">
        <v>20</v>
      </c>
      <c r="H258" s="2">
        <v>45178</v>
      </c>
      <c r="I258" s="1">
        <v>24</v>
      </c>
      <c r="J258" s="1">
        <v>397.9</v>
      </c>
      <c r="K258" s="1">
        <v>6.39</v>
      </c>
    </row>
    <row r="259" spans="2:11" x14ac:dyDescent="0.25">
      <c r="B259" s="1" t="s">
        <v>281</v>
      </c>
      <c r="C259" s="1" t="s">
        <v>17</v>
      </c>
      <c r="D259" s="1" t="s">
        <v>12</v>
      </c>
      <c r="E259" s="1"/>
      <c r="F259" s="1" t="s">
        <v>14</v>
      </c>
      <c r="G259" s="1" t="s">
        <v>15</v>
      </c>
      <c r="H259" s="2">
        <v>45179</v>
      </c>
      <c r="I259" s="1">
        <v>162</v>
      </c>
      <c r="J259" s="1">
        <v>325.07</v>
      </c>
      <c r="K259" s="1">
        <v>300.32</v>
      </c>
    </row>
    <row r="260" spans="2:11" x14ac:dyDescent="0.25">
      <c r="B260" s="1" t="s">
        <v>282</v>
      </c>
      <c r="C260" s="1" t="s">
        <v>22</v>
      </c>
      <c r="D260" s="1" t="s">
        <v>26</v>
      </c>
      <c r="E260" s="1" t="s">
        <v>42</v>
      </c>
      <c r="F260" s="1" t="s">
        <v>24</v>
      </c>
      <c r="G260" s="1" t="s">
        <v>28</v>
      </c>
      <c r="H260" s="2">
        <v>45180</v>
      </c>
      <c r="I260" s="1">
        <v>231</v>
      </c>
      <c r="J260" s="1">
        <v>91.51</v>
      </c>
      <c r="K260" s="1">
        <v>303.95</v>
      </c>
    </row>
    <row r="261" spans="2:11" x14ac:dyDescent="0.25">
      <c r="B261" s="1" t="s">
        <v>283</v>
      </c>
      <c r="C261" s="1" t="s">
        <v>22</v>
      </c>
      <c r="D261" s="1" t="s">
        <v>50</v>
      </c>
      <c r="E261" s="1" t="s">
        <v>19</v>
      </c>
      <c r="F261" s="1" t="s">
        <v>24</v>
      </c>
      <c r="G261" s="1" t="s">
        <v>28</v>
      </c>
      <c r="H261" s="2">
        <v>45181</v>
      </c>
      <c r="I261" s="1">
        <v>215</v>
      </c>
      <c r="J261" s="1">
        <v>183.58</v>
      </c>
      <c r="K261" s="1">
        <v>271.99</v>
      </c>
    </row>
    <row r="262" spans="2:11" x14ac:dyDescent="0.25">
      <c r="B262" s="1" t="s">
        <v>284</v>
      </c>
      <c r="C262" s="1" t="s">
        <v>11</v>
      </c>
      <c r="D262" s="1" t="s">
        <v>26</v>
      </c>
      <c r="E262" s="1" t="s">
        <v>27</v>
      </c>
      <c r="F262" s="1" t="s">
        <v>24</v>
      </c>
      <c r="G262" s="1" t="s">
        <v>15</v>
      </c>
      <c r="H262" s="2">
        <v>45182</v>
      </c>
      <c r="I262" s="1">
        <v>464</v>
      </c>
      <c r="J262" s="1">
        <v>453.42</v>
      </c>
      <c r="K262" s="1">
        <v>302.99</v>
      </c>
    </row>
    <row r="263" spans="2:11" x14ac:dyDescent="0.25">
      <c r="B263" s="1" t="s">
        <v>285</v>
      </c>
      <c r="C263" s="1" t="s">
        <v>11</v>
      </c>
      <c r="D263" s="1" t="s">
        <v>50</v>
      </c>
      <c r="E263" s="1" t="s">
        <v>23</v>
      </c>
      <c r="F263" s="1" t="s">
        <v>14</v>
      </c>
      <c r="G263" s="1" t="s">
        <v>20</v>
      </c>
      <c r="H263" s="2">
        <v>45183</v>
      </c>
      <c r="I263" s="1">
        <v>282</v>
      </c>
      <c r="J263" s="1"/>
      <c r="K263" s="1">
        <v>337.1</v>
      </c>
    </row>
    <row r="264" spans="2:11" x14ac:dyDescent="0.25">
      <c r="B264" s="1" t="s">
        <v>286</v>
      </c>
      <c r="C264" s="1" t="s">
        <v>48</v>
      </c>
      <c r="D264" s="1" t="s">
        <v>31</v>
      </c>
      <c r="E264" s="1" t="s">
        <v>42</v>
      </c>
      <c r="F264" s="1" t="s">
        <v>14</v>
      </c>
      <c r="G264" s="1" t="s">
        <v>20</v>
      </c>
      <c r="H264" s="2">
        <v>45184</v>
      </c>
      <c r="I264" s="1">
        <v>391</v>
      </c>
      <c r="J264" s="1">
        <v>280.54000000000002</v>
      </c>
      <c r="K264" s="1">
        <v>189.19</v>
      </c>
    </row>
    <row r="265" spans="2:11" x14ac:dyDescent="0.25">
      <c r="B265" s="1" t="s">
        <v>287</v>
      </c>
      <c r="C265" s="1" t="s">
        <v>17</v>
      </c>
      <c r="D265" s="1" t="s">
        <v>50</v>
      </c>
      <c r="E265" s="1" t="s">
        <v>13</v>
      </c>
      <c r="F265" s="1" t="s">
        <v>14</v>
      </c>
      <c r="G265" s="1" t="s">
        <v>15</v>
      </c>
      <c r="H265" s="2">
        <v>45185</v>
      </c>
      <c r="I265" s="1">
        <v>245</v>
      </c>
      <c r="J265" s="1">
        <v>131.54</v>
      </c>
      <c r="K265" s="1">
        <v>201.82</v>
      </c>
    </row>
    <row r="266" spans="2:11" x14ac:dyDescent="0.25">
      <c r="B266" s="1" t="s">
        <v>288</v>
      </c>
      <c r="C266" s="1" t="s">
        <v>11</v>
      </c>
      <c r="D266" s="1" t="s">
        <v>12</v>
      </c>
      <c r="E266" s="1" t="s">
        <v>27</v>
      </c>
      <c r="F266" s="1" t="s">
        <v>14</v>
      </c>
      <c r="G266" s="1" t="s">
        <v>15</v>
      </c>
      <c r="H266" s="2">
        <v>45186</v>
      </c>
      <c r="I266" s="1">
        <v>349</v>
      </c>
      <c r="J266" s="1">
        <v>154.52000000000001</v>
      </c>
      <c r="K266" s="1">
        <v>51.64</v>
      </c>
    </row>
    <row r="267" spans="2:11" x14ac:dyDescent="0.25">
      <c r="B267" s="1" t="s">
        <v>289</v>
      </c>
      <c r="C267" s="1" t="s">
        <v>22</v>
      </c>
      <c r="D267" s="1" t="s">
        <v>18</v>
      </c>
      <c r="E267" s="1" t="s">
        <v>19</v>
      </c>
      <c r="F267" s="1" t="s">
        <v>24</v>
      </c>
      <c r="G267" s="1" t="s">
        <v>28</v>
      </c>
      <c r="H267" s="2">
        <v>45187</v>
      </c>
      <c r="I267" s="1">
        <v>237</v>
      </c>
      <c r="J267" s="1"/>
      <c r="K267" s="1">
        <v>155.38</v>
      </c>
    </row>
    <row r="268" spans="2:11" x14ac:dyDescent="0.25">
      <c r="B268" s="1" t="s">
        <v>290</v>
      </c>
      <c r="C268" s="1" t="s">
        <v>48</v>
      </c>
      <c r="D268" s="1" t="s">
        <v>50</v>
      </c>
      <c r="E268" s="1" t="s">
        <v>27</v>
      </c>
      <c r="F268" s="1" t="s">
        <v>24</v>
      </c>
      <c r="G268" s="1" t="s">
        <v>15</v>
      </c>
      <c r="H268" s="2">
        <v>45188</v>
      </c>
      <c r="I268" s="1">
        <v>18</v>
      </c>
      <c r="J268" s="1">
        <v>426.33</v>
      </c>
      <c r="K268" s="1">
        <v>258.06</v>
      </c>
    </row>
    <row r="269" spans="2:11" x14ac:dyDescent="0.25">
      <c r="B269" s="1" t="s">
        <v>291</v>
      </c>
      <c r="C269" s="1" t="s">
        <v>22</v>
      </c>
      <c r="D269" s="1" t="s">
        <v>50</v>
      </c>
      <c r="E269" s="1" t="s">
        <v>42</v>
      </c>
      <c r="F269" s="1" t="s">
        <v>24</v>
      </c>
      <c r="G269" s="1" t="s">
        <v>20</v>
      </c>
      <c r="H269" s="2">
        <v>45189</v>
      </c>
      <c r="I269" s="1">
        <v>175</v>
      </c>
      <c r="J269" s="1">
        <v>337.36</v>
      </c>
      <c r="K269" s="1">
        <v>312.60000000000002</v>
      </c>
    </row>
    <row r="270" spans="2:11" x14ac:dyDescent="0.25">
      <c r="B270" s="1" t="s">
        <v>292</v>
      </c>
      <c r="C270" s="1" t="s">
        <v>22</v>
      </c>
      <c r="D270" s="1" t="s">
        <v>18</v>
      </c>
      <c r="E270" s="1"/>
      <c r="F270" s="1" t="s">
        <v>14</v>
      </c>
      <c r="G270" s="1" t="s">
        <v>15</v>
      </c>
      <c r="H270" s="2">
        <v>45190</v>
      </c>
      <c r="I270" s="1">
        <v>441</v>
      </c>
      <c r="J270" s="1">
        <v>405.72</v>
      </c>
      <c r="K270" s="1">
        <v>88.45</v>
      </c>
    </row>
    <row r="271" spans="2:11" x14ac:dyDescent="0.25">
      <c r="B271" s="1" t="s">
        <v>293</v>
      </c>
      <c r="C271" s="1" t="s">
        <v>11</v>
      </c>
      <c r="D271" s="1" t="s">
        <v>12</v>
      </c>
      <c r="E271" s="1" t="s">
        <v>23</v>
      </c>
      <c r="F271" s="1" t="s">
        <v>24</v>
      </c>
      <c r="G271" s="1" t="s">
        <v>28</v>
      </c>
      <c r="H271" s="2">
        <v>45191</v>
      </c>
      <c r="I271" s="1">
        <v>453</v>
      </c>
      <c r="J271" s="1">
        <v>384.49</v>
      </c>
      <c r="K271" s="1">
        <v>56.85</v>
      </c>
    </row>
    <row r="272" spans="2:11" x14ac:dyDescent="0.25">
      <c r="B272" s="1" t="s">
        <v>294</v>
      </c>
      <c r="C272" s="1" t="s">
        <v>48</v>
      </c>
      <c r="D272" s="1" t="s">
        <v>26</v>
      </c>
      <c r="E272" s="1" t="s">
        <v>27</v>
      </c>
      <c r="F272" s="1" t="s">
        <v>14</v>
      </c>
      <c r="G272" s="1" t="s">
        <v>28</v>
      </c>
      <c r="H272" s="2">
        <v>45192</v>
      </c>
      <c r="I272" s="1">
        <v>328</v>
      </c>
      <c r="J272" s="1">
        <v>79.099999999999994</v>
      </c>
      <c r="K272" s="1">
        <v>265.89</v>
      </c>
    </row>
    <row r="273" spans="2:11" x14ac:dyDescent="0.25">
      <c r="B273" s="1" t="s">
        <v>295</v>
      </c>
      <c r="C273" s="1" t="s">
        <v>17</v>
      </c>
      <c r="D273" s="1" t="s">
        <v>50</v>
      </c>
      <c r="E273" s="1" t="s">
        <v>42</v>
      </c>
      <c r="F273" s="1" t="s">
        <v>24</v>
      </c>
      <c r="G273" s="1" t="s">
        <v>28</v>
      </c>
      <c r="H273" s="2">
        <v>45193</v>
      </c>
      <c r="I273" s="1">
        <v>223</v>
      </c>
      <c r="J273" s="1">
        <v>214.85</v>
      </c>
      <c r="K273" s="1">
        <v>2.75</v>
      </c>
    </row>
    <row r="274" spans="2:11" x14ac:dyDescent="0.25">
      <c r="B274" s="1" t="s">
        <v>296</v>
      </c>
      <c r="C274" s="1" t="s">
        <v>17</v>
      </c>
      <c r="D274" s="1" t="s">
        <v>18</v>
      </c>
      <c r="E274" s="1" t="s">
        <v>13</v>
      </c>
      <c r="F274" s="1" t="s">
        <v>14</v>
      </c>
      <c r="G274" s="1" t="s">
        <v>28</v>
      </c>
      <c r="H274" s="2">
        <v>45194</v>
      </c>
      <c r="I274" s="1">
        <v>126</v>
      </c>
      <c r="J274" s="1">
        <v>80.73</v>
      </c>
      <c r="K274" s="1">
        <v>72.989999999999995</v>
      </c>
    </row>
    <row r="275" spans="2:11" x14ac:dyDescent="0.25">
      <c r="B275" s="1" t="s">
        <v>297</v>
      </c>
      <c r="C275" s="1" t="s">
        <v>11</v>
      </c>
      <c r="D275" s="1" t="s">
        <v>31</v>
      </c>
      <c r="E275" s="1" t="s">
        <v>19</v>
      </c>
      <c r="F275" s="1" t="s">
        <v>14</v>
      </c>
      <c r="G275" s="1" t="s">
        <v>28</v>
      </c>
      <c r="H275" s="2">
        <v>45195</v>
      </c>
      <c r="I275" s="1">
        <v>395</v>
      </c>
      <c r="J275" s="1">
        <v>121.44</v>
      </c>
      <c r="K275" s="1">
        <v>13.57</v>
      </c>
    </row>
    <row r="276" spans="2:11" x14ac:dyDescent="0.25">
      <c r="B276" s="1" t="s">
        <v>298</v>
      </c>
      <c r="C276" s="1" t="s">
        <v>11</v>
      </c>
      <c r="D276" s="1" t="s">
        <v>18</v>
      </c>
      <c r="E276" s="1" t="s">
        <v>27</v>
      </c>
      <c r="F276" s="1" t="s">
        <v>24</v>
      </c>
      <c r="G276" s="1" t="s">
        <v>15</v>
      </c>
      <c r="H276" s="2">
        <v>45196</v>
      </c>
      <c r="I276" s="1">
        <v>353</v>
      </c>
      <c r="J276" s="1">
        <v>435.28</v>
      </c>
      <c r="K276" s="1">
        <v>68.42</v>
      </c>
    </row>
    <row r="277" spans="2:11" x14ac:dyDescent="0.25">
      <c r="B277" s="1" t="s">
        <v>299</v>
      </c>
      <c r="C277" s="1" t="s">
        <v>48</v>
      </c>
      <c r="D277" s="1" t="s">
        <v>31</v>
      </c>
      <c r="E277" s="1" t="s">
        <v>27</v>
      </c>
      <c r="F277" s="1" t="s">
        <v>24</v>
      </c>
      <c r="G277" s="1" t="s">
        <v>15</v>
      </c>
      <c r="H277" s="2">
        <v>45197</v>
      </c>
      <c r="I277" s="1">
        <v>81</v>
      </c>
      <c r="J277" s="1">
        <v>239.08</v>
      </c>
      <c r="K277" s="1">
        <v>74.17</v>
      </c>
    </row>
    <row r="278" spans="2:11" x14ac:dyDescent="0.25">
      <c r="B278" s="1" t="s">
        <v>300</v>
      </c>
      <c r="C278" s="1" t="s">
        <v>17</v>
      </c>
      <c r="D278" s="1" t="s">
        <v>12</v>
      </c>
      <c r="E278" s="1" t="s">
        <v>23</v>
      </c>
      <c r="F278" s="1" t="s">
        <v>24</v>
      </c>
      <c r="G278" s="1" t="s">
        <v>15</v>
      </c>
      <c r="H278" s="2">
        <v>45198</v>
      </c>
      <c r="I278" s="1">
        <v>404</v>
      </c>
      <c r="J278" s="1">
        <v>270</v>
      </c>
      <c r="K278" s="1">
        <v>156.29</v>
      </c>
    </row>
    <row r="279" spans="2:11" x14ac:dyDescent="0.25">
      <c r="B279" s="1" t="s">
        <v>301</v>
      </c>
      <c r="C279" s="1" t="s">
        <v>17</v>
      </c>
      <c r="D279" s="1" t="s">
        <v>26</v>
      </c>
      <c r="E279" s="1" t="s">
        <v>23</v>
      </c>
      <c r="F279" s="1" t="s">
        <v>24</v>
      </c>
      <c r="G279" s="1" t="s">
        <v>15</v>
      </c>
      <c r="H279" s="2">
        <v>45199</v>
      </c>
      <c r="I279" s="1">
        <v>73</v>
      </c>
      <c r="J279" s="1">
        <v>93.33</v>
      </c>
      <c r="K279" s="1">
        <v>162.13</v>
      </c>
    </row>
    <row r="280" spans="2:11" x14ac:dyDescent="0.25">
      <c r="B280" s="1" t="s">
        <v>302</v>
      </c>
      <c r="C280" s="1" t="s">
        <v>17</v>
      </c>
      <c r="D280" s="1" t="s">
        <v>18</v>
      </c>
      <c r="E280" s="1" t="s">
        <v>13</v>
      </c>
      <c r="F280" s="1" t="s">
        <v>14</v>
      </c>
      <c r="G280" s="1" t="s">
        <v>28</v>
      </c>
      <c r="H280" s="2">
        <v>45200</v>
      </c>
      <c r="I280" s="1">
        <v>214</v>
      </c>
      <c r="J280" s="1">
        <v>159.57</v>
      </c>
      <c r="K280" s="1">
        <v>349.96</v>
      </c>
    </row>
    <row r="281" spans="2:11" x14ac:dyDescent="0.25">
      <c r="B281" s="1" t="s">
        <v>303</v>
      </c>
      <c r="C281" s="1" t="s">
        <v>22</v>
      </c>
      <c r="D281" s="1" t="s">
        <v>50</v>
      </c>
      <c r="E281" s="1" t="s">
        <v>13</v>
      </c>
      <c r="F281" s="1" t="s">
        <v>24</v>
      </c>
      <c r="G281" s="1" t="s">
        <v>20</v>
      </c>
      <c r="H281" s="2">
        <v>45201</v>
      </c>
      <c r="I281" s="1">
        <v>218</v>
      </c>
      <c r="J281" s="1">
        <v>118.97</v>
      </c>
      <c r="K281" s="1">
        <v>205.02</v>
      </c>
    </row>
    <row r="282" spans="2:11" x14ac:dyDescent="0.25">
      <c r="B282" s="1" t="s">
        <v>304</v>
      </c>
      <c r="C282" s="1" t="s">
        <v>17</v>
      </c>
      <c r="D282" s="1" t="s">
        <v>12</v>
      </c>
      <c r="E282" s="1" t="s">
        <v>42</v>
      </c>
      <c r="F282" s="1" t="s">
        <v>24</v>
      </c>
      <c r="G282" s="1" t="s">
        <v>15</v>
      </c>
      <c r="H282" s="2">
        <v>45202</v>
      </c>
      <c r="I282" s="1">
        <v>81</v>
      </c>
      <c r="J282" s="1">
        <v>107.06</v>
      </c>
      <c r="K282" s="1">
        <v>289.92</v>
      </c>
    </row>
    <row r="283" spans="2:11" x14ac:dyDescent="0.25">
      <c r="B283" s="1" t="s">
        <v>305</v>
      </c>
      <c r="C283" s="1" t="s">
        <v>22</v>
      </c>
      <c r="D283" s="1" t="s">
        <v>18</v>
      </c>
      <c r="E283" s="1" t="s">
        <v>42</v>
      </c>
      <c r="F283" s="1" t="s">
        <v>24</v>
      </c>
      <c r="G283" s="1" t="s">
        <v>20</v>
      </c>
      <c r="H283" s="2">
        <v>45203</v>
      </c>
      <c r="I283" s="1">
        <v>286</v>
      </c>
      <c r="J283" s="1">
        <v>320.79000000000002</v>
      </c>
      <c r="K283" s="1">
        <v>43.45</v>
      </c>
    </row>
    <row r="284" spans="2:11" x14ac:dyDescent="0.25">
      <c r="B284" s="1" t="s">
        <v>306</v>
      </c>
      <c r="C284" s="1" t="s">
        <v>48</v>
      </c>
      <c r="D284" s="1" t="s">
        <v>50</v>
      </c>
      <c r="E284" s="1" t="s">
        <v>13</v>
      </c>
      <c r="F284" s="1" t="s">
        <v>14</v>
      </c>
      <c r="G284" s="1" t="s">
        <v>15</v>
      </c>
      <c r="H284" s="2">
        <v>45204</v>
      </c>
      <c r="I284" s="1">
        <v>283</v>
      </c>
      <c r="J284" s="1">
        <v>132.16</v>
      </c>
      <c r="K284" s="1">
        <v>91.72</v>
      </c>
    </row>
    <row r="285" spans="2:11" x14ac:dyDescent="0.25">
      <c r="B285" s="1" t="s">
        <v>307</v>
      </c>
      <c r="C285" s="1" t="s">
        <v>22</v>
      </c>
      <c r="D285" s="1" t="s">
        <v>18</v>
      </c>
      <c r="E285" s="1" t="s">
        <v>13</v>
      </c>
      <c r="F285" s="1" t="s">
        <v>14</v>
      </c>
      <c r="G285" s="1" t="s">
        <v>15</v>
      </c>
      <c r="H285" s="2">
        <v>45205</v>
      </c>
      <c r="I285" s="1">
        <v>487</v>
      </c>
      <c r="J285" s="1">
        <v>317.85000000000002</v>
      </c>
      <c r="K285" s="1">
        <v>281.77</v>
      </c>
    </row>
    <row r="286" spans="2:11" x14ac:dyDescent="0.25">
      <c r="B286" s="1" t="s">
        <v>308</v>
      </c>
      <c r="C286" s="1" t="s">
        <v>48</v>
      </c>
      <c r="D286" s="1" t="s">
        <v>31</v>
      </c>
      <c r="E286" s="1" t="s">
        <v>19</v>
      </c>
      <c r="F286" s="1" t="s">
        <v>24</v>
      </c>
      <c r="G286" s="1" t="s">
        <v>20</v>
      </c>
      <c r="H286" s="2">
        <v>45206</v>
      </c>
      <c r="I286" s="1">
        <v>329</v>
      </c>
      <c r="J286" s="1">
        <v>33.94</v>
      </c>
      <c r="K286" s="1">
        <v>23.02</v>
      </c>
    </row>
    <row r="287" spans="2:11" x14ac:dyDescent="0.25">
      <c r="B287" s="1" t="s">
        <v>309</v>
      </c>
      <c r="C287" s="1" t="s">
        <v>17</v>
      </c>
      <c r="D287" s="1" t="s">
        <v>18</v>
      </c>
      <c r="E287" s="1" t="s">
        <v>23</v>
      </c>
      <c r="F287" s="1" t="s">
        <v>14</v>
      </c>
      <c r="G287" s="1" t="s">
        <v>28</v>
      </c>
      <c r="H287" s="2">
        <v>45207</v>
      </c>
      <c r="I287" s="1">
        <v>347</v>
      </c>
      <c r="J287" s="1">
        <v>75.180000000000007</v>
      </c>
      <c r="K287" s="1">
        <v>195.67</v>
      </c>
    </row>
    <row r="288" spans="2:11" x14ac:dyDescent="0.25">
      <c r="B288" s="1" t="s">
        <v>310</v>
      </c>
      <c r="C288" s="1" t="s">
        <v>17</v>
      </c>
      <c r="D288" s="1" t="s">
        <v>18</v>
      </c>
      <c r="E288" s="1" t="s">
        <v>42</v>
      </c>
      <c r="F288" s="1" t="s">
        <v>24</v>
      </c>
      <c r="G288" s="1" t="s">
        <v>15</v>
      </c>
      <c r="H288" s="2">
        <v>45208</v>
      </c>
      <c r="I288" s="1">
        <v>375</v>
      </c>
      <c r="J288" s="1">
        <v>140.9</v>
      </c>
      <c r="K288" s="1">
        <v>240.55</v>
      </c>
    </row>
    <row r="289" spans="2:11" x14ac:dyDescent="0.25">
      <c r="B289" s="1" t="s">
        <v>311</v>
      </c>
      <c r="C289" s="1" t="s">
        <v>48</v>
      </c>
      <c r="D289" s="1" t="s">
        <v>18</v>
      </c>
      <c r="E289" s="1" t="s">
        <v>23</v>
      </c>
      <c r="F289" s="1" t="s">
        <v>14</v>
      </c>
      <c r="G289" s="1" t="s">
        <v>15</v>
      </c>
      <c r="H289" s="2">
        <v>45209</v>
      </c>
      <c r="I289" s="1">
        <v>104</v>
      </c>
      <c r="J289" s="1">
        <v>300.54000000000002</v>
      </c>
      <c r="K289" s="1">
        <v>241.65</v>
      </c>
    </row>
    <row r="290" spans="2:11" x14ac:dyDescent="0.25">
      <c r="B290" s="1" t="s">
        <v>312</v>
      </c>
      <c r="C290" s="1" t="s">
        <v>11</v>
      </c>
      <c r="D290" s="1" t="s">
        <v>12</v>
      </c>
      <c r="E290" s="1"/>
      <c r="F290" s="1" t="s">
        <v>14</v>
      </c>
      <c r="G290" s="1" t="s">
        <v>15</v>
      </c>
      <c r="H290" s="2">
        <v>45210</v>
      </c>
      <c r="I290" s="1">
        <v>175</v>
      </c>
      <c r="J290" s="1">
        <v>339.54</v>
      </c>
      <c r="K290" s="1">
        <v>11.13</v>
      </c>
    </row>
    <row r="291" spans="2:11" x14ac:dyDescent="0.25">
      <c r="B291" s="1" t="s">
        <v>313</v>
      </c>
      <c r="C291" s="1" t="s">
        <v>48</v>
      </c>
      <c r="D291" s="1" t="s">
        <v>18</v>
      </c>
      <c r="E291" s="1" t="s">
        <v>13</v>
      </c>
      <c r="F291" s="1" t="s">
        <v>14</v>
      </c>
      <c r="G291" s="1" t="s">
        <v>20</v>
      </c>
      <c r="H291" s="2">
        <v>45211</v>
      </c>
      <c r="I291" s="1">
        <v>41</v>
      </c>
      <c r="J291" s="1">
        <v>224.14</v>
      </c>
      <c r="K291" s="1">
        <v>130.19999999999999</v>
      </c>
    </row>
    <row r="292" spans="2:11" x14ac:dyDescent="0.25">
      <c r="B292" s="1" t="s">
        <v>314</v>
      </c>
      <c r="C292" s="1" t="s">
        <v>11</v>
      </c>
      <c r="D292" s="1" t="s">
        <v>50</v>
      </c>
      <c r="E292" s="1" t="s">
        <v>19</v>
      </c>
      <c r="F292" s="1" t="s">
        <v>14</v>
      </c>
      <c r="G292" s="1" t="s">
        <v>28</v>
      </c>
      <c r="H292" s="2">
        <v>45212</v>
      </c>
      <c r="I292" s="1">
        <v>20</v>
      </c>
      <c r="J292" s="1">
        <v>225.67</v>
      </c>
      <c r="K292" s="1">
        <v>255.32</v>
      </c>
    </row>
    <row r="293" spans="2:11" x14ac:dyDescent="0.25">
      <c r="B293" s="1" t="s">
        <v>315</v>
      </c>
      <c r="C293" s="1" t="s">
        <v>22</v>
      </c>
      <c r="D293" s="1" t="s">
        <v>31</v>
      </c>
      <c r="E293" s="1" t="s">
        <v>27</v>
      </c>
      <c r="F293" s="1" t="s">
        <v>24</v>
      </c>
      <c r="G293" s="1" t="s">
        <v>20</v>
      </c>
      <c r="H293" s="2">
        <v>45213</v>
      </c>
      <c r="I293" s="1">
        <v>310</v>
      </c>
      <c r="J293" s="1">
        <v>363.64</v>
      </c>
      <c r="K293" s="1">
        <v>61.3</v>
      </c>
    </row>
    <row r="294" spans="2:11" x14ac:dyDescent="0.25">
      <c r="B294" s="1" t="s">
        <v>316</v>
      </c>
      <c r="C294" s="1" t="s">
        <v>22</v>
      </c>
      <c r="D294" s="1" t="s">
        <v>31</v>
      </c>
      <c r="E294" s="1" t="s">
        <v>19</v>
      </c>
      <c r="F294" s="1" t="s">
        <v>24</v>
      </c>
      <c r="G294" s="1" t="s">
        <v>20</v>
      </c>
      <c r="H294" s="2">
        <v>45214</v>
      </c>
      <c r="I294" s="1">
        <v>226</v>
      </c>
      <c r="J294" s="1"/>
      <c r="K294" s="1">
        <v>278.77999999999997</v>
      </c>
    </row>
    <row r="295" spans="2:11" x14ac:dyDescent="0.25">
      <c r="B295" s="1" t="s">
        <v>317</v>
      </c>
      <c r="C295" s="1" t="s">
        <v>22</v>
      </c>
      <c r="D295" s="1" t="s">
        <v>18</v>
      </c>
      <c r="E295" s="1" t="s">
        <v>19</v>
      </c>
      <c r="F295" s="1" t="s">
        <v>24</v>
      </c>
      <c r="G295" s="1" t="s">
        <v>28</v>
      </c>
      <c r="H295" s="2">
        <v>45215</v>
      </c>
      <c r="I295" s="1"/>
      <c r="J295" s="1">
        <v>173.84</v>
      </c>
      <c r="K295" s="1">
        <v>298.88</v>
      </c>
    </row>
    <row r="296" spans="2:11" x14ac:dyDescent="0.25">
      <c r="B296" s="1" t="s">
        <v>318</v>
      </c>
      <c r="C296" s="1" t="s">
        <v>17</v>
      </c>
      <c r="D296" s="1" t="s">
        <v>12</v>
      </c>
      <c r="E296" s="1" t="s">
        <v>23</v>
      </c>
      <c r="F296" s="1" t="s">
        <v>14</v>
      </c>
      <c r="G296" s="1" t="s">
        <v>20</v>
      </c>
      <c r="H296" s="2">
        <v>45216</v>
      </c>
      <c r="I296" s="1">
        <v>111</v>
      </c>
      <c r="J296" s="1">
        <v>410.26</v>
      </c>
      <c r="K296" s="1">
        <v>392.82</v>
      </c>
    </row>
    <row r="297" spans="2:11" x14ac:dyDescent="0.25">
      <c r="B297" s="1" t="s">
        <v>319</v>
      </c>
      <c r="C297" s="1" t="s">
        <v>22</v>
      </c>
      <c r="D297" s="1" t="s">
        <v>12</v>
      </c>
      <c r="E297" s="1" t="s">
        <v>19</v>
      </c>
      <c r="F297" s="1" t="s">
        <v>24</v>
      </c>
      <c r="G297" s="1" t="s">
        <v>28</v>
      </c>
      <c r="H297" s="2">
        <v>45217</v>
      </c>
      <c r="I297" s="1">
        <v>434</v>
      </c>
      <c r="J297" s="1">
        <v>303.58999999999997</v>
      </c>
      <c r="K297" s="1">
        <v>85.52</v>
      </c>
    </row>
    <row r="298" spans="2:11" x14ac:dyDescent="0.25">
      <c r="B298" s="1" t="s">
        <v>320</v>
      </c>
      <c r="C298" s="1" t="s">
        <v>11</v>
      </c>
      <c r="D298" s="1" t="s">
        <v>50</v>
      </c>
      <c r="E298" s="1" t="s">
        <v>42</v>
      </c>
      <c r="F298" s="1" t="s">
        <v>24</v>
      </c>
      <c r="G298" s="1" t="s">
        <v>15</v>
      </c>
      <c r="H298" s="2">
        <v>45218</v>
      </c>
      <c r="I298" s="1">
        <v>401</v>
      </c>
      <c r="J298" s="1">
        <v>171.93</v>
      </c>
      <c r="K298" s="1">
        <v>330.4</v>
      </c>
    </row>
    <row r="299" spans="2:11" x14ac:dyDescent="0.25">
      <c r="B299" s="1" t="s">
        <v>321</v>
      </c>
      <c r="C299" s="1" t="s">
        <v>22</v>
      </c>
      <c r="D299" s="1" t="s">
        <v>18</v>
      </c>
      <c r="E299" s="1" t="s">
        <v>23</v>
      </c>
      <c r="F299" s="1" t="s">
        <v>24</v>
      </c>
      <c r="G299" s="1" t="s">
        <v>28</v>
      </c>
      <c r="H299" s="2">
        <v>45219</v>
      </c>
      <c r="I299" s="1">
        <v>276</v>
      </c>
      <c r="J299" s="1">
        <v>453.23</v>
      </c>
      <c r="K299" s="1">
        <v>209.08</v>
      </c>
    </row>
    <row r="300" spans="2:11" x14ac:dyDescent="0.25">
      <c r="B300" s="1" t="s">
        <v>322</v>
      </c>
      <c r="C300" s="1" t="s">
        <v>48</v>
      </c>
      <c r="D300" s="1" t="s">
        <v>31</v>
      </c>
      <c r="E300" s="1" t="s">
        <v>42</v>
      </c>
      <c r="F300" s="1" t="s">
        <v>14</v>
      </c>
      <c r="G300" s="1" t="s">
        <v>15</v>
      </c>
      <c r="H300" s="2">
        <v>45220</v>
      </c>
      <c r="I300" s="1"/>
      <c r="J300" s="1">
        <v>387.45</v>
      </c>
      <c r="K300" s="1">
        <v>150.63999999999999</v>
      </c>
    </row>
    <row r="301" spans="2:11" x14ac:dyDescent="0.25">
      <c r="B301" s="1" t="s">
        <v>323</v>
      </c>
      <c r="C301" s="1" t="s">
        <v>48</v>
      </c>
      <c r="D301" s="1" t="s">
        <v>12</v>
      </c>
      <c r="E301" s="1" t="s">
        <v>27</v>
      </c>
      <c r="F301" s="1" t="s">
        <v>14</v>
      </c>
      <c r="G301" s="1" t="s">
        <v>20</v>
      </c>
      <c r="H301" s="2">
        <v>45221</v>
      </c>
      <c r="I301" s="1">
        <v>188</v>
      </c>
      <c r="J301" s="1">
        <v>136.12</v>
      </c>
      <c r="K301" s="1">
        <v>50.71</v>
      </c>
    </row>
    <row r="302" spans="2:11" x14ac:dyDescent="0.25">
      <c r="B302" s="1" t="s">
        <v>324</v>
      </c>
      <c r="C302" s="1" t="s">
        <v>17</v>
      </c>
      <c r="D302" s="1" t="s">
        <v>18</v>
      </c>
      <c r="E302" s="1" t="s">
        <v>23</v>
      </c>
      <c r="F302" s="1" t="s">
        <v>14</v>
      </c>
      <c r="G302" s="1" t="s">
        <v>20</v>
      </c>
      <c r="H302" s="2">
        <v>45222</v>
      </c>
      <c r="I302" s="1">
        <v>97</v>
      </c>
      <c r="J302" s="1">
        <v>324.42</v>
      </c>
      <c r="K302" s="1">
        <v>294.73</v>
      </c>
    </row>
    <row r="303" spans="2:11" x14ac:dyDescent="0.25">
      <c r="B303" s="1" t="s">
        <v>325</v>
      </c>
      <c r="C303" s="1" t="s">
        <v>48</v>
      </c>
      <c r="D303" s="1" t="s">
        <v>12</v>
      </c>
      <c r="E303" s="1" t="s">
        <v>27</v>
      </c>
      <c r="F303" s="1" t="s">
        <v>24</v>
      </c>
      <c r="G303" s="1" t="s">
        <v>15</v>
      </c>
      <c r="H303" s="2">
        <v>45223</v>
      </c>
      <c r="I303" s="1">
        <v>50</v>
      </c>
      <c r="J303" s="1">
        <v>299.89999999999998</v>
      </c>
      <c r="K303" s="1">
        <v>95.87</v>
      </c>
    </row>
    <row r="304" spans="2:11" x14ac:dyDescent="0.25">
      <c r="B304" s="1" t="s">
        <v>326</v>
      </c>
      <c r="C304" s="1" t="s">
        <v>11</v>
      </c>
      <c r="D304" s="1" t="s">
        <v>12</v>
      </c>
      <c r="E304" s="1" t="s">
        <v>23</v>
      </c>
      <c r="F304" s="1" t="s">
        <v>24</v>
      </c>
      <c r="G304" s="1" t="s">
        <v>20</v>
      </c>
      <c r="H304" s="2">
        <v>45224</v>
      </c>
      <c r="I304" s="1">
        <v>410</v>
      </c>
      <c r="J304" s="1">
        <v>203.59</v>
      </c>
      <c r="K304" s="1">
        <v>149.83000000000001</v>
      </c>
    </row>
    <row r="305" spans="2:11" x14ac:dyDescent="0.25">
      <c r="B305" s="1" t="s">
        <v>327</v>
      </c>
      <c r="C305" s="1" t="s">
        <v>22</v>
      </c>
      <c r="D305" s="1" t="s">
        <v>31</v>
      </c>
      <c r="E305" s="1" t="s">
        <v>13</v>
      </c>
      <c r="F305" s="1" t="s">
        <v>24</v>
      </c>
      <c r="G305" s="1" t="s">
        <v>28</v>
      </c>
      <c r="H305" s="2">
        <v>45225</v>
      </c>
      <c r="I305" s="1">
        <v>85</v>
      </c>
      <c r="J305" s="1">
        <v>186.64</v>
      </c>
      <c r="K305" s="1">
        <v>26.89</v>
      </c>
    </row>
    <row r="306" spans="2:11" x14ac:dyDescent="0.25">
      <c r="B306" s="1" t="s">
        <v>328</v>
      </c>
      <c r="C306" s="1" t="s">
        <v>17</v>
      </c>
      <c r="D306" s="1" t="s">
        <v>26</v>
      </c>
      <c r="E306" s="1" t="s">
        <v>19</v>
      </c>
      <c r="F306" s="1" t="s">
        <v>14</v>
      </c>
      <c r="G306" s="1" t="s">
        <v>15</v>
      </c>
      <c r="H306" s="2">
        <v>45226</v>
      </c>
      <c r="I306" s="1">
        <v>386</v>
      </c>
      <c r="J306" s="1">
        <v>175.06</v>
      </c>
      <c r="K306" s="1">
        <v>320.94</v>
      </c>
    </row>
    <row r="307" spans="2:11" x14ac:dyDescent="0.25">
      <c r="B307" s="1" t="s">
        <v>329</v>
      </c>
      <c r="C307" s="1" t="s">
        <v>22</v>
      </c>
      <c r="D307" s="1" t="s">
        <v>50</v>
      </c>
      <c r="E307" s="1" t="s">
        <v>13</v>
      </c>
      <c r="F307" s="1" t="s">
        <v>14</v>
      </c>
      <c r="G307" s="1" t="s">
        <v>20</v>
      </c>
      <c r="H307" s="2">
        <v>45227</v>
      </c>
      <c r="I307" s="1">
        <v>55</v>
      </c>
      <c r="J307" s="1">
        <v>310.49</v>
      </c>
      <c r="K307" s="1">
        <v>307.10000000000002</v>
      </c>
    </row>
    <row r="308" spans="2:11" x14ac:dyDescent="0.25">
      <c r="B308" s="1" t="s">
        <v>330</v>
      </c>
      <c r="C308" s="1" t="s">
        <v>22</v>
      </c>
      <c r="D308" s="1" t="s">
        <v>50</v>
      </c>
      <c r="E308" s="1" t="s">
        <v>27</v>
      </c>
      <c r="F308" s="1" t="s">
        <v>24</v>
      </c>
      <c r="G308" s="1" t="s">
        <v>15</v>
      </c>
      <c r="H308" s="2">
        <v>45228</v>
      </c>
      <c r="I308" s="1">
        <v>169</v>
      </c>
      <c r="J308" s="1">
        <v>223.99</v>
      </c>
      <c r="K308" s="1">
        <v>293.98</v>
      </c>
    </row>
    <row r="309" spans="2:11" x14ac:dyDescent="0.25">
      <c r="B309" s="1" t="s">
        <v>331</v>
      </c>
      <c r="C309" s="1" t="s">
        <v>11</v>
      </c>
      <c r="D309" s="1" t="s">
        <v>31</v>
      </c>
      <c r="E309" s="1" t="s">
        <v>19</v>
      </c>
      <c r="F309" s="1" t="s">
        <v>14</v>
      </c>
      <c r="G309" s="1" t="s">
        <v>28</v>
      </c>
      <c r="H309" s="2">
        <v>45229</v>
      </c>
      <c r="I309" s="1">
        <v>472</v>
      </c>
      <c r="J309" s="1">
        <v>416.77</v>
      </c>
      <c r="K309" s="1">
        <v>121.18</v>
      </c>
    </row>
    <row r="310" spans="2:11" x14ac:dyDescent="0.25">
      <c r="B310" s="1" t="s">
        <v>332</v>
      </c>
      <c r="C310" s="1" t="s">
        <v>48</v>
      </c>
      <c r="D310" s="1" t="s">
        <v>12</v>
      </c>
      <c r="E310" s="1" t="s">
        <v>23</v>
      </c>
      <c r="F310" s="1" t="s">
        <v>14</v>
      </c>
      <c r="G310" s="1" t="s">
        <v>28</v>
      </c>
      <c r="H310" s="2">
        <v>45230</v>
      </c>
      <c r="I310" s="1">
        <v>89</v>
      </c>
      <c r="J310" s="1">
        <v>336.45</v>
      </c>
      <c r="K310" s="1">
        <v>71.05</v>
      </c>
    </row>
    <row r="311" spans="2:11" x14ac:dyDescent="0.25">
      <c r="B311" s="1" t="s">
        <v>333</v>
      </c>
      <c r="C311" s="1" t="s">
        <v>48</v>
      </c>
      <c r="D311" s="1" t="s">
        <v>18</v>
      </c>
      <c r="E311" s="1" t="s">
        <v>19</v>
      </c>
      <c r="F311" s="1" t="s">
        <v>14</v>
      </c>
      <c r="G311" s="1" t="s">
        <v>20</v>
      </c>
      <c r="H311" s="2">
        <v>45231</v>
      </c>
      <c r="I311" s="1">
        <v>319</v>
      </c>
      <c r="J311" s="1">
        <v>39.619999999999997</v>
      </c>
      <c r="K311" s="1">
        <v>255.75</v>
      </c>
    </row>
    <row r="312" spans="2:11" x14ac:dyDescent="0.25">
      <c r="B312" s="1" t="s">
        <v>334</v>
      </c>
      <c r="C312" s="1" t="s">
        <v>22</v>
      </c>
      <c r="D312" s="1" t="s">
        <v>12</v>
      </c>
      <c r="E312" s="1"/>
      <c r="F312" s="1" t="s">
        <v>14</v>
      </c>
      <c r="G312" s="1" t="s">
        <v>28</v>
      </c>
      <c r="H312" s="2">
        <v>45232</v>
      </c>
      <c r="I312" s="1">
        <v>95</v>
      </c>
      <c r="J312" s="1">
        <v>321.88</v>
      </c>
      <c r="K312" s="1">
        <v>199.47</v>
      </c>
    </row>
    <row r="313" spans="2:11" x14ac:dyDescent="0.25">
      <c r="B313" s="1" t="s">
        <v>335</v>
      </c>
      <c r="C313" s="1" t="s">
        <v>17</v>
      </c>
      <c r="D313" s="1" t="s">
        <v>31</v>
      </c>
      <c r="E313" s="1"/>
      <c r="F313" s="1" t="s">
        <v>24</v>
      </c>
      <c r="G313" s="1" t="s">
        <v>15</v>
      </c>
      <c r="H313" s="2">
        <v>45233</v>
      </c>
      <c r="I313" s="1">
        <v>101</v>
      </c>
      <c r="J313" s="1">
        <v>139.22</v>
      </c>
      <c r="K313" s="1">
        <v>72.94</v>
      </c>
    </row>
    <row r="314" spans="2:11" x14ac:dyDescent="0.25">
      <c r="B314" s="1" t="s">
        <v>336</v>
      </c>
      <c r="C314" s="1" t="s">
        <v>48</v>
      </c>
      <c r="D314" s="1" t="s">
        <v>50</v>
      </c>
      <c r="E314" s="1"/>
      <c r="F314" s="1" t="s">
        <v>14</v>
      </c>
      <c r="G314" s="1" t="s">
        <v>28</v>
      </c>
      <c r="H314" s="2">
        <v>45234</v>
      </c>
      <c r="I314" s="1">
        <v>157</v>
      </c>
      <c r="J314" s="1"/>
      <c r="K314" s="1">
        <v>274.99</v>
      </c>
    </row>
    <row r="315" spans="2:11" x14ac:dyDescent="0.25">
      <c r="B315" s="1" t="s">
        <v>337</v>
      </c>
      <c r="C315" s="1" t="s">
        <v>17</v>
      </c>
      <c r="D315" s="1" t="s">
        <v>12</v>
      </c>
      <c r="E315" s="1" t="s">
        <v>19</v>
      </c>
      <c r="F315" s="1" t="s">
        <v>14</v>
      </c>
      <c r="G315" s="1" t="s">
        <v>15</v>
      </c>
      <c r="H315" s="2">
        <v>45235</v>
      </c>
      <c r="I315" s="1">
        <v>170</v>
      </c>
      <c r="J315" s="1">
        <v>341.67</v>
      </c>
      <c r="K315" s="1">
        <v>396.47</v>
      </c>
    </row>
    <row r="316" spans="2:11" x14ac:dyDescent="0.25">
      <c r="B316" s="1" t="s">
        <v>338</v>
      </c>
      <c r="C316" s="1" t="s">
        <v>48</v>
      </c>
      <c r="D316" s="1" t="s">
        <v>50</v>
      </c>
      <c r="E316" s="1" t="s">
        <v>42</v>
      </c>
      <c r="F316" s="1" t="s">
        <v>14</v>
      </c>
      <c r="G316" s="1" t="s">
        <v>15</v>
      </c>
      <c r="H316" s="2">
        <v>45236</v>
      </c>
      <c r="I316" s="1">
        <v>211</v>
      </c>
      <c r="J316" s="1">
        <v>119.26</v>
      </c>
      <c r="K316" s="1">
        <v>299.39</v>
      </c>
    </row>
    <row r="317" spans="2:11" x14ac:dyDescent="0.25">
      <c r="B317" s="1" t="s">
        <v>339</v>
      </c>
      <c r="C317" s="1" t="s">
        <v>17</v>
      </c>
      <c r="D317" s="1" t="s">
        <v>18</v>
      </c>
      <c r="E317" s="1" t="s">
        <v>27</v>
      </c>
      <c r="F317" s="1" t="s">
        <v>14</v>
      </c>
      <c r="G317" s="1" t="s">
        <v>28</v>
      </c>
      <c r="H317" s="2">
        <v>45237</v>
      </c>
      <c r="I317" s="1">
        <v>433</v>
      </c>
      <c r="J317" s="1">
        <v>231.15</v>
      </c>
      <c r="K317" s="1">
        <v>296.51</v>
      </c>
    </row>
    <row r="318" spans="2:11" x14ac:dyDescent="0.25">
      <c r="B318" s="1" t="s">
        <v>340</v>
      </c>
      <c r="C318" s="1" t="s">
        <v>11</v>
      </c>
      <c r="D318" s="1" t="s">
        <v>50</v>
      </c>
      <c r="E318" s="1" t="s">
        <v>13</v>
      </c>
      <c r="F318" s="1" t="s">
        <v>24</v>
      </c>
      <c r="G318" s="1" t="s">
        <v>20</v>
      </c>
      <c r="H318" s="2">
        <v>45238</v>
      </c>
      <c r="I318" s="1">
        <v>425</v>
      </c>
      <c r="J318" s="1">
        <v>99.21</v>
      </c>
      <c r="K318" s="1">
        <v>380.22</v>
      </c>
    </row>
    <row r="319" spans="2:11" x14ac:dyDescent="0.25">
      <c r="B319" s="1" t="s">
        <v>341</v>
      </c>
      <c r="C319" s="1" t="s">
        <v>17</v>
      </c>
      <c r="D319" s="1" t="s">
        <v>50</v>
      </c>
      <c r="E319" s="1" t="s">
        <v>23</v>
      </c>
      <c r="F319" s="1" t="s">
        <v>24</v>
      </c>
      <c r="G319" s="1" t="s">
        <v>28</v>
      </c>
      <c r="H319" s="2">
        <v>45239</v>
      </c>
      <c r="I319" s="1">
        <v>251</v>
      </c>
      <c r="J319" s="1">
        <v>30.91</v>
      </c>
      <c r="K319" s="1">
        <v>82.77</v>
      </c>
    </row>
    <row r="320" spans="2:11" x14ac:dyDescent="0.25">
      <c r="B320" s="1" t="s">
        <v>342</v>
      </c>
      <c r="C320" s="1" t="s">
        <v>11</v>
      </c>
      <c r="D320" s="1" t="s">
        <v>26</v>
      </c>
      <c r="E320" s="1" t="s">
        <v>19</v>
      </c>
      <c r="F320" s="1" t="s">
        <v>14</v>
      </c>
      <c r="G320" s="1" t="s">
        <v>15</v>
      </c>
      <c r="H320" s="2">
        <v>45240</v>
      </c>
      <c r="I320" s="1"/>
      <c r="J320" s="1">
        <v>192.35</v>
      </c>
      <c r="K320" s="1">
        <v>227.09</v>
      </c>
    </row>
    <row r="321" spans="2:11" x14ac:dyDescent="0.25">
      <c r="B321" s="1" t="s">
        <v>343</v>
      </c>
      <c r="C321" s="1" t="s">
        <v>11</v>
      </c>
      <c r="D321" s="1" t="s">
        <v>26</v>
      </c>
      <c r="E321" s="1" t="s">
        <v>13</v>
      </c>
      <c r="F321" s="1" t="s">
        <v>14</v>
      </c>
      <c r="G321" s="1" t="s">
        <v>15</v>
      </c>
      <c r="H321" s="2">
        <v>45241</v>
      </c>
      <c r="I321" s="1">
        <v>11</v>
      </c>
      <c r="J321" s="1">
        <v>184.66</v>
      </c>
      <c r="K321" s="1">
        <v>391.9</v>
      </c>
    </row>
    <row r="322" spans="2:11" x14ac:dyDescent="0.25">
      <c r="B322" s="1" t="s">
        <v>344</v>
      </c>
      <c r="C322" s="1" t="s">
        <v>17</v>
      </c>
      <c r="D322" s="1" t="s">
        <v>26</v>
      </c>
      <c r="E322" s="1" t="s">
        <v>23</v>
      </c>
      <c r="F322" s="1" t="s">
        <v>14</v>
      </c>
      <c r="G322" s="1" t="s">
        <v>28</v>
      </c>
      <c r="H322" s="2">
        <v>45242</v>
      </c>
      <c r="I322" s="1">
        <v>234</v>
      </c>
      <c r="J322" s="1">
        <v>497.76</v>
      </c>
      <c r="K322" s="1">
        <v>67.790000000000006</v>
      </c>
    </row>
    <row r="323" spans="2:11" x14ac:dyDescent="0.25">
      <c r="B323" s="1" t="s">
        <v>345</v>
      </c>
      <c r="C323" s="1" t="s">
        <v>11</v>
      </c>
      <c r="D323" s="1" t="s">
        <v>50</v>
      </c>
      <c r="E323" s="1" t="s">
        <v>23</v>
      </c>
      <c r="F323" s="1" t="s">
        <v>14</v>
      </c>
      <c r="G323" s="1" t="s">
        <v>20</v>
      </c>
      <c r="H323" s="2">
        <v>45243</v>
      </c>
      <c r="I323" s="1"/>
      <c r="J323" s="1">
        <v>225.94</v>
      </c>
      <c r="K323" s="1">
        <v>280.7</v>
      </c>
    </row>
    <row r="324" spans="2:11" x14ac:dyDescent="0.25">
      <c r="B324" s="1" t="s">
        <v>346</v>
      </c>
      <c r="C324" s="1" t="s">
        <v>22</v>
      </c>
      <c r="D324" s="1" t="s">
        <v>31</v>
      </c>
      <c r="E324" s="1" t="s">
        <v>42</v>
      </c>
      <c r="F324" s="1" t="s">
        <v>14</v>
      </c>
      <c r="G324" s="1" t="s">
        <v>20</v>
      </c>
      <c r="H324" s="2">
        <v>45244</v>
      </c>
      <c r="I324" s="1">
        <v>242</v>
      </c>
      <c r="J324" s="1">
        <v>170.12</v>
      </c>
      <c r="K324" s="1">
        <v>235.15</v>
      </c>
    </row>
    <row r="325" spans="2:11" x14ac:dyDescent="0.25">
      <c r="B325" s="1" t="s">
        <v>347</v>
      </c>
      <c r="C325" s="1" t="s">
        <v>11</v>
      </c>
      <c r="D325" s="1" t="s">
        <v>50</v>
      </c>
      <c r="E325" s="1" t="s">
        <v>27</v>
      </c>
      <c r="F325" s="1" t="s">
        <v>14</v>
      </c>
      <c r="G325" s="1" t="s">
        <v>15</v>
      </c>
      <c r="H325" s="2">
        <v>45245</v>
      </c>
      <c r="I325" s="1">
        <v>470</v>
      </c>
      <c r="J325" s="1">
        <v>292.33999999999997</v>
      </c>
      <c r="K325" s="1">
        <v>235.42</v>
      </c>
    </row>
    <row r="326" spans="2:11" x14ac:dyDescent="0.25">
      <c r="B326" s="1" t="s">
        <v>348</v>
      </c>
      <c r="C326" s="1" t="s">
        <v>48</v>
      </c>
      <c r="D326" s="1" t="s">
        <v>31</v>
      </c>
      <c r="E326" s="1" t="s">
        <v>27</v>
      </c>
      <c r="F326" s="1" t="s">
        <v>24</v>
      </c>
      <c r="G326" s="1" t="s">
        <v>15</v>
      </c>
      <c r="H326" s="2">
        <v>45246</v>
      </c>
      <c r="I326" s="1">
        <v>423</v>
      </c>
      <c r="J326" s="1">
        <v>48.94</v>
      </c>
      <c r="K326" s="1">
        <v>279.67</v>
      </c>
    </row>
    <row r="327" spans="2:11" x14ac:dyDescent="0.25">
      <c r="B327" s="1" t="s">
        <v>349</v>
      </c>
      <c r="C327" s="1" t="s">
        <v>17</v>
      </c>
      <c r="D327" s="1" t="s">
        <v>31</v>
      </c>
      <c r="E327" s="1" t="s">
        <v>13</v>
      </c>
      <c r="F327" s="1" t="s">
        <v>14</v>
      </c>
      <c r="G327" s="1" t="s">
        <v>20</v>
      </c>
      <c r="H327" s="2">
        <v>45247</v>
      </c>
      <c r="I327" s="1">
        <v>426</v>
      </c>
      <c r="J327" s="1">
        <v>481.02</v>
      </c>
      <c r="K327" s="1">
        <v>371.99</v>
      </c>
    </row>
    <row r="328" spans="2:11" x14ac:dyDescent="0.25">
      <c r="B328" s="1" t="s">
        <v>350</v>
      </c>
      <c r="C328" s="1" t="s">
        <v>22</v>
      </c>
      <c r="D328" s="1" t="s">
        <v>26</v>
      </c>
      <c r="E328" s="1" t="s">
        <v>27</v>
      </c>
      <c r="F328" s="1" t="s">
        <v>24</v>
      </c>
      <c r="G328" s="1" t="s">
        <v>28</v>
      </c>
      <c r="H328" s="2">
        <v>45248</v>
      </c>
      <c r="I328" s="1">
        <v>86</v>
      </c>
      <c r="J328" s="1">
        <v>319.31</v>
      </c>
      <c r="K328" s="1">
        <v>313.47000000000003</v>
      </c>
    </row>
    <row r="329" spans="2:11" x14ac:dyDescent="0.25">
      <c r="B329" s="1" t="s">
        <v>351</v>
      </c>
      <c r="C329" s="1" t="s">
        <v>17</v>
      </c>
      <c r="D329" s="1" t="s">
        <v>12</v>
      </c>
      <c r="E329" s="1" t="s">
        <v>19</v>
      </c>
      <c r="F329" s="1" t="s">
        <v>24</v>
      </c>
      <c r="G329" s="1" t="s">
        <v>15</v>
      </c>
      <c r="H329" s="2">
        <v>45249</v>
      </c>
      <c r="I329" s="1">
        <v>125</v>
      </c>
      <c r="J329" s="1">
        <v>378.64</v>
      </c>
      <c r="K329" s="1">
        <v>24.34</v>
      </c>
    </row>
    <row r="330" spans="2:11" x14ac:dyDescent="0.25">
      <c r="B330" s="1" t="s">
        <v>352</v>
      </c>
      <c r="C330" s="1" t="s">
        <v>48</v>
      </c>
      <c r="D330" s="1" t="s">
        <v>18</v>
      </c>
      <c r="E330" s="1"/>
      <c r="F330" s="1" t="s">
        <v>14</v>
      </c>
      <c r="G330" s="1" t="s">
        <v>15</v>
      </c>
      <c r="H330" s="2">
        <v>45250</v>
      </c>
      <c r="I330" s="1">
        <v>163</v>
      </c>
      <c r="J330" s="1">
        <v>89.39</v>
      </c>
      <c r="K330" s="1">
        <v>341.39</v>
      </c>
    </row>
    <row r="331" spans="2:11" x14ac:dyDescent="0.25">
      <c r="B331" s="1" t="s">
        <v>353</v>
      </c>
      <c r="C331" s="1" t="s">
        <v>48</v>
      </c>
      <c r="D331" s="1" t="s">
        <v>26</v>
      </c>
      <c r="E331" s="1" t="s">
        <v>13</v>
      </c>
      <c r="F331" s="1" t="s">
        <v>24</v>
      </c>
      <c r="G331" s="1" t="s">
        <v>20</v>
      </c>
      <c r="H331" s="2">
        <v>45251</v>
      </c>
      <c r="I331" s="1">
        <v>415</v>
      </c>
      <c r="J331" s="1">
        <v>207.69</v>
      </c>
      <c r="K331" s="1">
        <v>91.77</v>
      </c>
    </row>
    <row r="332" spans="2:11" x14ac:dyDescent="0.25">
      <c r="B332" s="1" t="s">
        <v>354</v>
      </c>
      <c r="C332" s="1" t="s">
        <v>48</v>
      </c>
      <c r="D332" s="1" t="s">
        <v>26</v>
      </c>
      <c r="E332" s="1" t="s">
        <v>27</v>
      </c>
      <c r="F332" s="1" t="s">
        <v>24</v>
      </c>
      <c r="G332" s="1" t="s">
        <v>28</v>
      </c>
      <c r="H332" s="2">
        <v>45252</v>
      </c>
      <c r="I332" s="1">
        <v>112</v>
      </c>
      <c r="J332" s="1">
        <v>214.23</v>
      </c>
      <c r="K332" s="1">
        <v>152.01</v>
      </c>
    </row>
    <row r="333" spans="2:11" x14ac:dyDescent="0.25">
      <c r="B333" s="1" t="s">
        <v>355</v>
      </c>
      <c r="C333" s="1" t="s">
        <v>11</v>
      </c>
      <c r="D333" s="1" t="s">
        <v>12</v>
      </c>
      <c r="E333" s="1" t="s">
        <v>19</v>
      </c>
      <c r="F333" s="1" t="s">
        <v>24</v>
      </c>
      <c r="G333" s="1" t="s">
        <v>20</v>
      </c>
      <c r="H333" s="2">
        <v>45253</v>
      </c>
      <c r="I333" s="1">
        <v>203</v>
      </c>
      <c r="J333" s="1">
        <v>411.79</v>
      </c>
      <c r="K333" s="1">
        <v>185.77</v>
      </c>
    </row>
    <row r="334" spans="2:11" x14ac:dyDescent="0.25">
      <c r="B334" s="1" t="s">
        <v>356</v>
      </c>
      <c r="C334" s="1" t="s">
        <v>11</v>
      </c>
      <c r="D334" s="1" t="s">
        <v>18</v>
      </c>
      <c r="E334" s="1" t="s">
        <v>42</v>
      </c>
      <c r="F334" s="1" t="s">
        <v>24</v>
      </c>
      <c r="G334" s="1" t="s">
        <v>28</v>
      </c>
      <c r="H334" s="2">
        <v>45254</v>
      </c>
      <c r="I334" s="1"/>
      <c r="J334" s="1">
        <v>5.61</v>
      </c>
      <c r="K334" s="1">
        <v>193.4</v>
      </c>
    </row>
    <row r="335" spans="2:11" x14ac:dyDescent="0.25">
      <c r="B335" s="1" t="s">
        <v>357</v>
      </c>
      <c r="C335" s="1" t="s">
        <v>17</v>
      </c>
      <c r="D335" s="1" t="s">
        <v>50</v>
      </c>
      <c r="E335" s="1" t="s">
        <v>13</v>
      </c>
      <c r="F335" s="1" t="s">
        <v>24</v>
      </c>
      <c r="G335" s="1" t="s">
        <v>28</v>
      </c>
      <c r="H335" s="2">
        <v>45255</v>
      </c>
      <c r="I335" s="1">
        <v>368</v>
      </c>
      <c r="J335" s="1">
        <v>153.91999999999999</v>
      </c>
      <c r="K335" s="1">
        <v>175.2</v>
      </c>
    </row>
    <row r="336" spans="2:11" x14ac:dyDescent="0.25">
      <c r="B336" s="1" t="s">
        <v>358</v>
      </c>
      <c r="C336" s="1" t="s">
        <v>17</v>
      </c>
      <c r="D336" s="1" t="s">
        <v>50</v>
      </c>
      <c r="E336" s="1" t="s">
        <v>42</v>
      </c>
      <c r="F336" s="1" t="s">
        <v>24</v>
      </c>
      <c r="G336" s="1" t="s">
        <v>28</v>
      </c>
      <c r="H336" s="2">
        <v>45256</v>
      </c>
      <c r="I336" s="1">
        <v>99</v>
      </c>
      <c r="J336" s="1">
        <v>490.71</v>
      </c>
      <c r="K336" s="1">
        <v>375.07</v>
      </c>
    </row>
    <row r="337" spans="2:11" x14ac:dyDescent="0.25">
      <c r="B337" s="1" t="s">
        <v>359</v>
      </c>
      <c r="C337" s="1" t="s">
        <v>22</v>
      </c>
      <c r="D337" s="1" t="s">
        <v>26</v>
      </c>
      <c r="E337" s="1" t="s">
        <v>42</v>
      </c>
      <c r="F337" s="1" t="s">
        <v>14</v>
      </c>
      <c r="G337" s="1" t="s">
        <v>15</v>
      </c>
      <c r="H337" s="2">
        <v>45257</v>
      </c>
      <c r="I337" s="1">
        <v>183</v>
      </c>
      <c r="J337" s="1">
        <v>240.07</v>
      </c>
      <c r="K337" s="1">
        <v>283</v>
      </c>
    </row>
    <row r="338" spans="2:11" x14ac:dyDescent="0.25">
      <c r="B338" s="1" t="s">
        <v>360</v>
      </c>
      <c r="C338" s="1"/>
      <c r="D338" s="1" t="s">
        <v>18</v>
      </c>
      <c r="E338" s="1" t="s">
        <v>42</v>
      </c>
      <c r="F338" s="1" t="s">
        <v>24</v>
      </c>
      <c r="G338" s="1" t="s">
        <v>20</v>
      </c>
      <c r="H338" s="2">
        <v>45258</v>
      </c>
      <c r="I338" s="1">
        <v>131</v>
      </c>
      <c r="J338" s="1">
        <v>194.35</v>
      </c>
      <c r="K338" s="1">
        <v>253.21</v>
      </c>
    </row>
    <row r="339" spans="2:11" x14ac:dyDescent="0.25">
      <c r="B339" s="1" t="s">
        <v>361</v>
      </c>
      <c r="C339" s="1" t="s">
        <v>17</v>
      </c>
      <c r="D339" s="1" t="s">
        <v>26</v>
      </c>
      <c r="E339" s="1" t="s">
        <v>23</v>
      </c>
      <c r="F339" s="1" t="s">
        <v>24</v>
      </c>
      <c r="G339" s="1" t="s">
        <v>20</v>
      </c>
      <c r="H339" s="2">
        <v>45259</v>
      </c>
      <c r="I339" s="1">
        <v>152</v>
      </c>
      <c r="J339" s="1">
        <v>64.319999999999993</v>
      </c>
      <c r="K339" s="1">
        <v>21.84</v>
      </c>
    </row>
    <row r="340" spans="2:11" x14ac:dyDescent="0.25">
      <c r="B340" s="1" t="s">
        <v>362</v>
      </c>
      <c r="C340" s="1" t="s">
        <v>11</v>
      </c>
      <c r="D340" s="1" t="s">
        <v>31</v>
      </c>
      <c r="E340" s="1" t="s">
        <v>23</v>
      </c>
      <c r="F340" s="1" t="s">
        <v>24</v>
      </c>
      <c r="G340" s="1" t="s">
        <v>28</v>
      </c>
      <c r="H340" s="2">
        <v>45260</v>
      </c>
      <c r="I340" s="1">
        <v>491</v>
      </c>
      <c r="J340" s="1">
        <v>487.21</v>
      </c>
      <c r="K340" s="1">
        <v>361.76</v>
      </c>
    </row>
    <row r="341" spans="2:11" x14ac:dyDescent="0.25">
      <c r="B341" s="1" t="s">
        <v>363</v>
      </c>
      <c r="C341" s="1" t="s">
        <v>48</v>
      </c>
      <c r="D341" s="1" t="s">
        <v>26</v>
      </c>
      <c r="E341" s="1" t="s">
        <v>42</v>
      </c>
      <c r="F341" s="1" t="s">
        <v>14</v>
      </c>
      <c r="G341" s="1" t="s">
        <v>15</v>
      </c>
      <c r="H341" s="2">
        <v>45261</v>
      </c>
      <c r="I341" s="1">
        <v>115</v>
      </c>
      <c r="J341" s="1">
        <v>14.91</v>
      </c>
      <c r="K341" s="1">
        <v>363.94</v>
      </c>
    </row>
    <row r="342" spans="2:11" x14ac:dyDescent="0.25">
      <c r="B342" s="1" t="s">
        <v>364</v>
      </c>
      <c r="C342" s="1" t="s">
        <v>17</v>
      </c>
      <c r="D342" s="1" t="s">
        <v>26</v>
      </c>
      <c r="E342" s="1" t="s">
        <v>13</v>
      </c>
      <c r="F342" s="1" t="s">
        <v>24</v>
      </c>
      <c r="G342" s="1" t="s">
        <v>15</v>
      </c>
      <c r="H342" s="2">
        <v>45262</v>
      </c>
      <c r="I342" s="1">
        <v>384</v>
      </c>
      <c r="J342" s="1">
        <v>369.9</v>
      </c>
      <c r="K342" s="1">
        <v>312.52</v>
      </c>
    </row>
    <row r="343" spans="2:11" x14ac:dyDescent="0.25">
      <c r="B343" s="1" t="s">
        <v>365</v>
      </c>
      <c r="C343" s="1" t="s">
        <v>22</v>
      </c>
      <c r="D343" s="1" t="s">
        <v>50</v>
      </c>
      <c r="E343" s="1" t="s">
        <v>19</v>
      </c>
      <c r="F343" s="1" t="s">
        <v>14</v>
      </c>
      <c r="G343" s="1" t="s">
        <v>20</v>
      </c>
      <c r="H343" s="2">
        <v>45263</v>
      </c>
      <c r="I343" s="1">
        <v>437</v>
      </c>
      <c r="J343" s="1">
        <v>385.46</v>
      </c>
      <c r="K343" s="1">
        <v>4.8</v>
      </c>
    </row>
    <row r="344" spans="2:11" x14ac:dyDescent="0.25">
      <c r="B344" s="1" t="s">
        <v>366</v>
      </c>
      <c r="C344" s="1" t="s">
        <v>11</v>
      </c>
      <c r="D344" s="1" t="s">
        <v>50</v>
      </c>
      <c r="E344" s="1" t="s">
        <v>19</v>
      </c>
      <c r="F344" s="1" t="s">
        <v>24</v>
      </c>
      <c r="G344" s="1" t="s">
        <v>15</v>
      </c>
      <c r="H344" s="2">
        <v>45264</v>
      </c>
      <c r="I344" s="1">
        <v>314</v>
      </c>
      <c r="J344" s="1">
        <v>125.61</v>
      </c>
      <c r="K344" s="1">
        <v>24.8</v>
      </c>
    </row>
    <row r="345" spans="2:11" x14ac:dyDescent="0.25">
      <c r="B345" s="1" t="s">
        <v>367</v>
      </c>
      <c r="C345" s="1" t="s">
        <v>17</v>
      </c>
      <c r="D345" s="1" t="s">
        <v>50</v>
      </c>
      <c r="E345" s="1" t="s">
        <v>27</v>
      </c>
      <c r="F345" s="1" t="s">
        <v>14</v>
      </c>
      <c r="G345" s="1" t="s">
        <v>15</v>
      </c>
      <c r="H345" s="2">
        <v>45265</v>
      </c>
      <c r="I345" s="1">
        <v>369</v>
      </c>
      <c r="J345" s="1">
        <v>337.42</v>
      </c>
      <c r="K345" s="1">
        <v>91.64</v>
      </c>
    </row>
    <row r="346" spans="2:11" x14ac:dyDescent="0.25">
      <c r="B346" s="1" t="s">
        <v>368</v>
      </c>
      <c r="C346" s="1" t="s">
        <v>17</v>
      </c>
      <c r="D346" s="1" t="s">
        <v>31</v>
      </c>
      <c r="E346" s="1" t="s">
        <v>13</v>
      </c>
      <c r="F346" s="1" t="s">
        <v>14</v>
      </c>
      <c r="G346" s="1" t="s">
        <v>28</v>
      </c>
      <c r="H346" s="2">
        <v>45266</v>
      </c>
      <c r="I346" s="1">
        <v>468</v>
      </c>
      <c r="J346" s="1">
        <v>51</v>
      </c>
      <c r="K346" s="1">
        <v>54.28</v>
      </c>
    </row>
    <row r="347" spans="2:11" x14ac:dyDescent="0.25">
      <c r="B347" s="1" t="s">
        <v>369</v>
      </c>
      <c r="C347" s="1" t="s">
        <v>11</v>
      </c>
      <c r="D347" s="1" t="s">
        <v>50</v>
      </c>
      <c r="E347" s="1" t="s">
        <v>23</v>
      </c>
      <c r="F347" s="1" t="s">
        <v>24</v>
      </c>
      <c r="G347" s="1" t="s">
        <v>15</v>
      </c>
      <c r="H347" s="2">
        <v>45267</v>
      </c>
      <c r="I347" s="1">
        <v>326</v>
      </c>
      <c r="J347" s="1">
        <v>132.24</v>
      </c>
      <c r="K347" s="1">
        <v>160.74</v>
      </c>
    </row>
    <row r="348" spans="2:11" x14ac:dyDescent="0.25">
      <c r="B348" s="1" t="s">
        <v>370</v>
      </c>
      <c r="C348" s="1" t="s">
        <v>17</v>
      </c>
      <c r="D348" s="1" t="s">
        <v>18</v>
      </c>
      <c r="E348" s="1" t="s">
        <v>42</v>
      </c>
      <c r="F348" s="1" t="s">
        <v>24</v>
      </c>
      <c r="G348" s="1" t="s">
        <v>28</v>
      </c>
      <c r="H348" s="2">
        <v>45268</v>
      </c>
      <c r="I348" s="1">
        <v>460</v>
      </c>
      <c r="J348" s="1">
        <v>395.01</v>
      </c>
      <c r="K348" s="1">
        <v>369.2</v>
      </c>
    </row>
    <row r="349" spans="2:11" x14ac:dyDescent="0.25">
      <c r="B349" s="1" t="s">
        <v>371</v>
      </c>
      <c r="C349" s="1" t="s">
        <v>11</v>
      </c>
      <c r="D349" s="1" t="s">
        <v>12</v>
      </c>
      <c r="E349" s="1" t="s">
        <v>27</v>
      </c>
      <c r="F349" s="1" t="s">
        <v>14</v>
      </c>
      <c r="G349" s="1" t="s">
        <v>20</v>
      </c>
      <c r="H349" s="2">
        <v>45269</v>
      </c>
      <c r="I349" s="1">
        <v>132</v>
      </c>
      <c r="J349" s="1">
        <v>433.02</v>
      </c>
      <c r="K349" s="1">
        <v>189.88</v>
      </c>
    </row>
    <row r="350" spans="2:11" x14ac:dyDescent="0.25">
      <c r="B350" s="1" t="s">
        <v>372</v>
      </c>
      <c r="C350" s="1" t="s">
        <v>48</v>
      </c>
      <c r="D350" s="1" t="s">
        <v>18</v>
      </c>
      <c r="E350" s="1" t="s">
        <v>19</v>
      </c>
      <c r="F350" s="1" t="s">
        <v>24</v>
      </c>
      <c r="G350" s="1" t="s">
        <v>15</v>
      </c>
      <c r="H350" s="2">
        <v>45270</v>
      </c>
      <c r="I350" s="1">
        <v>399</v>
      </c>
      <c r="J350" s="1">
        <v>306.2</v>
      </c>
      <c r="K350" s="1">
        <v>7.33</v>
      </c>
    </row>
    <row r="351" spans="2:11" x14ac:dyDescent="0.25">
      <c r="B351" s="1" t="s">
        <v>373</v>
      </c>
      <c r="C351" s="1" t="s">
        <v>11</v>
      </c>
      <c r="D351" s="1" t="s">
        <v>18</v>
      </c>
      <c r="E351" s="1" t="s">
        <v>23</v>
      </c>
      <c r="F351" s="1" t="s">
        <v>14</v>
      </c>
      <c r="G351" s="1" t="s">
        <v>20</v>
      </c>
      <c r="H351" s="2">
        <v>45271</v>
      </c>
      <c r="I351" s="1">
        <v>18</v>
      </c>
      <c r="J351" s="1">
        <v>255.89</v>
      </c>
      <c r="K351" s="1">
        <v>114.53</v>
      </c>
    </row>
    <row r="352" spans="2:11" x14ac:dyDescent="0.25">
      <c r="B352" s="1" t="s">
        <v>374</v>
      </c>
      <c r="C352" s="1" t="s">
        <v>11</v>
      </c>
      <c r="D352" s="1" t="s">
        <v>50</v>
      </c>
      <c r="E352" s="1" t="s">
        <v>23</v>
      </c>
      <c r="F352" s="1" t="s">
        <v>14</v>
      </c>
      <c r="G352" s="1" t="s">
        <v>20</v>
      </c>
      <c r="H352" s="2">
        <v>45272</v>
      </c>
      <c r="I352" s="1">
        <v>271</v>
      </c>
      <c r="J352" s="1">
        <v>83.86</v>
      </c>
      <c r="K352" s="1">
        <v>19.75</v>
      </c>
    </row>
    <row r="353" spans="2:11" x14ac:dyDescent="0.25">
      <c r="B353" s="1" t="s">
        <v>375</v>
      </c>
      <c r="C353" s="1"/>
      <c r="D353" s="1" t="s">
        <v>12</v>
      </c>
      <c r="E353" s="1" t="s">
        <v>42</v>
      </c>
      <c r="F353" s="1" t="s">
        <v>14</v>
      </c>
      <c r="G353" s="1" t="s">
        <v>15</v>
      </c>
      <c r="H353" s="2">
        <v>45273</v>
      </c>
      <c r="I353" s="1">
        <v>82</v>
      </c>
      <c r="J353" s="1">
        <v>36.24</v>
      </c>
      <c r="K353" s="1">
        <v>16.440000000000001</v>
      </c>
    </row>
    <row r="354" spans="2:11" x14ac:dyDescent="0.25">
      <c r="B354" s="1" t="s">
        <v>376</v>
      </c>
      <c r="C354" s="1" t="s">
        <v>17</v>
      </c>
      <c r="D354" s="1" t="s">
        <v>12</v>
      </c>
      <c r="E354" s="1" t="s">
        <v>19</v>
      </c>
      <c r="F354" s="1" t="s">
        <v>14</v>
      </c>
      <c r="G354" s="1" t="s">
        <v>15</v>
      </c>
      <c r="H354" s="2">
        <v>45274</v>
      </c>
      <c r="I354" s="1">
        <v>368</v>
      </c>
      <c r="J354" s="1">
        <v>63.24</v>
      </c>
      <c r="K354" s="1">
        <v>111.74</v>
      </c>
    </row>
    <row r="355" spans="2:11" x14ac:dyDescent="0.25">
      <c r="B355" s="1" t="s">
        <v>377</v>
      </c>
      <c r="C355" s="1" t="s">
        <v>17</v>
      </c>
      <c r="D355" s="1" t="s">
        <v>12</v>
      </c>
      <c r="E355" s="1" t="s">
        <v>13</v>
      </c>
      <c r="F355" s="1" t="s">
        <v>14</v>
      </c>
      <c r="G355" s="1" t="s">
        <v>20</v>
      </c>
      <c r="H355" s="2">
        <v>45275</v>
      </c>
      <c r="I355" s="1">
        <v>232</v>
      </c>
      <c r="J355" s="1">
        <v>117.54</v>
      </c>
      <c r="K355" s="1">
        <v>111.69</v>
      </c>
    </row>
    <row r="356" spans="2:11" x14ac:dyDescent="0.25">
      <c r="B356" s="1" t="s">
        <v>378</v>
      </c>
      <c r="C356" s="1" t="s">
        <v>11</v>
      </c>
      <c r="D356" s="1" t="s">
        <v>31</v>
      </c>
      <c r="E356" s="1" t="s">
        <v>23</v>
      </c>
      <c r="F356" s="1" t="s">
        <v>24</v>
      </c>
      <c r="G356" s="1" t="s">
        <v>15</v>
      </c>
      <c r="H356" s="2">
        <v>45276</v>
      </c>
      <c r="I356" s="1">
        <v>425</v>
      </c>
      <c r="J356" s="1">
        <v>174.13</v>
      </c>
      <c r="K356" s="1">
        <v>315.27999999999997</v>
      </c>
    </row>
  </sheetData>
  <autoFilter ref="B6:K6" xr:uid="{17CCCAF3-4192-4D32-8A09-EF653ADFEF17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D33C5-2B83-45A3-815E-BC113EB9D687}">
  <dimension ref="A2:O356"/>
  <sheetViews>
    <sheetView workbookViewId="0">
      <selection activeCell="O11" sqref="O11"/>
    </sheetView>
  </sheetViews>
  <sheetFormatPr defaultRowHeight="15" x14ac:dyDescent="0.25"/>
  <cols>
    <col min="5" max="5" width="11.140625" bestFit="1" customWidth="1"/>
    <col min="8" max="8" width="15.85546875" bestFit="1" customWidth="1"/>
    <col min="14" max="14" width="7.7109375" bestFit="1" customWidth="1"/>
    <col min="15" max="15" width="9.7109375" bestFit="1" customWidth="1"/>
  </cols>
  <sheetData>
    <row r="2" spans="1:15" ht="21" x14ac:dyDescent="0.35">
      <c r="A2" s="4" t="s">
        <v>379</v>
      </c>
      <c r="B2" s="4" t="s">
        <v>382</v>
      </c>
    </row>
    <row r="4" spans="1:15" ht="21" x14ac:dyDescent="0.35">
      <c r="A4" s="4" t="s">
        <v>381</v>
      </c>
    </row>
    <row r="6" spans="1:15" ht="15.75" x14ac:dyDescent="0.25">
      <c r="B6" s="3" t="s">
        <v>0</v>
      </c>
      <c r="C6" s="3" t="s">
        <v>1</v>
      </c>
      <c r="D6" s="3" t="s">
        <v>2</v>
      </c>
      <c r="E6" s="3" t="s">
        <v>3</v>
      </c>
      <c r="F6" s="3" t="s">
        <v>4</v>
      </c>
      <c r="G6" s="3" t="s">
        <v>5</v>
      </c>
      <c r="H6" s="3" t="s">
        <v>6</v>
      </c>
      <c r="I6" s="3" t="s">
        <v>7</v>
      </c>
      <c r="J6" s="3" t="s">
        <v>8</v>
      </c>
      <c r="K6" s="3" t="s">
        <v>9</v>
      </c>
      <c r="N6" s="34" t="s">
        <v>1</v>
      </c>
      <c r="O6" s="34" t="s">
        <v>3</v>
      </c>
    </row>
    <row r="7" spans="1:15" ht="15.75" x14ac:dyDescent="0.25">
      <c r="B7" s="1" t="s">
        <v>10</v>
      </c>
      <c r="C7" s="1" t="s">
        <v>11</v>
      </c>
      <c r="D7" s="1" t="s">
        <v>12</v>
      </c>
      <c r="E7" s="1" t="s">
        <v>13</v>
      </c>
      <c r="F7" s="1" t="s">
        <v>14</v>
      </c>
      <c r="G7" s="1" t="s">
        <v>15</v>
      </c>
      <c r="H7" s="2">
        <v>44927</v>
      </c>
      <c r="I7" s="1">
        <v>235</v>
      </c>
      <c r="J7" s="1">
        <v>152.91999999999999</v>
      </c>
      <c r="K7" s="1">
        <v>153.6</v>
      </c>
      <c r="N7" s="35">
        <f>COUNTBLANK($C$7:$C$356)</f>
        <v>0</v>
      </c>
      <c r="O7" s="35">
        <f>COUNTBLANK($E$7:$E$356)</f>
        <v>0</v>
      </c>
    </row>
    <row r="8" spans="1:15" x14ac:dyDescent="0.25">
      <c r="B8" s="1" t="s">
        <v>16</v>
      </c>
      <c r="C8" s="1" t="s">
        <v>17</v>
      </c>
      <c r="D8" s="1" t="s">
        <v>18</v>
      </c>
      <c r="E8" s="1" t="s">
        <v>19</v>
      </c>
      <c r="F8" s="1" t="s">
        <v>14</v>
      </c>
      <c r="G8" s="1" t="s">
        <v>20</v>
      </c>
      <c r="H8" s="2">
        <v>44928</v>
      </c>
      <c r="I8" s="1">
        <v>341</v>
      </c>
      <c r="J8" s="1">
        <v>467.92</v>
      </c>
      <c r="K8" s="1">
        <v>139.84</v>
      </c>
    </row>
    <row r="9" spans="1:15" x14ac:dyDescent="0.25">
      <c r="B9" s="1" t="s">
        <v>21</v>
      </c>
      <c r="C9" s="1" t="s">
        <v>22</v>
      </c>
      <c r="D9" s="1" t="s">
        <v>18</v>
      </c>
      <c r="E9" s="1" t="s">
        <v>23</v>
      </c>
      <c r="F9" s="1" t="s">
        <v>24</v>
      </c>
      <c r="G9" s="1" t="s">
        <v>15</v>
      </c>
      <c r="H9" s="2">
        <v>44929</v>
      </c>
      <c r="I9" s="1">
        <v>179</v>
      </c>
      <c r="J9" s="1">
        <v>473.94</v>
      </c>
      <c r="K9" s="1">
        <v>97.14</v>
      </c>
    </row>
    <row r="10" spans="1:15" x14ac:dyDescent="0.25">
      <c r="B10" s="1" t="s">
        <v>25</v>
      </c>
      <c r="C10" s="1" t="s">
        <v>11</v>
      </c>
      <c r="D10" s="1" t="s">
        <v>26</v>
      </c>
      <c r="E10" s="1" t="s">
        <v>27</v>
      </c>
      <c r="F10" s="1" t="s">
        <v>24</v>
      </c>
      <c r="G10" s="1" t="s">
        <v>28</v>
      </c>
      <c r="H10" s="2">
        <v>44930</v>
      </c>
      <c r="I10" s="1">
        <v>18</v>
      </c>
      <c r="J10" s="1">
        <v>314.52999999999997</v>
      </c>
      <c r="K10" s="1">
        <v>204.87</v>
      </c>
    </row>
    <row r="11" spans="1:15" x14ac:dyDescent="0.25">
      <c r="B11" s="1" t="s">
        <v>29</v>
      </c>
      <c r="C11" s="1" t="s">
        <v>11</v>
      </c>
      <c r="D11" s="1" t="s">
        <v>18</v>
      </c>
      <c r="E11" s="1" t="s">
        <v>27</v>
      </c>
      <c r="F11" s="1" t="s">
        <v>24</v>
      </c>
      <c r="G11" s="1" t="s">
        <v>28</v>
      </c>
      <c r="H11" s="2">
        <v>44931</v>
      </c>
      <c r="I11" s="1">
        <v>472</v>
      </c>
      <c r="J11" s="1">
        <v>392.79</v>
      </c>
      <c r="K11" s="1">
        <v>330.46</v>
      </c>
    </row>
    <row r="12" spans="1:15" x14ac:dyDescent="0.25">
      <c r="B12" s="1" t="s">
        <v>30</v>
      </c>
      <c r="C12" s="1" t="s">
        <v>17</v>
      </c>
      <c r="D12" s="1" t="s">
        <v>31</v>
      </c>
      <c r="E12" s="1" t="s">
        <v>23</v>
      </c>
      <c r="F12" s="1" t="s">
        <v>14</v>
      </c>
      <c r="G12" s="1" t="s">
        <v>15</v>
      </c>
      <c r="H12" s="2">
        <v>44932</v>
      </c>
      <c r="I12" s="1">
        <v>49</v>
      </c>
      <c r="J12" s="1">
        <v>308.07</v>
      </c>
      <c r="K12" s="1">
        <v>113.32</v>
      </c>
    </row>
    <row r="13" spans="1:15" x14ac:dyDescent="0.25">
      <c r="B13" s="1" t="s">
        <v>32</v>
      </c>
      <c r="C13" s="1" t="s">
        <v>22</v>
      </c>
      <c r="D13" s="1" t="s">
        <v>12</v>
      </c>
      <c r="E13" s="1" t="s">
        <v>23</v>
      </c>
      <c r="F13" s="1" t="s">
        <v>14</v>
      </c>
      <c r="G13" s="1" t="s">
        <v>20</v>
      </c>
      <c r="H13" s="2">
        <v>44933</v>
      </c>
      <c r="I13" s="1">
        <v>34</v>
      </c>
      <c r="J13" s="1">
        <v>244.78</v>
      </c>
      <c r="K13" s="1">
        <v>377.07</v>
      </c>
    </row>
    <row r="14" spans="1:15" x14ac:dyDescent="0.25">
      <c r="B14" s="1" t="s">
        <v>33</v>
      </c>
      <c r="C14" s="1" t="s">
        <v>22</v>
      </c>
      <c r="D14" s="1" t="s">
        <v>18</v>
      </c>
      <c r="E14" s="1" t="s">
        <v>13</v>
      </c>
      <c r="F14" s="1" t="s">
        <v>14</v>
      </c>
      <c r="G14" s="1" t="s">
        <v>15</v>
      </c>
      <c r="H14" s="2">
        <v>44934</v>
      </c>
      <c r="I14" s="1">
        <v>270</v>
      </c>
      <c r="J14" s="1">
        <v>332.11</v>
      </c>
      <c r="K14" s="1">
        <v>349.59</v>
      </c>
    </row>
    <row r="15" spans="1:15" ht="15.75" thickBot="1" x14ac:dyDescent="0.3">
      <c r="B15" s="1" t="s">
        <v>34</v>
      </c>
      <c r="C15" s="1" t="s">
        <v>11</v>
      </c>
      <c r="D15" s="1" t="s">
        <v>18</v>
      </c>
      <c r="E15" s="1" t="s">
        <v>13</v>
      </c>
      <c r="F15" s="1" t="s">
        <v>14</v>
      </c>
      <c r="G15" s="1" t="s">
        <v>20</v>
      </c>
      <c r="H15" s="2">
        <v>44935</v>
      </c>
      <c r="I15" s="1">
        <v>404</v>
      </c>
      <c r="J15" s="1">
        <v>278.74</v>
      </c>
      <c r="K15" s="1">
        <v>66.38</v>
      </c>
    </row>
    <row r="16" spans="1:15" ht="15.75" thickBot="1" x14ac:dyDescent="0.3">
      <c r="B16" s="1" t="s">
        <v>35</v>
      </c>
      <c r="C16" s="5" t="s">
        <v>11</v>
      </c>
      <c r="D16" s="1" t="s">
        <v>26</v>
      </c>
      <c r="E16" s="1" t="s">
        <v>27</v>
      </c>
      <c r="F16" s="1" t="s">
        <v>14</v>
      </c>
      <c r="G16" s="1" t="s">
        <v>28</v>
      </c>
      <c r="H16" s="2">
        <v>44936</v>
      </c>
      <c r="I16" s="1">
        <v>452</v>
      </c>
      <c r="J16" s="1">
        <v>300.75</v>
      </c>
      <c r="K16" s="1">
        <v>314.94</v>
      </c>
    </row>
    <row r="17" spans="2:11" x14ac:dyDescent="0.25">
      <c r="B17" s="1" t="s">
        <v>36</v>
      </c>
      <c r="C17" s="1" t="s">
        <v>11</v>
      </c>
      <c r="D17" s="1" t="s">
        <v>26</v>
      </c>
      <c r="E17" s="1" t="s">
        <v>19</v>
      </c>
      <c r="F17" s="1" t="s">
        <v>14</v>
      </c>
      <c r="G17" s="1" t="s">
        <v>20</v>
      </c>
      <c r="H17" s="2">
        <v>44937</v>
      </c>
      <c r="I17" s="1">
        <v>235</v>
      </c>
      <c r="J17" s="1">
        <v>393</v>
      </c>
      <c r="K17" s="1">
        <v>230.69</v>
      </c>
    </row>
    <row r="18" spans="2:11" x14ac:dyDescent="0.25">
      <c r="B18" s="1" t="s">
        <v>37</v>
      </c>
      <c r="C18" s="1" t="s">
        <v>11</v>
      </c>
      <c r="D18" s="1" t="s">
        <v>31</v>
      </c>
      <c r="E18" s="1" t="s">
        <v>27</v>
      </c>
      <c r="F18" s="1" t="s">
        <v>24</v>
      </c>
      <c r="G18" s="1" t="s">
        <v>28</v>
      </c>
      <c r="H18" s="2">
        <v>44938</v>
      </c>
      <c r="I18" s="1">
        <v>481</v>
      </c>
      <c r="J18" s="1">
        <v>243.05</v>
      </c>
      <c r="K18" s="1">
        <v>227.5</v>
      </c>
    </row>
    <row r="19" spans="2:11" x14ac:dyDescent="0.25">
      <c r="B19" s="1" t="s">
        <v>38</v>
      </c>
      <c r="C19" s="1" t="s">
        <v>11</v>
      </c>
      <c r="D19" s="1" t="s">
        <v>12</v>
      </c>
      <c r="E19" s="1" t="s">
        <v>19</v>
      </c>
      <c r="F19" s="1" t="s">
        <v>24</v>
      </c>
      <c r="G19" s="1" t="s">
        <v>20</v>
      </c>
      <c r="H19" s="2">
        <v>44939</v>
      </c>
      <c r="I19" s="1">
        <v>133</v>
      </c>
      <c r="J19" s="1">
        <v>25.17</v>
      </c>
      <c r="K19" s="1">
        <v>157.63999999999999</v>
      </c>
    </row>
    <row r="20" spans="2:11" x14ac:dyDescent="0.25">
      <c r="B20" s="1" t="s">
        <v>39</v>
      </c>
      <c r="C20" s="1" t="s">
        <v>11</v>
      </c>
      <c r="D20" s="1" t="s">
        <v>26</v>
      </c>
      <c r="E20" s="1" t="s">
        <v>19</v>
      </c>
      <c r="F20" s="1" t="s">
        <v>24</v>
      </c>
      <c r="G20" s="1" t="s">
        <v>20</v>
      </c>
      <c r="H20" s="2">
        <v>44940</v>
      </c>
      <c r="I20" s="1">
        <v>472</v>
      </c>
      <c r="J20" s="1">
        <v>86.18</v>
      </c>
      <c r="K20" s="1">
        <v>201.46</v>
      </c>
    </row>
    <row r="21" spans="2:11" x14ac:dyDescent="0.25">
      <c r="B21" s="1" t="s">
        <v>40</v>
      </c>
      <c r="C21" s="1" t="s">
        <v>17</v>
      </c>
      <c r="D21" s="1" t="s">
        <v>18</v>
      </c>
      <c r="E21" s="1" t="s">
        <v>13</v>
      </c>
      <c r="F21" s="1" t="s">
        <v>24</v>
      </c>
      <c r="G21" s="1" t="s">
        <v>20</v>
      </c>
      <c r="H21" s="2">
        <v>44941</v>
      </c>
      <c r="I21" s="1">
        <v>47</v>
      </c>
      <c r="J21" s="1">
        <v>222.11</v>
      </c>
      <c r="K21" s="1">
        <v>160.08000000000001</v>
      </c>
    </row>
    <row r="22" spans="2:11" x14ac:dyDescent="0.25">
      <c r="B22" s="1" t="s">
        <v>41</v>
      </c>
      <c r="C22" s="1" t="s">
        <v>22</v>
      </c>
      <c r="D22" s="1" t="s">
        <v>12</v>
      </c>
      <c r="E22" s="1" t="s">
        <v>42</v>
      </c>
      <c r="F22" s="1" t="s">
        <v>14</v>
      </c>
      <c r="G22" s="1" t="s">
        <v>15</v>
      </c>
      <c r="H22" s="2">
        <v>44942</v>
      </c>
      <c r="I22" s="1">
        <v>337</v>
      </c>
      <c r="J22" s="1">
        <v>363.79</v>
      </c>
      <c r="K22" s="1">
        <v>216.81</v>
      </c>
    </row>
    <row r="23" spans="2:11" ht="15.75" thickBot="1" x14ac:dyDescent="0.3">
      <c r="B23" s="1" t="s">
        <v>43</v>
      </c>
      <c r="C23" s="1" t="s">
        <v>17</v>
      </c>
      <c r="D23" s="1" t="s">
        <v>12</v>
      </c>
      <c r="E23" s="1" t="s">
        <v>42</v>
      </c>
      <c r="F23" s="1" t="s">
        <v>14</v>
      </c>
      <c r="G23" s="1" t="s">
        <v>15</v>
      </c>
      <c r="H23" s="2">
        <v>44943</v>
      </c>
      <c r="I23" s="1">
        <v>260</v>
      </c>
      <c r="J23" s="1">
        <v>298.67</v>
      </c>
      <c r="K23" s="1">
        <v>251.92</v>
      </c>
    </row>
    <row r="24" spans="2:11" ht="15.75" thickBot="1" x14ac:dyDescent="0.3">
      <c r="B24" s="1" t="s">
        <v>44</v>
      </c>
      <c r="C24" s="5" t="s">
        <v>17</v>
      </c>
      <c r="D24" s="1" t="s">
        <v>18</v>
      </c>
      <c r="E24" s="1" t="s">
        <v>23</v>
      </c>
      <c r="F24" s="1" t="s">
        <v>24</v>
      </c>
      <c r="G24" s="1" t="s">
        <v>28</v>
      </c>
      <c r="H24" s="2">
        <v>44944</v>
      </c>
      <c r="I24" s="1">
        <v>398</v>
      </c>
      <c r="J24" s="1">
        <v>326.89999999999998</v>
      </c>
      <c r="K24" s="1">
        <v>270.37</v>
      </c>
    </row>
    <row r="25" spans="2:11" x14ac:dyDescent="0.25">
      <c r="B25" s="1" t="s">
        <v>45</v>
      </c>
      <c r="C25" s="1" t="s">
        <v>17</v>
      </c>
      <c r="D25" s="1" t="s">
        <v>26</v>
      </c>
      <c r="E25" s="1" t="s">
        <v>13</v>
      </c>
      <c r="F25" s="1" t="s">
        <v>14</v>
      </c>
      <c r="G25" s="1" t="s">
        <v>28</v>
      </c>
      <c r="H25" s="2">
        <v>44945</v>
      </c>
      <c r="I25" s="1">
        <v>185</v>
      </c>
      <c r="J25" s="1">
        <v>242.24</v>
      </c>
      <c r="K25" s="1">
        <v>213.93</v>
      </c>
    </row>
    <row r="26" spans="2:11" x14ac:dyDescent="0.25">
      <c r="B26" s="1" t="s">
        <v>46</v>
      </c>
      <c r="C26" s="1" t="s">
        <v>11</v>
      </c>
      <c r="D26" s="1" t="s">
        <v>18</v>
      </c>
      <c r="E26" s="1" t="s">
        <v>19</v>
      </c>
      <c r="F26" s="1" t="s">
        <v>24</v>
      </c>
      <c r="G26" s="1" t="s">
        <v>15</v>
      </c>
      <c r="H26" s="2">
        <v>44946</v>
      </c>
      <c r="I26" s="1">
        <v>99</v>
      </c>
      <c r="J26" s="1">
        <v>309.79000000000002</v>
      </c>
      <c r="K26" s="1">
        <v>289.13</v>
      </c>
    </row>
    <row r="27" spans="2:11" x14ac:dyDescent="0.25">
      <c r="B27" s="1" t="s">
        <v>47</v>
      </c>
      <c r="C27" s="1" t="s">
        <v>48</v>
      </c>
      <c r="D27" s="1" t="s">
        <v>12</v>
      </c>
      <c r="E27" s="1" t="s">
        <v>42</v>
      </c>
      <c r="F27" s="1" t="s">
        <v>24</v>
      </c>
      <c r="G27" s="1" t="s">
        <v>28</v>
      </c>
      <c r="H27" s="2">
        <v>44947</v>
      </c>
      <c r="I27" s="1">
        <v>411</v>
      </c>
      <c r="J27" s="1">
        <v>167.86</v>
      </c>
      <c r="K27" s="1">
        <v>58.23</v>
      </c>
    </row>
    <row r="28" spans="2:11" x14ac:dyDescent="0.25">
      <c r="B28" s="1" t="s">
        <v>49</v>
      </c>
      <c r="C28" s="1" t="s">
        <v>22</v>
      </c>
      <c r="D28" s="1" t="s">
        <v>50</v>
      </c>
      <c r="E28" s="1" t="s">
        <v>19</v>
      </c>
      <c r="F28" s="1" t="s">
        <v>24</v>
      </c>
      <c r="G28" s="1" t="s">
        <v>15</v>
      </c>
      <c r="H28" s="2">
        <v>44948</v>
      </c>
      <c r="I28" s="1">
        <v>463</v>
      </c>
      <c r="J28" s="1">
        <v>237.74</v>
      </c>
      <c r="K28" s="1">
        <v>86.37</v>
      </c>
    </row>
    <row r="29" spans="2:11" x14ac:dyDescent="0.25">
      <c r="B29" s="1" t="s">
        <v>51</v>
      </c>
      <c r="C29" s="1" t="s">
        <v>48</v>
      </c>
      <c r="D29" s="1" t="s">
        <v>50</v>
      </c>
      <c r="E29" s="1" t="s">
        <v>42</v>
      </c>
      <c r="F29" s="1" t="s">
        <v>14</v>
      </c>
      <c r="G29" s="1" t="s">
        <v>20</v>
      </c>
      <c r="H29" s="2">
        <v>44949</v>
      </c>
      <c r="I29" s="1">
        <v>46</v>
      </c>
      <c r="J29" s="1">
        <v>373.42</v>
      </c>
      <c r="K29" s="1">
        <v>327.86</v>
      </c>
    </row>
    <row r="30" spans="2:11" ht="15.75" thickBot="1" x14ac:dyDescent="0.3">
      <c r="B30" s="1" t="s">
        <v>52</v>
      </c>
      <c r="C30" s="1" t="s">
        <v>17</v>
      </c>
      <c r="D30" s="1" t="s">
        <v>31</v>
      </c>
      <c r="E30" s="1" t="s">
        <v>42</v>
      </c>
      <c r="F30" s="1" t="s">
        <v>24</v>
      </c>
      <c r="G30" s="1" t="s">
        <v>28</v>
      </c>
      <c r="H30" s="2">
        <v>44950</v>
      </c>
      <c r="I30" s="1">
        <v>325</v>
      </c>
      <c r="J30" s="1">
        <v>436.56</v>
      </c>
      <c r="K30" s="1">
        <v>130.37</v>
      </c>
    </row>
    <row r="31" spans="2:11" ht="15.75" thickBot="1" x14ac:dyDescent="0.3">
      <c r="B31" s="1" t="s">
        <v>53</v>
      </c>
      <c r="C31" s="1" t="s">
        <v>17</v>
      </c>
      <c r="D31" s="1" t="s">
        <v>18</v>
      </c>
      <c r="E31" s="6" t="s">
        <v>42</v>
      </c>
      <c r="F31" s="1" t="s">
        <v>24</v>
      </c>
      <c r="G31" s="1" t="s">
        <v>28</v>
      </c>
      <c r="H31" s="2">
        <v>44951</v>
      </c>
      <c r="I31" s="1">
        <v>185</v>
      </c>
      <c r="J31" s="1">
        <v>219.66</v>
      </c>
      <c r="K31" s="1">
        <v>11.11</v>
      </c>
    </row>
    <row r="32" spans="2:11" x14ac:dyDescent="0.25">
      <c r="B32" s="1" t="s">
        <v>54</v>
      </c>
      <c r="C32" s="1" t="s">
        <v>48</v>
      </c>
      <c r="D32" s="1" t="s">
        <v>18</v>
      </c>
      <c r="E32" s="1" t="s">
        <v>13</v>
      </c>
      <c r="F32" s="1" t="s">
        <v>24</v>
      </c>
      <c r="G32" s="1" t="s">
        <v>15</v>
      </c>
      <c r="H32" s="2">
        <v>44952</v>
      </c>
      <c r="I32" s="1">
        <v>470</v>
      </c>
      <c r="J32" s="1">
        <v>26.61</v>
      </c>
      <c r="K32" s="1">
        <v>63.21</v>
      </c>
    </row>
    <row r="33" spans="2:11" x14ac:dyDescent="0.25">
      <c r="B33" s="1" t="s">
        <v>55</v>
      </c>
      <c r="C33" s="1" t="s">
        <v>48</v>
      </c>
      <c r="D33" s="1" t="s">
        <v>31</v>
      </c>
      <c r="E33" s="1" t="s">
        <v>27</v>
      </c>
      <c r="F33" s="1" t="s">
        <v>14</v>
      </c>
      <c r="G33" s="1" t="s">
        <v>28</v>
      </c>
      <c r="H33" s="2">
        <v>44953</v>
      </c>
      <c r="I33" s="1">
        <v>293</v>
      </c>
      <c r="J33" s="1">
        <v>85.03</v>
      </c>
      <c r="K33" s="1">
        <v>91</v>
      </c>
    </row>
    <row r="34" spans="2:11" x14ac:dyDescent="0.25">
      <c r="B34" s="1" t="s">
        <v>56</v>
      </c>
      <c r="C34" s="1" t="s">
        <v>48</v>
      </c>
      <c r="D34" s="1" t="s">
        <v>31</v>
      </c>
      <c r="E34" s="1" t="s">
        <v>19</v>
      </c>
      <c r="F34" s="1" t="s">
        <v>14</v>
      </c>
      <c r="G34" s="1" t="s">
        <v>28</v>
      </c>
      <c r="H34" s="2">
        <v>44954</v>
      </c>
      <c r="I34" s="1">
        <v>462</v>
      </c>
      <c r="J34" s="1"/>
      <c r="K34" s="1">
        <v>383.01</v>
      </c>
    </row>
    <row r="35" spans="2:11" x14ac:dyDescent="0.25">
      <c r="B35" s="1" t="s">
        <v>57</v>
      </c>
      <c r="C35" s="1" t="s">
        <v>17</v>
      </c>
      <c r="D35" s="1" t="s">
        <v>31</v>
      </c>
      <c r="E35" s="1" t="s">
        <v>13</v>
      </c>
      <c r="F35" s="1" t="s">
        <v>24</v>
      </c>
      <c r="G35" s="1" t="s">
        <v>20</v>
      </c>
      <c r="H35" s="2">
        <v>44955</v>
      </c>
      <c r="I35" s="1">
        <v>470</v>
      </c>
      <c r="J35" s="1">
        <v>328.37</v>
      </c>
      <c r="K35" s="1">
        <v>230.07</v>
      </c>
    </row>
    <row r="36" spans="2:11" ht="15.75" thickBot="1" x14ac:dyDescent="0.3">
      <c r="B36" s="1" t="s">
        <v>58</v>
      </c>
      <c r="C36" s="1" t="s">
        <v>17</v>
      </c>
      <c r="D36" s="1" t="s">
        <v>12</v>
      </c>
      <c r="E36" s="1" t="s">
        <v>13</v>
      </c>
      <c r="F36" s="1" t="s">
        <v>14</v>
      </c>
      <c r="G36" s="1" t="s">
        <v>28</v>
      </c>
      <c r="H36" s="2">
        <v>44956</v>
      </c>
      <c r="I36" s="1">
        <v>90</v>
      </c>
      <c r="J36" s="1">
        <v>169.5</v>
      </c>
      <c r="K36" s="1">
        <v>373.23</v>
      </c>
    </row>
    <row r="37" spans="2:11" ht="15.75" thickBot="1" x14ac:dyDescent="0.3">
      <c r="B37" s="1" t="s">
        <v>59</v>
      </c>
      <c r="C37" s="5" t="s">
        <v>17</v>
      </c>
      <c r="D37" s="1" t="s">
        <v>18</v>
      </c>
      <c r="E37" s="1" t="s">
        <v>13</v>
      </c>
      <c r="F37" s="1" t="s">
        <v>14</v>
      </c>
      <c r="G37" s="1" t="s">
        <v>20</v>
      </c>
      <c r="H37" s="2">
        <v>44957</v>
      </c>
      <c r="I37" s="1">
        <v>123</v>
      </c>
      <c r="J37" s="1">
        <v>273.52999999999997</v>
      </c>
      <c r="K37" s="1">
        <v>230.92</v>
      </c>
    </row>
    <row r="38" spans="2:11" x14ac:dyDescent="0.25">
      <c r="B38" s="1" t="s">
        <v>60</v>
      </c>
      <c r="C38" s="1" t="s">
        <v>22</v>
      </c>
      <c r="D38" s="1" t="s">
        <v>12</v>
      </c>
      <c r="E38" s="1" t="s">
        <v>13</v>
      </c>
      <c r="F38" s="1" t="s">
        <v>14</v>
      </c>
      <c r="G38" s="1" t="s">
        <v>15</v>
      </c>
      <c r="H38" s="2">
        <v>44958</v>
      </c>
      <c r="I38" s="1">
        <v>49</v>
      </c>
      <c r="J38" s="1">
        <v>249.17</v>
      </c>
      <c r="K38" s="1">
        <v>192.78</v>
      </c>
    </row>
    <row r="39" spans="2:11" x14ac:dyDescent="0.25">
      <c r="B39" s="1" t="s">
        <v>61</v>
      </c>
      <c r="C39" s="1" t="s">
        <v>17</v>
      </c>
      <c r="D39" s="1" t="s">
        <v>31</v>
      </c>
      <c r="E39" s="1" t="s">
        <v>13</v>
      </c>
      <c r="F39" s="1" t="s">
        <v>14</v>
      </c>
      <c r="G39" s="1" t="s">
        <v>28</v>
      </c>
      <c r="H39" s="2">
        <v>44959</v>
      </c>
      <c r="I39" s="1">
        <v>310</v>
      </c>
      <c r="J39" s="1">
        <v>45.36</v>
      </c>
      <c r="K39" s="1">
        <v>126.86</v>
      </c>
    </row>
    <row r="40" spans="2:11" x14ac:dyDescent="0.25">
      <c r="B40" s="1" t="s">
        <v>62</v>
      </c>
      <c r="C40" s="1" t="s">
        <v>48</v>
      </c>
      <c r="D40" s="1" t="s">
        <v>18</v>
      </c>
      <c r="E40" s="1" t="s">
        <v>23</v>
      </c>
      <c r="F40" s="1" t="s">
        <v>14</v>
      </c>
      <c r="G40" s="1" t="s">
        <v>20</v>
      </c>
      <c r="H40" s="2">
        <v>44960</v>
      </c>
      <c r="I40" s="1">
        <v>233</v>
      </c>
      <c r="J40" s="1">
        <v>204.61</v>
      </c>
      <c r="K40" s="1">
        <v>243.34</v>
      </c>
    </row>
    <row r="41" spans="2:11" x14ac:dyDescent="0.25">
      <c r="B41" s="1" t="s">
        <v>63</v>
      </c>
      <c r="C41" s="1" t="s">
        <v>48</v>
      </c>
      <c r="D41" s="1" t="s">
        <v>12</v>
      </c>
      <c r="E41" s="1" t="s">
        <v>19</v>
      </c>
      <c r="F41" s="1" t="s">
        <v>14</v>
      </c>
      <c r="G41" s="1" t="s">
        <v>15</v>
      </c>
      <c r="H41" s="2">
        <v>44961</v>
      </c>
      <c r="I41" s="1">
        <v>327</v>
      </c>
      <c r="J41" s="1">
        <v>114.18</v>
      </c>
      <c r="K41" s="1">
        <v>57.4</v>
      </c>
    </row>
    <row r="42" spans="2:11" x14ac:dyDescent="0.25">
      <c r="B42" s="1" t="s">
        <v>64</v>
      </c>
      <c r="C42" s="1" t="s">
        <v>22</v>
      </c>
      <c r="D42" s="1" t="s">
        <v>12</v>
      </c>
      <c r="E42" s="1" t="s">
        <v>13</v>
      </c>
      <c r="F42" s="1" t="s">
        <v>14</v>
      </c>
      <c r="G42" s="1" t="s">
        <v>28</v>
      </c>
      <c r="H42" s="2">
        <v>44962</v>
      </c>
      <c r="I42" s="1">
        <v>358</v>
      </c>
      <c r="J42" s="1">
        <v>212.11</v>
      </c>
      <c r="K42" s="1">
        <v>359.51</v>
      </c>
    </row>
    <row r="43" spans="2:11" x14ac:dyDescent="0.25">
      <c r="B43" s="1" t="s">
        <v>65</v>
      </c>
      <c r="C43" s="1" t="s">
        <v>17</v>
      </c>
      <c r="D43" s="1" t="s">
        <v>31</v>
      </c>
      <c r="E43" s="1" t="s">
        <v>19</v>
      </c>
      <c r="F43" s="1" t="s">
        <v>14</v>
      </c>
      <c r="G43" s="1" t="s">
        <v>15</v>
      </c>
      <c r="H43" s="2">
        <v>44963</v>
      </c>
      <c r="I43" s="1">
        <v>124</v>
      </c>
      <c r="J43" s="1"/>
      <c r="K43" s="1">
        <v>332.07</v>
      </c>
    </row>
    <row r="44" spans="2:11" x14ac:dyDescent="0.25">
      <c r="B44" s="1" t="s">
        <v>66</v>
      </c>
      <c r="C44" s="1" t="s">
        <v>22</v>
      </c>
      <c r="D44" s="1" t="s">
        <v>18</v>
      </c>
      <c r="E44" s="1" t="s">
        <v>23</v>
      </c>
      <c r="F44" s="1" t="s">
        <v>14</v>
      </c>
      <c r="G44" s="1" t="s">
        <v>28</v>
      </c>
      <c r="H44" s="2">
        <v>44964</v>
      </c>
      <c r="I44" s="1">
        <v>195</v>
      </c>
      <c r="J44" s="1">
        <v>421.02</v>
      </c>
      <c r="K44" s="1">
        <v>128.38</v>
      </c>
    </row>
    <row r="45" spans="2:11" x14ac:dyDescent="0.25">
      <c r="B45" s="1" t="s">
        <v>67</v>
      </c>
      <c r="C45" s="1" t="s">
        <v>22</v>
      </c>
      <c r="D45" s="1" t="s">
        <v>31</v>
      </c>
      <c r="E45" s="1" t="s">
        <v>23</v>
      </c>
      <c r="F45" s="1" t="s">
        <v>14</v>
      </c>
      <c r="G45" s="1" t="s">
        <v>15</v>
      </c>
      <c r="H45" s="2">
        <v>44965</v>
      </c>
      <c r="I45" s="1"/>
      <c r="J45" s="1">
        <v>91.23</v>
      </c>
      <c r="K45" s="1">
        <v>381.21</v>
      </c>
    </row>
    <row r="46" spans="2:11" x14ac:dyDescent="0.25">
      <c r="B46" s="1" t="s">
        <v>68</v>
      </c>
      <c r="C46" s="1" t="s">
        <v>11</v>
      </c>
      <c r="D46" s="1" t="s">
        <v>18</v>
      </c>
      <c r="E46" s="1" t="s">
        <v>19</v>
      </c>
      <c r="F46" s="1" t="s">
        <v>24</v>
      </c>
      <c r="G46" s="1" t="s">
        <v>15</v>
      </c>
      <c r="H46" s="2">
        <v>44966</v>
      </c>
      <c r="I46" s="1">
        <v>65</v>
      </c>
      <c r="J46" s="1">
        <v>480.59</v>
      </c>
      <c r="K46" s="1">
        <v>330.43</v>
      </c>
    </row>
    <row r="47" spans="2:11" x14ac:dyDescent="0.25">
      <c r="B47" s="1" t="s">
        <v>69</v>
      </c>
      <c r="C47" s="1" t="s">
        <v>11</v>
      </c>
      <c r="D47" s="1" t="s">
        <v>50</v>
      </c>
      <c r="E47" s="1" t="s">
        <v>42</v>
      </c>
      <c r="F47" s="1" t="s">
        <v>24</v>
      </c>
      <c r="G47" s="1" t="s">
        <v>20</v>
      </c>
      <c r="H47" s="2">
        <v>44967</v>
      </c>
      <c r="I47" s="1">
        <v>49</v>
      </c>
      <c r="J47" s="1">
        <v>210.87</v>
      </c>
      <c r="K47" s="1">
        <v>267.19</v>
      </c>
    </row>
    <row r="48" spans="2:11" x14ac:dyDescent="0.25">
      <c r="B48" s="1" t="s">
        <v>70</v>
      </c>
      <c r="C48" s="1" t="s">
        <v>11</v>
      </c>
      <c r="D48" s="1" t="s">
        <v>26</v>
      </c>
      <c r="E48" s="1" t="s">
        <v>27</v>
      </c>
      <c r="F48" s="1" t="s">
        <v>14</v>
      </c>
      <c r="G48" s="1" t="s">
        <v>15</v>
      </c>
      <c r="H48" s="2">
        <v>44968</v>
      </c>
      <c r="I48" s="1">
        <v>363</v>
      </c>
      <c r="J48" s="1">
        <v>423.89</v>
      </c>
      <c r="K48" s="1">
        <v>50.46</v>
      </c>
    </row>
    <row r="49" spans="2:11" x14ac:dyDescent="0.25">
      <c r="B49" s="1" t="s">
        <v>71</v>
      </c>
      <c r="C49" s="1" t="s">
        <v>48</v>
      </c>
      <c r="D49" s="1" t="s">
        <v>26</v>
      </c>
      <c r="E49" s="1" t="s">
        <v>42</v>
      </c>
      <c r="F49" s="1" t="s">
        <v>24</v>
      </c>
      <c r="G49" s="1" t="s">
        <v>28</v>
      </c>
      <c r="H49" s="2">
        <v>44969</v>
      </c>
      <c r="I49" s="1">
        <v>49</v>
      </c>
      <c r="J49" s="1">
        <v>316.24</v>
      </c>
      <c r="K49" s="1">
        <v>192.34</v>
      </c>
    </row>
    <row r="50" spans="2:11" x14ac:dyDescent="0.25">
      <c r="B50" s="1" t="s">
        <v>72</v>
      </c>
      <c r="C50" s="1" t="s">
        <v>17</v>
      </c>
      <c r="D50" s="1" t="s">
        <v>26</v>
      </c>
      <c r="E50" s="1" t="s">
        <v>42</v>
      </c>
      <c r="F50" s="1" t="s">
        <v>24</v>
      </c>
      <c r="G50" s="1" t="s">
        <v>28</v>
      </c>
      <c r="H50" s="2">
        <v>44970</v>
      </c>
      <c r="I50" s="1">
        <v>356</v>
      </c>
      <c r="J50" s="1">
        <v>369</v>
      </c>
      <c r="K50" s="1">
        <v>203.43</v>
      </c>
    </row>
    <row r="51" spans="2:11" x14ac:dyDescent="0.25">
      <c r="B51" s="1" t="s">
        <v>73</v>
      </c>
      <c r="C51" s="1" t="s">
        <v>17</v>
      </c>
      <c r="D51" s="1" t="s">
        <v>31</v>
      </c>
      <c r="E51" s="1" t="s">
        <v>42</v>
      </c>
      <c r="F51" s="1" t="s">
        <v>14</v>
      </c>
      <c r="G51" s="1" t="s">
        <v>20</v>
      </c>
      <c r="H51" s="2">
        <v>44971</v>
      </c>
      <c r="I51" s="1">
        <v>470</v>
      </c>
      <c r="J51" s="1"/>
      <c r="K51" s="1">
        <v>94.56</v>
      </c>
    </row>
    <row r="52" spans="2:11" x14ac:dyDescent="0.25">
      <c r="B52" s="1" t="s">
        <v>74</v>
      </c>
      <c r="C52" s="1" t="s">
        <v>17</v>
      </c>
      <c r="D52" s="1" t="s">
        <v>50</v>
      </c>
      <c r="E52" s="1" t="s">
        <v>13</v>
      </c>
      <c r="F52" s="1" t="s">
        <v>14</v>
      </c>
      <c r="G52" s="1" t="s">
        <v>28</v>
      </c>
      <c r="H52" s="2">
        <v>44972</v>
      </c>
      <c r="I52" s="1">
        <v>246</v>
      </c>
      <c r="J52" s="1">
        <v>254.9</v>
      </c>
      <c r="K52" s="1">
        <v>33.83</v>
      </c>
    </row>
    <row r="53" spans="2:11" x14ac:dyDescent="0.25">
      <c r="B53" s="1" t="s">
        <v>75</v>
      </c>
      <c r="C53" s="1" t="s">
        <v>17</v>
      </c>
      <c r="D53" s="1" t="s">
        <v>18</v>
      </c>
      <c r="E53" s="1" t="s">
        <v>23</v>
      </c>
      <c r="F53" s="1" t="s">
        <v>14</v>
      </c>
      <c r="G53" s="1" t="s">
        <v>28</v>
      </c>
      <c r="H53" s="2">
        <v>44973</v>
      </c>
      <c r="I53" s="1">
        <v>298</v>
      </c>
      <c r="J53" s="1">
        <v>273.93</v>
      </c>
      <c r="K53" s="1">
        <v>311.14</v>
      </c>
    </row>
    <row r="54" spans="2:11" x14ac:dyDescent="0.25">
      <c r="B54" s="1" t="s">
        <v>76</v>
      </c>
      <c r="C54" s="1" t="s">
        <v>11</v>
      </c>
      <c r="D54" s="1" t="s">
        <v>12</v>
      </c>
      <c r="E54" s="1" t="s">
        <v>42</v>
      </c>
      <c r="F54" s="1" t="s">
        <v>24</v>
      </c>
      <c r="G54" s="1" t="s">
        <v>28</v>
      </c>
      <c r="H54" s="2">
        <v>44974</v>
      </c>
      <c r="I54" s="1">
        <v>271</v>
      </c>
      <c r="J54" s="1">
        <v>259.43</v>
      </c>
      <c r="K54" s="1">
        <v>50.57</v>
      </c>
    </row>
    <row r="55" spans="2:11" ht="15.75" thickBot="1" x14ac:dyDescent="0.3">
      <c r="B55" s="1" t="s">
        <v>77</v>
      </c>
      <c r="C55" s="1" t="s">
        <v>48</v>
      </c>
      <c r="D55" s="1" t="s">
        <v>18</v>
      </c>
      <c r="E55" s="1" t="s">
        <v>23</v>
      </c>
      <c r="F55" s="1" t="s">
        <v>24</v>
      </c>
      <c r="G55" s="1" t="s">
        <v>15</v>
      </c>
      <c r="H55" s="2">
        <v>44975</v>
      </c>
      <c r="I55" s="1">
        <v>225</v>
      </c>
      <c r="J55" s="1">
        <v>296.08999999999997</v>
      </c>
      <c r="K55" s="1">
        <v>238.53</v>
      </c>
    </row>
    <row r="56" spans="2:11" ht="15.75" thickBot="1" x14ac:dyDescent="0.3">
      <c r="B56" s="1" t="s">
        <v>78</v>
      </c>
      <c r="C56" s="5" t="s">
        <v>48</v>
      </c>
      <c r="D56" s="1" t="s">
        <v>12</v>
      </c>
      <c r="E56" s="1" t="s">
        <v>19</v>
      </c>
      <c r="F56" s="1" t="s">
        <v>14</v>
      </c>
      <c r="G56" s="1" t="s">
        <v>15</v>
      </c>
      <c r="H56" s="2">
        <v>44976</v>
      </c>
      <c r="I56" s="1">
        <v>156</v>
      </c>
      <c r="J56" s="1">
        <v>19.55</v>
      </c>
      <c r="K56" s="1">
        <v>374.71</v>
      </c>
    </row>
    <row r="57" spans="2:11" x14ac:dyDescent="0.25">
      <c r="B57" s="1" t="s">
        <v>79</v>
      </c>
      <c r="C57" s="1" t="s">
        <v>11</v>
      </c>
      <c r="D57" s="1" t="s">
        <v>18</v>
      </c>
      <c r="E57" s="1" t="s">
        <v>27</v>
      </c>
      <c r="F57" s="1" t="s">
        <v>14</v>
      </c>
      <c r="G57" s="1" t="s">
        <v>28</v>
      </c>
      <c r="H57" s="2">
        <v>44977</v>
      </c>
      <c r="I57" s="1">
        <v>345</v>
      </c>
      <c r="J57" s="1">
        <v>200.78</v>
      </c>
      <c r="K57" s="1">
        <v>350.69</v>
      </c>
    </row>
    <row r="58" spans="2:11" x14ac:dyDescent="0.25">
      <c r="B58" s="1" t="s">
        <v>80</v>
      </c>
      <c r="C58" s="1" t="s">
        <v>48</v>
      </c>
      <c r="D58" s="1" t="s">
        <v>50</v>
      </c>
      <c r="E58" s="1" t="s">
        <v>19</v>
      </c>
      <c r="F58" s="1" t="s">
        <v>14</v>
      </c>
      <c r="G58" s="1" t="s">
        <v>20</v>
      </c>
      <c r="H58" s="2">
        <v>44978</v>
      </c>
      <c r="I58" s="1">
        <v>177</v>
      </c>
      <c r="J58" s="1">
        <v>305.06</v>
      </c>
      <c r="K58" s="1">
        <v>112.55</v>
      </c>
    </row>
    <row r="59" spans="2:11" x14ac:dyDescent="0.25">
      <c r="B59" s="1" t="s">
        <v>81</v>
      </c>
      <c r="C59" s="1" t="s">
        <v>11</v>
      </c>
      <c r="D59" s="1" t="s">
        <v>12</v>
      </c>
      <c r="E59" s="1" t="s">
        <v>19</v>
      </c>
      <c r="F59" s="1" t="s">
        <v>24</v>
      </c>
      <c r="G59" s="1" t="s">
        <v>15</v>
      </c>
      <c r="H59" s="2">
        <v>44979</v>
      </c>
      <c r="I59" s="1">
        <v>101</v>
      </c>
      <c r="J59" s="1">
        <v>300.87</v>
      </c>
      <c r="K59" s="1">
        <v>340.88</v>
      </c>
    </row>
    <row r="60" spans="2:11" x14ac:dyDescent="0.25">
      <c r="B60" s="1" t="s">
        <v>82</v>
      </c>
      <c r="C60" s="1" t="s">
        <v>17</v>
      </c>
      <c r="D60" s="1" t="s">
        <v>31</v>
      </c>
      <c r="E60" s="1" t="s">
        <v>13</v>
      </c>
      <c r="F60" s="1" t="s">
        <v>24</v>
      </c>
      <c r="G60" s="1" t="s">
        <v>20</v>
      </c>
      <c r="H60" s="2">
        <v>44980</v>
      </c>
      <c r="I60" s="1">
        <v>362</v>
      </c>
      <c r="J60" s="1">
        <v>397.51</v>
      </c>
      <c r="K60" s="1">
        <v>2.13</v>
      </c>
    </row>
    <row r="61" spans="2:11" x14ac:dyDescent="0.25">
      <c r="B61" s="1" t="s">
        <v>83</v>
      </c>
      <c r="C61" s="1" t="s">
        <v>11</v>
      </c>
      <c r="D61" s="1" t="s">
        <v>18</v>
      </c>
      <c r="E61" s="1" t="s">
        <v>27</v>
      </c>
      <c r="F61" s="1" t="s">
        <v>24</v>
      </c>
      <c r="G61" s="1" t="s">
        <v>28</v>
      </c>
      <c r="H61" s="2">
        <v>44981</v>
      </c>
      <c r="I61" s="1">
        <v>68</v>
      </c>
      <c r="J61" s="1">
        <v>329.23</v>
      </c>
      <c r="K61" s="1">
        <v>9.0399999999999991</v>
      </c>
    </row>
    <row r="62" spans="2:11" x14ac:dyDescent="0.25">
      <c r="B62" s="1" t="s">
        <v>84</v>
      </c>
      <c r="C62" s="1" t="s">
        <v>17</v>
      </c>
      <c r="D62" s="1" t="s">
        <v>18</v>
      </c>
      <c r="E62" s="1" t="s">
        <v>19</v>
      </c>
      <c r="F62" s="1" t="s">
        <v>24</v>
      </c>
      <c r="G62" s="1" t="s">
        <v>28</v>
      </c>
      <c r="H62" s="2">
        <v>44982</v>
      </c>
      <c r="I62" s="1">
        <v>68</v>
      </c>
      <c r="J62" s="1">
        <v>496.11</v>
      </c>
      <c r="K62" s="1">
        <v>241.82</v>
      </c>
    </row>
    <row r="63" spans="2:11" x14ac:dyDescent="0.25">
      <c r="B63" s="1" t="s">
        <v>85</v>
      </c>
      <c r="C63" s="1" t="s">
        <v>17</v>
      </c>
      <c r="D63" s="1" t="s">
        <v>12</v>
      </c>
      <c r="E63" s="1" t="s">
        <v>19</v>
      </c>
      <c r="F63" s="1" t="s">
        <v>14</v>
      </c>
      <c r="G63" s="1" t="s">
        <v>15</v>
      </c>
      <c r="H63" s="2">
        <v>44983</v>
      </c>
      <c r="I63" s="1">
        <v>313</v>
      </c>
      <c r="J63" s="1">
        <v>145.51</v>
      </c>
      <c r="K63" s="1">
        <v>147.19</v>
      </c>
    </row>
    <row r="64" spans="2:11" x14ac:dyDescent="0.25">
      <c r="B64" s="1" t="s">
        <v>86</v>
      </c>
      <c r="C64" s="1" t="s">
        <v>22</v>
      </c>
      <c r="D64" s="1" t="s">
        <v>31</v>
      </c>
      <c r="E64" s="1" t="s">
        <v>27</v>
      </c>
      <c r="F64" s="1" t="s">
        <v>14</v>
      </c>
      <c r="G64" s="1" t="s">
        <v>28</v>
      </c>
      <c r="H64" s="2">
        <v>44984</v>
      </c>
      <c r="I64" s="1">
        <v>178</v>
      </c>
      <c r="J64" s="1">
        <v>182.78</v>
      </c>
      <c r="K64" s="1">
        <v>155.81</v>
      </c>
    </row>
    <row r="65" spans="2:11" x14ac:dyDescent="0.25">
      <c r="B65" s="1" t="s">
        <v>87</v>
      </c>
      <c r="C65" s="1" t="s">
        <v>11</v>
      </c>
      <c r="D65" s="1" t="s">
        <v>31</v>
      </c>
      <c r="E65" s="1" t="s">
        <v>27</v>
      </c>
      <c r="F65" s="1" t="s">
        <v>14</v>
      </c>
      <c r="G65" s="1" t="s">
        <v>15</v>
      </c>
      <c r="H65" s="2">
        <v>44985</v>
      </c>
      <c r="I65" s="1">
        <v>278</v>
      </c>
      <c r="J65" s="1">
        <v>195</v>
      </c>
      <c r="K65" s="1">
        <v>226.65</v>
      </c>
    </row>
    <row r="66" spans="2:11" x14ac:dyDescent="0.25">
      <c r="B66" s="1" t="s">
        <v>88</v>
      </c>
      <c r="C66" s="1" t="s">
        <v>22</v>
      </c>
      <c r="D66" s="1" t="s">
        <v>50</v>
      </c>
      <c r="E66" s="1" t="s">
        <v>19</v>
      </c>
      <c r="F66" s="1" t="s">
        <v>14</v>
      </c>
      <c r="G66" s="1" t="s">
        <v>28</v>
      </c>
      <c r="H66" s="2">
        <v>44986</v>
      </c>
      <c r="I66" s="1">
        <v>372</v>
      </c>
      <c r="J66" s="1">
        <v>235.58</v>
      </c>
      <c r="K66" s="1">
        <v>78.33</v>
      </c>
    </row>
    <row r="67" spans="2:11" x14ac:dyDescent="0.25">
      <c r="B67" s="1" t="s">
        <v>89</v>
      </c>
      <c r="C67" s="1" t="s">
        <v>11</v>
      </c>
      <c r="D67" s="1" t="s">
        <v>31</v>
      </c>
      <c r="E67" s="1" t="s">
        <v>27</v>
      </c>
      <c r="F67" s="1" t="s">
        <v>24</v>
      </c>
      <c r="G67" s="1" t="s">
        <v>28</v>
      </c>
      <c r="H67" s="2">
        <v>44987</v>
      </c>
      <c r="I67" s="1">
        <v>54</v>
      </c>
      <c r="J67" s="1">
        <v>418.82</v>
      </c>
      <c r="K67" s="1">
        <v>86.28</v>
      </c>
    </row>
    <row r="68" spans="2:11" x14ac:dyDescent="0.25">
      <c r="B68" s="1" t="s">
        <v>90</v>
      </c>
      <c r="C68" s="1" t="s">
        <v>11</v>
      </c>
      <c r="D68" s="1" t="s">
        <v>31</v>
      </c>
      <c r="E68" s="1" t="s">
        <v>19</v>
      </c>
      <c r="F68" s="1" t="s">
        <v>24</v>
      </c>
      <c r="G68" s="1" t="s">
        <v>15</v>
      </c>
      <c r="H68" s="2">
        <v>44988</v>
      </c>
      <c r="I68" s="1">
        <v>354</v>
      </c>
      <c r="J68" s="1">
        <v>121.72</v>
      </c>
      <c r="K68" s="1">
        <v>194.87</v>
      </c>
    </row>
    <row r="69" spans="2:11" ht="15.75" thickBot="1" x14ac:dyDescent="0.3">
      <c r="B69" s="1" t="s">
        <v>91</v>
      </c>
      <c r="C69" s="1" t="s">
        <v>22</v>
      </c>
      <c r="D69" s="1" t="s">
        <v>31</v>
      </c>
      <c r="E69" s="1" t="s">
        <v>19</v>
      </c>
      <c r="F69" s="1" t="s">
        <v>14</v>
      </c>
      <c r="G69" s="1" t="s">
        <v>15</v>
      </c>
      <c r="H69" s="2">
        <v>44989</v>
      </c>
      <c r="I69" s="1">
        <v>190</v>
      </c>
      <c r="J69" s="1">
        <v>389.12</v>
      </c>
      <c r="K69" s="1">
        <v>302.19</v>
      </c>
    </row>
    <row r="70" spans="2:11" ht="15.75" thickBot="1" x14ac:dyDescent="0.3">
      <c r="B70" s="1" t="s">
        <v>92</v>
      </c>
      <c r="C70" s="5" t="s">
        <v>22</v>
      </c>
      <c r="D70" s="1" t="s">
        <v>26</v>
      </c>
      <c r="E70" s="1" t="s">
        <v>13</v>
      </c>
      <c r="F70" s="1" t="s">
        <v>14</v>
      </c>
      <c r="G70" s="1" t="s">
        <v>15</v>
      </c>
      <c r="H70" s="2">
        <v>44990</v>
      </c>
      <c r="I70" s="1">
        <v>179</v>
      </c>
      <c r="J70" s="1">
        <v>205.63</v>
      </c>
      <c r="K70" s="1">
        <v>248.56</v>
      </c>
    </row>
    <row r="71" spans="2:11" x14ac:dyDescent="0.25">
      <c r="B71" s="1" t="s">
        <v>93</v>
      </c>
      <c r="C71" s="1" t="s">
        <v>11</v>
      </c>
      <c r="D71" s="1" t="s">
        <v>50</v>
      </c>
      <c r="E71" s="1" t="s">
        <v>42</v>
      </c>
      <c r="F71" s="1" t="s">
        <v>24</v>
      </c>
      <c r="G71" s="1" t="s">
        <v>28</v>
      </c>
      <c r="H71" s="2">
        <v>44991</v>
      </c>
      <c r="I71" s="1">
        <v>365</v>
      </c>
      <c r="J71" s="1">
        <v>302.92</v>
      </c>
      <c r="K71" s="1">
        <v>120.35</v>
      </c>
    </row>
    <row r="72" spans="2:11" x14ac:dyDescent="0.25">
      <c r="B72" s="1" t="s">
        <v>94</v>
      </c>
      <c r="C72" s="1" t="s">
        <v>48</v>
      </c>
      <c r="D72" s="1" t="s">
        <v>18</v>
      </c>
      <c r="E72" s="1" t="s">
        <v>19</v>
      </c>
      <c r="F72" s="1" t="s">
        <v>14</v>
      </c>
      <c r="G72" s="1" t="s">
        <v>28</v>
      </c>
      <c r="H72" s="2">
        <v>44992</v>
      </c>
      <c r="I72" s="1">
        <v>200</v>
      </c>
      <c r="J72" s="1">
        <v>318.11</v>
      </c>
      <c r="K72" s="1">
        <v>173.27</v>
      </c>
    </row>
    <row r="73" spans="2:11" x14ac:dyDescent="0.25">
      <c r="B73" s="1" t="s">
        <v>95</v>
      </c>
      <c r="C73" s="1" t="s">
        <v>17</v>
      </c>
      <c r="D73" s="1" t="s">
        <v>12</v>
      </c>
      <c r="E73" s="1" t="s">
        <v>23</v>
      </c>
      <c r="F73" s="1" t="s">
        <v>24</v>
      </c>
      <c r="G73" s="1" t="s">
        <v>20</v>
      </c>
      <c r="H73" s="2">
        <v>44993</v>
      </c>
      <c r="I73" s="1">
        <v>164</v>
      </c>
      <c r="J73" s="1">
        <v>189.56</v>
      </c>
      <c r="K73" s="1">
        <v>69.92</v>
      </c>
    </row>
    <row r="74" spans="2:11" x14ac:dyDescent="0.25">
      <c r="B74" s="1" t="s">
        <v>96</v>
      </c>
      <c r="C74" s="1" t="s">
        <v>22</v>
      </c>
      <c r="D74" s="1" t="s">
        <v>18</v>
      </c>
      <c r="E74" s="1" t="s">
        <v>42</v>
      </c>
      <c r="F74" s="1" t="s">
        <v>14</v>
      </c>
      <c r="G74" s="1" t="s">
        <v>15</v>
      </c>
      <c r="H74" s="2">
        <v>44994</v>
      </c>
      <c r="I74" s="1">
        <v>431</v>
      </c>
      <c r="J74" s="1">
        <v>258.74</v>
      </c>
      <c r="K74" s="1">
        <v>31.7</v>
      </c>
    </row>
    <row r="75" spans="2:11" x14ac:dyDescent="0.25">
      <c r="B75" s="1" t="s">
        <v>97</v>
      </c>
      <c r="C75" s="1" t="s">
        <v>17</v>
      </c>
      <c r="D75" s="1" t="s">
        <v>50</v>
      </c>
      <c r="E75" s="1" t="s">
        <v>42</v>
      </c>
      <c r="F75" s="1" t="s">
        <v>14</v>
      </c>
      <c r="G75" s="1" t="s">
        <v>28</v>
      </c>
      <c r="H75" s="2">
        <v>44995</v>
      </c>
      <c r="I75" s="1">
        <v>197</v>
      </c>
      <c r="J75" s="1">
        <v>209.45</v>
      </c>
      <c r="K75" s="1">
        <v>313.51</v>
      </c>
    </row>
    <row r="76" spans="2:11" x14ac:dyDescent="0.25">
      <c r="B76" s="1" t="s">
        <v>98</v>
      </c>
      <c r="C76" s="1" t="s">
        <v>48</v>
      </c>
      <c r="D76" s="1" t="s">
        <v>12</v>
      </c>
      <c r="E76" s="1" t="s">
        <v>42</v>
      </c>
      <c r="F76" s="1" t="s">
        <v>14</v>
      </c>
      <c r="G76" s="1" t="s">
        <v>28</v>
      </c>
      <c r="H76" s="2">
        <v>44996</v>
      </c>
      <c r="I76" s="1">
        <v>16</v>
      </c>
      <c r="J76" s="1">
        <v>39.22</v>
      </c>
      <c r="K76" s="1">
        <v>107.62</v>
      </c>
    </row>
    <row r="77" spans="2:11" x14ac:dyDescent="0.25">
      <c r="B77" s="1" t="s">
        <v>99</v>
      </c>
      <c r="C77" s="1" t="s">
        <v>48</v>
      </c>
      <c r="D77" s="1" t="s">
        <v>50</v>
      </c>
      <c r="E77" s="1" t="s">
        <v>13</v>
      </c>
      <c r="F77" s="1" t="s">
        <v>14</v>
      </c>
      <c r="G77" s="1" t="s">
        <v>15</v>
      </c>
      <c r="H77" s="2">
        <v>44997</v>
      </c>
      <c r="I77" s="1">
        <v>142</v>
      </c>
      <c r="J77" s="1">
        <v>221.4</v>
      </c>
      <c r="K77" s="1">
        <v>72.75</v>
      </c>
    </row>
    <row r="78" spans="2:11" x14ac:dyDescent="0.25">
      <c r="B78" s="1" t="s">
        <v>100</v>
      </c>
      <c r="C78" s="1" t="s">
        <v>48</v>
      </c>
      <c r="D78" s="1" t="s">
        <v>31</v>
      </c>
      <c r="E78" s="1" t="s">
        <v>19</v>
      </c>
      <c r="F78" s="1" t="s">
        <v>14</v>
      </c>
      <c r="G78" s="1" t="s">
        <v>20</v>
      </c>
      <c r="H78" s="2">
        <v>44998</v>
      </c>
      <c r="I78" s="1">
        <v>244</v>
      </c>
      <c r="J78" s="1">
        <v>53.21</v>
      </c>
      <c r="K78" s="1">
        <v>277.26</v>
      </c>
    </row>
    <row r="79" spans="2:11" x14ac:dyDescent="0.25">
      <c r="B79" s="1" t="s">
        <v>101</v>
      </c>
      <c r="C79" s="1" t="s">
        <v>22</v>
      </c>
      <c r="D79" s="1" t="s">
        <v>12</v>
      </c>
      <c r="E79" s="1" t="s">
        <v>13</v>
      </c>
      <c r="F79" s="1" t="s">
        <v>14</v>
      </c>
      <c r="G79" s="1" t="s">
        <v>15</v>
      </c>
      <c r="H79" s="2">
        <v>44999</v>
      </c>
      <c r="I79" s="1">
        <v>54</v>
      </c>
      <c r="J79" s="1">
        <v>205.49</v>
      </c>
      <c r="K79" s="1">
        <v>247.98</v>
      </c>
    </row>
    <row r="80" spans="2:11" x14ac:dyDescent="0.25">
      <c r="B80" s="1" t="s">
        <v>102</v>
      </c>
      <c r="C80" s="1" t="s">
        <v>48</v>
      </c>
      <c r="D80" s="1" t="s">
        <v>31</v>
      </c>
      <c r="E80" s="1" t="s">
        <v>19</v>
      </c>
      <c r="F80" s="1" t="s">
        <v>14</v>
      </c>
      <c r="G80" s="1" t="s">
        <v>20</v>
      </c>
      <c r="H80" s="2">
        <v>45000</v>
      </c>
      <c r="I80" s="1">
        <v>323</v>
      </c>
      <c r="J80" s="1">
        <v>298.49</v>
      </c>
      <c r="K80" s="1">
        <v>254.01</v>
      </c>
    </row>
    <row r="81" spans="2:11" x14ac:dyDescent="0.25">
      <c r="B81" s="1" t="s">
        <v>103</v>
      </c>
      <c r="C81" s="1" t="s">
        <v>22</v>
      </c>
      <c r="D81" s="1" t="s">
        <v>18</v>
      </c>
      <c r="E81" s="1" t="s">
        <v>13</v>
      </c>
      <c r="F81" s="1" t="s">
        <v>24</v>
      </c>
      <c r="G81" s="1" t="s">
        <v>28</v>
      </c>
      <c r="H81" s="2">
        <v>45001</v>
      </c>
      <c r="I81" s="1">
        <v>258</v>
      </c>
      <c r="J81" s="1">
        <v>291.81</v>
      </c>
      <c r="K81" s="1">
        <v>93.1</v>
      </c>
    </row>
    <row r="82" spans="2:11" x14ac:dyDescent="0.25">
      <c r="B82" s="1" t="s">
        <v>104</v>
      </c>
      <c r="C82" s="1" t="s">
        <v>48</v>
      </c>
      <c r="D82" s="1" t="s">
        <v>18</v>
      </c>
      <c r="E82" s="1" t="s">
        <v>13</v>
      </c>
      <c r="F82" s="1" t="s">
        <v>24</v>
      </c>
      <c r="G82" s="1" t="s">
        <v>20</v>
      </c>
      <c r="H82" s="2">
        <v>45002</v>
      </c>
      <c r="I82" s="1">
        <v>40</v>
      </c>
      <c r="J82" s="1">
        <v>333</v>
      </c>
      <c r="K82" s="1">
        <v>94.59</v>
      </c>
    </row>
    <row r="83" spans="2:11" x14ac:dyDescent="0.25">
      <c r="B83" s="1" t="s">
        <v>105</v>
      </c>
      <c r="C83" s="1" t="s">
        <v>17</v>
      </c>
      <c r="D83" s="1" t="s">
        <v>12</v>
      </c>
      <c r="E83" s="1" t="s">
        <v>23</v>
      </c>
      <c r="F83" s="1" t="s">
        <v>24</v>
      </c>
      <c r="G83" s="1" t="s">
        <v>28</v>
      </c>
      <c r="H83" s="2">
        <v>45003</v>
      </c>
      <c r="I83" s="1">
        <v>32</v>
      </c>
      <c r="J83" s="1">
        <v>52.15</v>
      </c>
      <c r="K83" s="1">
        <v>89.88</v>
      </c>
    </row>
    <row r="84" spans="2:11" x14ac:dyDescent="0.25">
      <c r="B84" s="1" t="s">
        <v>106</v>
      </c>
      <c r="C84" s="1" t="s">
        <v>17</v>
      </c>
      <c r="D84" s="1" t="s">
        <v>12</v>
      </c>
      <c r="E84" s="1" t="s">
        <v>13</v>
      </c>
      <c r="F84" s="1" t="s">
        <v>24</v>
      </c>
      <c r="G84" s="1" t="s">
        <v>15</v>
      </c>
      <c r="H84" s="2">
        <v>45004</v>
      </c>
      <c r="I84" s="1">
        <v>435</v>
      </c>
      <c r="J84" s="1">
        <v>327.8</v>
      </c>
      <c r="K84" s="1">
        <v>71.150000000000006</v>
      </c>
    </row>
    <row r="85" spans="2:11" x14ac:dyDescent="0.25">
      <c r="B85" s="1" t="s">
        <v>107</v>
      </c>
      <c r="C85" s="1" t="s">
        <v>11</v>
      </c>
      <c r="D85" s="1" t="s">
        <v>50</v>
      </c>
      <c r="E85" s="1" t="s">
        <v>27</v>
      </c>
      <c r="F85" s="1" t="s">
        <v>24</v>
      </c>
      <c r="G85" s="1" t="s">
        <v>15</v>
      </c>
      <c r="H85" s="2">
        <v>45005</v>
      </c>
      <c r="I85" s="1">
        <v>403</v>
      </c>
      <c r="J85" s="1">
        <v>159.51</v>
      </c>
      <c r="K85" s="1">
        <v>262.98</v>
      </c>
    </row>
    <row r="86" spans="2:11" x14ac:dyDescent="0.25">
      <c r="B86" s="1" t="s">
        <v>108</v>
      </c>
      <c r="C86" s="1" t="s">
        <v>17</v>
      </c>
      <c r="D86" s="1" t="s">
        <v>50</v>
      </c>
      <c r="E86" s="1" t="s">
        <v>23</v>
      </c>
      <c r="F86" s="1" t="s">
        <v>14</v>
      </c>
      <c r="G86" s="1" t="s">
        <v>15</v>
      </c>
      <c r="H86" s="2">
        <v>45006</v>
      </c>
      <c r="I86" s="1">
        <v>169</v>
      </c>
      <c r="J86" s="1"/>
      <c r="K86" s="1">
        <v>339.51</v>
      </c>
    </row>
    <row r="87" spans="2:11" x14ac:dyDescent="0.25">
      <c r="B87" s="1" t="s">
        <v>109</v>
      </c>
      <c r="C87" s="1" t="s">
        <v>11</v>
      </c>
      <c r="D87" s="1" t="s">
        <v>31</v>
      </c>
      <c r="E87" s="1" t="s">
        <v>13</v>
      </c>
      <c r="F87" s="1" t="s">
        <v>14</v>
      </c>
      <c r="G87" s="1" t="s">
        <v>20</v>
      </c>
      <c r="H87" s="2">
        <v>45007</v>
      </c>
      <c r="I87" s="1">
        <v>372</v>
      </c>
      <c r="J87" s="1">
        <v>429.7</v>
      </c>
      <c r="K87" s="1">
        <v>290.27999999999997</v>
      </c>
    </row>
    <row r="88" spans="2:11" x14ac:dyDescent="0.25">
      <c r="B88" s="1" t="s">
        <v>110</v>
      </c>
      <c r="C88" s="1" t="s">
        <v>17</v>
      </c>
      <c r="D88" s="1" t="s">
        <v>12</v>
      </c>
      <c r="E88" s="1" t="s">
        <v>42</v>
      </c>
      <c r="F88" s="1" t="s">
        <v>24</v>
      </c>
      <c r="G88" s="1" t="s">
        <v>28</v>
      </c>
      <c r="H88" s="2">
        <v>45008</v>
      </c>
      <c r="I88" s="1">
        <v>446</v>
      </c>
      <c r="J88" s="1">
        <v>9.4700000000000006</v>
      </c>
      <c r="K88" s="1">
        <v>317.25</v>
      </c>
    </row>
    <row r="89" spans="2:11" x14ac:dyDescent="0.25">
      <c r="B89" s="1" t="s">
        <v>111</v>
      </c>
      <c r="C89" s="1" t="s">
        <v>22</v>
      </c>
      <c r="D89" s="1" t="s">
        <v>18</v>
      </c>
      <c r="E89" s="1" t="s">
        <v>27</v>
      </c>
      <c r="F89" s="1" t="s">
        <v>14</v>
      </c>
      <c r="G89" s="1" t="s">
        <v>15</v>
      </c>
      <c r="H89" s="2">
        <v>45009</v>
      </c>
      <c r="I89" s="1">
        <v>167</v>
      </c>
      <c r="J89" s="1">
        <v>296.26</v>
      </c>
      <c r="K89" s="1">
        <v>163.11000000000001</v>
      </c>
    </row>
    <row r="90" spans="2:11" x14ac:dyDescent="0.25">
      <c r="B90" s="1" t="s">
        <v>112</v>
      </c>
      <c r="C90" s="1" t="s">
        <v>17</v>
      </c>
      <c r="D90" s="1" t="s">
        <v>50</v>
      </c>
      <c r="E90" s="1" t="s">
        <v>27</v>
      </c>
      <c r="F90" s="1" t="s">
        <v>24</v>
      </c>
      <c r="G90" s="1" t="s">
        <v>15</v>
      </c>
      <c r="H90" s="2">
        <v>45010</v>
      </c>
      <c r="I90" s="1">
        <v>48</v>
      </c>
      <c r="J90" s="1">
        <v>301.36</v>
      </c>
      <c r="K90" s="1">
        <v>262.32</v>
      </c>
    </row>
    <row r="91" spans="2:11" x14ac:dyDescent="0.25">
      <c r="B91" s="1" t="s">
        <v>113</v>
      </c>
      <c r="C91" s="1" t="s">
        <v>11</v>
      </c>
      <c r="D91" s="1" t="s">
        <v>50</v>
      </c>
      <c r="E91" s="1" t="s">
        <v>27</v>
      </c>
      <c r="F91" s="1" t="s">
        <v>24</v>
      </c>
      <c r="G91" s="1" t="s">
        <v>28</v>
      </c>
      <c r="H91" s="2">
        <v>45011</v>
      </c>
      <c r="I91" s="1">
        <v>424</v>
      </c>
      <c r="J91" s="1">
        <v>201.35</v>
      </c>
      <c r="K91" s="1">
        <v>142.99</v>
      </c>
    </row>
    <row r="92" spans="2:11" x14ac:dyDescent="0.25">
      <c r="B92" s="1" t="s">
        <v>114</v>
      </c>
      <c r="C92" s="1" t="s">
        <v>11</v>
      </c>
      <c r="D92" s="1" t="s">
        <v>18</v>
      </c>
      <c r="E92" s="1" t="s">
        <v>23</v>
      </c>
      <c r="F92" s="1" t="s">
        <v>14</v>
      </c>
      <c r="G92" s="1" t="s">
        <v>15</v>
      </c>
      <c r="H92" s="2">
        <v>45012</v>
      </c>
      <c r="I92" s="1">
        <v>91</v>
      </c>
      <c r="J92" s="1">
        <v>122.33</v>
      </c>
      <c r="K92" s="1">
        <v>211.15</v>
      </c>
    </row>
    <row r="93" spans="2:11" x14ac:dyDescent="0.25">
      <c r="B93" s="1" t="s">
        <v>115</v>
      </c>
      <c r="C93" s="1" t="s">
        <v>48</v>
      </c>
      <c r="D93" s="1" t="s">
        <v>50</v>
      </c>
      <c r="E93" s="1" t="s">
        <v>13</v>
      </c>
      <c r="F93" s="1" t="s">
        <v>14</v>
      </c>
      <c r="G93" s="1" t="s">
        <v>28</v>
      </c>
      <c r="H93" s="2">
        <v>45013</v>
      </c>
      <c r="I93" s="1">
        <v>365</v>
      </c>
      <c r="J93" s="1">
        <v>121.16</v>
      </c>
      <c r="K93" s="1">
        <v>193.69</v>
      </c>
    </row>
    <row r="94" spans="2:11" x14ac:dyDescent="0.25">
      <c r="B94" s="1" t="s">
        <v>116</v>
      </c>
      <c r="C94" s="1" t="s">
        <v>22</v>
      </c>
      <c r="D94" s="1" t="s">
        <v>31</v>
      </c>
      <c r="E94" s="1" t="s">
        <v>13</v>
      </c>
      <c r="F94" s="1" t="s">
        <v>14</v>
      </c>
      <c r="G94" s="1" t="s">
        <v>28</v>
      </c>
      <c r="H94" s="2">
        <v>45014</v>
      </c>
      <c r="I94" s="1">
        <v>267</v>
      </c>
      <c r="J94" s="1">
        <v>442.44</v>
      </c>
      <c r="K94" s="1">
        <v>72.400000000000006</v>
      </c>
    </row>
    <row r="95" spans="2:11" x14ac:dyDescent="0.25">
      <c r="B95" s="1" t="s">
        <v>117</v>
      </c>
      <c r="C95" s="1" t="s">
        <v>17</v>
      </c>
      <c r="D95" s="1" t="s">
        <v>12</v>
      </c>
      <c r="E95" s="1" t="s">
        <v>42</v>
      </c>
      <c r="F95" s="1" t="s">
        <v>24</v>
      </c>
      <c r="G95" s="1" t="s">
        <v>28</v>
      </c>
      <c r="H95" s="2">
        <v>45015</v>
      </c>
      <c r="I95" s="1">
        <v>215</v>
      </c>
      <c r="J95" s="1">
        <v>223.8</v>
      </c>
      <c r="K95" s="1">
        <v>156.06</v>
      </c>
    </row>
    <row r="96" spans="2:11" x14ac:dyDescent="0.25">
      <c r="B96" s="1" t="s">
        <v>118</v>
      </c>
      <c r="C96" s="1" t="s">
        <v>48</v>
      </c>
      <c r="D96" s="1" t="s">
        <v>18</v>
      </c>
      <c r="E96" s="1" t="s">
        <v>42</v>
      </c>
      <c r="F96" s="1" t="s">
        <v>14</v>
      </c>
      <c r="G96" s="1" t="s">
        <v>28</v>
      </c>
      <c r="H96" s="2">
        <v>45016</v>
      </c>
      <c r="I96" s="1">
        <v>86</v>
      </c>
      <c r="J96" s="1">
        <v>168.79</v>
      </c>
      <c r="K96" s="1">
        <v>385.6</v>
      </c>
    </row>
    <row r="97" spans="2:11" x14ac:dyDescent="0.25">
      <c r="B97" s="1" t="s">
        <v>119</v>
      </c>
      <c r="C97" s="1" t="s">
        <v>17</v>
      </c>
      <c r="D97" s="1" t="s">
        <v>12</v>
      </c>
      <c r="E97" s="1" t="s">
        <v>27</v>
      </c>
      <c r="F97" s="1" t="s">
        <v>24</v>
      </c>
      <c r="G97" s="1" t="s">
        <v>28</v>
      </c>
      <c r="H97" s="2">
        <v>45017</v>
      </c>
      <c r="I97" s="1">
        <v>486</v>
      </c>
      <c r="J97" s="1">
        <v>227.14</v>
      </c>
      <c r="K97" s="1">
        <v>100.93</v>
      </c>
    </row>
    <row r="98" spans="2:11" x14ac:dyDescent="0.25">
      <c r="B98" s="1" t="s">
        <v>120</v>
      </c>
      <c r="C98" s="1" t="s">
        <v>17</v>
      </c>
      <c r="D98" s="1" t="s">
        <v>50</v>
      </c>
      <c r="E98" s="1" t="s">
        <v>42</v>
      </c>
      <c r="F98" s="1" t="s">
        <v>24</v>
      </c>
      <c r="G98" s="1" t="s">
        <v>20</v>
      </c>
      <c r="H98" s="2">
        <v>45018</v>
      </c>
      <c r="I98" s="1">
        <v>21</v>
      </c>
      <c r="J98" s="1"/>
      <c r="K98" s="1">
        <v>55.25</v>
      </c>
    </row>
    <row r="99" spans="2:11" x14ac:dyDescent="0.25">
      <c r="B99" s="1" t="s">
        <v>121</v>
      </c>
      <c r="C99" s="1" t="s">
        <v>48</v>
      </c>
      <c r="D99" s="1" t="s">
        <v>50</v>
      </c>
      <c r="E99" s="1" t="s">
        <v>23</v>
      </c>
      <c r="F99" s="1" t="s">
        <v>24</v>
      </c>
      <c r="G99" s="1" t="s">
        <v>15</v>
      </c>
      <c r="H99" s="2">
        <v>45019</v>
      </c>
      <c r="I99" s="1">
        <v>304</v>
      </c>
      <c r="J99" s="1">
        <v>77.150000000000006</v>
      </c>
      <c r="K99" s="1">
        <v>168.6</v>
      </c>
    </row>
    <row r="100" spans="2:11" x14ac:dyDescent="0.25">
      <c r="B100" s="1" t="s">
        <v>122</v>
      </c>
      <c r="C100" s="1" t="s">
        <v>48</v>
      </c>
      <c r="D100" s="1" t="s">
        <v>18</v>
      </c>
      <c r="E100" s="1" t="s">
        <v>13</v>
      </c>
      <c r="F100" s="1" t="s">
        <v>14</v>
      </c>
      <c r="G100" s="1" t="s">
        <v>20</v>
      </c>
      <c r="H100" s="2">
        <v>45020</v>
      </c>
      <c r="I100" s="1">
        <v>459</v>
      </c>
      <c r="J100" s="1">
        <v>227.47</v>
      </c>
      <c r="K100" s="1">
        <v>316.55</v>
      </c>
    </row>
    <row r="101" spans="2:11" x14ac:dyDescent="0.25">
      <c r="B101" s="1" t="s">
        <v>123</v>
      </c>
      <c r="C101" s="1" t="s">
        <v>48</v>
      </c>
      <c r="D101" s="1" t="s">
        <v>31</v>
      </c>
      <c r="E101" s="1" t="s">
        <v>27</v>
      </c>
      <c r="F101" s="1" t="s">
        <v>14</v>
      </c>
      <c r="G101" s="1" t="s">
        <v>15</v>
      </c>
      <c r="H101" s="2">
        <v>45021</v>
      </c>
      <c r="I101" s="1">
        <v>233</v>
      </c>
      <c r="J101" s="1">
        <v>296</v>
      </c>
      <c r="K101" s="1">
        <v>233.69</v>
      </c>
    </row>
    <row r="102" spans="2:11" x14ac:dyDescent="0.25">
      <c r="B102" s="1" t="s">
        <v>124</v>
      </c>
      <c r="C102" s="1" t="s">
        <v>48</v>
      </c>
      <c r="D102" s="1" t="s">
        <v>26</v>
      </c>
      <c r="E102" s="1" t="s">
        <v>42</v>
      </c>
      <c r="F102" s="1" t="s">
        <v>24</v>
      </c>
      <c r="G102" s="1" t="s">
        <v>20</v>
      </c>
      <c r="H102" s="2">
        <v>45022</v>
      </c>
      <c r="I102" s="1">
        <v>22</v>
      </c>
      <c r="J102" s="1">
        <v>474.55</v>
      </c>
      <c r="K102" s="1">
        <v>273.02999999999997</v>
      </c>
    </row>
    <row r="103" spans="2:11" x14ac:dyDescent="0.25">
      <c r="B103" s="1" t="s">
        <v>125</v>
      </c>
      <c r="C103" s="1" t="s">
        <v>48</v>
      </c>
      <c r="D103" s="1" t="s">
        <v>18</v>
      </c>
      <c r="E103" s="1" t="s">
        <v>23</v>
      </c>
      <c r="F103" s="1" t="s">
        <v>14</v>
      </c>
      <c r="G103" s="1" t="s">
        <v>28</v>
      </c>
      <c r="H103" s="2">
        <v>45023</v>
      </c>
      <c r="I103" s="1">
        <v>55</v>
      </c>
      <c r="J103" s="1">
        <v>130</v>
      </c>
      <c r="K103" s="1">
        <v>77.5</v>
      </c>
    </row>
    <row r="104" spans="2:11" x14ac:dyDescent="0.25">
      <c r="B104" s="1" t="s">
        <v>126</v>
      </c>
      <c r="C104" s="1" t="s">
        <v>17</v>
      </c>
      <c r="D104" s="1" t="s">
        <v>26</v>
      </c>
      <c r="E104" s="1" t="s">
        <v>23</v>
      </c>
      <c r="F104" s="1" t="s">
        <v>14</v>
      </c>
      <c r="G104" s="1" t="s">
        <v>15</v>
      </c>
      <c r="H104" s="2">
        <v>45024</v>
      </c>
      <c r="I104" s="1">
        <v>164</v>
      </c>
      <c r="J104" s="1">
        <v>182.83</v>
      </c>
      <c r="K104" s="1">
        <v>248.34</v>
      </c>
    </row>
    <row r="105" spans="2:11" x14ac:dyDescent="0.25">
      <c r="B105" s="1" t="s">
        <v>127</v>
      </c>
      <c r="C105" s="1" t="s">
        <v>48</v>
      </c>
      <c r="D105" s="1" t="s">
        <v>26</v>
      </c>
      <c r="E105" s="1" t="s">
        <v>42</v>
      </c>
      <c r="F105" s="1" t="s">
        <v>14</v>
      </c>
      <c r="G105" s="1" t="s">
        <v>15</v>
      </c>
      <c r="H105" s="2">
        <v>45025</v>
      </c>
      <c r="I105" s="1">
        <v>122</v>
      </c>
      <c r="J105" s="1">
        <v>192.78</v>
      </c>
      <c r="K105" s="1">
        <v>130.75</v>
      </c>
    </row>
    <row r="106" spans="2:11" x14ac:dyDescent="0.25">
      <c r="B106" s="1" t="s">
        <v>128</v>
      </c>
      <c r="C106" s="1" t="s">
        <v>22</v>
      </c>
      <c r="D106" s="1" t="s">
        <v>31</v>
      </c>
      <c r="E106" s="1" t="s">
        <v>13</v>
      </c>
      <c r="F106" s="1" t="s">
        <v>24</v>
      </c>
      <c r="G106" s="1" t="s">
        <v>20</v>
      </c>
      <c r="H106" s="2">
        <v>45026</v>
      </c>
      <c r="I106" s="1">
        <v>242</v>
      </c>
      <c r="J106" s="1">
        <v>304.74</v>
      </c>
      <c r="K106" s="1">
        <v>334.05</v>
      </c>
    </row>
    <row r="107" spans="2:11" x14ac:dyDescent="0.25">
      <c r="B107" s="1" t="s">
        <v>129</v>
      </c>
      <c r="C107" s="1" t="s">
        <v>11</v>
      </c>
      <c r="D107" s="1" t="s">
        <v>26</v>
      </c>
      <c r="E107" s="1" t="s">
        <v>42</v>
      </c>
      <c r="F107" s="1" t="s">
        <v>24</v>
      </c>
      <c r="G107" s="1" t="s">
        <v>20</v>
      </c>
      <c r="H107" s="2">
        <v>45027</v>
      </c>
      <c r="I107" s="1">
        <v>26</v>
      </c>
      <c r="J107" s="1">
        <v>181.58</v>
      </c>
      <c r="K107" s="1">
        <v>252.46</v>
      </c>
    </row>
    <row r="108" spans="2:11" x14ac:dyDescent="0.25">
      <c r="B108" s="1" t="s">
        <v>130</v>
      </c>
      <c r="C108" s="1" t="s">
        <v>48</v>
      </c>
      <c r="D108" s="1" t="s">
        <v>26</v>
      </c>
      <c r="E108" s="1" t="s">
        <v>27</v>
      </c>
      <c r="F108" s="1" t="s">
        <v>14</v>
      </c>
      <c r="G108" s="1" t="s">
        <v>15</v>
      </c>
      <c r="H108" s="2">
        <v>45028</v>
      </c>
      <c r="I108" s="1">
        <v>369</v>
      </c>
      <c r="J108" s="1">
        <v>269.08999999999997</v>
      </c>
      <c r="K108" s="1">
        <v>81.14</v>
      </c>
    </row>
    <row r="109" spans="2:11" x14ac:dyDescent="0.25">
      <c r="B109" s="1" t="s">
        <v>131</v>
      </c>
      <c r="C109" s="1" t="s">
        <v>48</v>
      </c>
      <c r="D109" s="1" t="s">
        <v>31</v>
      </c>
      <c r="E109" s="1" t="s">
        <v>42</v>
      </c>
      <c r="F109" s="1" t="s">
        <v>24</v>
      </c>
      <c r="G109" s="1" t="s">
        <v>20</v>
      </c>
      <c r="H109" s="2">
        <v>45029</v>
      </c>
      <c r="I109" s="1">
        <v>232</v>
      </c>
      <c r="J109" s="1">
        <v>391.99</v>
      </c>
      <c r="K109" s="1">
        <v>27.72</v>
      </c>
    </row>
    <row r="110" spans="2:11" x14ac:dyDescent="0.25">
      <c r="B110" s="1" t="s">
        <v>132</v>
      </c>
      <c r="C110" s="1" t="s">
        <v>17</v>
      </c>
      <c r="D110" s="1" t="s">
        <v>26</v>
      </c>
      <c r="E110" s="1" t="s">
        <v>23</v>
      </c>
      <c r="F110" s="1" t="s">
        <v>14</v>
      </c>
      <c r="G110" s="1" t="s">
        <v>20</v>
      </c>
      <c r="H110" s="2">
        <v>45030</v>
      </c>
      <c r="I110" s="1">
        <v>363</v>
      </c>
      <c r="J110" s="1">
        <v>354.17</v>
      </c>
      <c r="K110" s="1">
        <v>18.97</v>
      </c>
    </row>
    <row r="111" spans="2:11" x14ac:dyDescent="0.25">
      <c r="B111" s="1" t="s">
        <v>133</v>
      </c>
      <c r="C111" s="1" t="s">
        <v>48</v>
      </c>
      <c r="D111" s="1" t="s">
        <v>26</v>
      </c>
      <c r="E111" s="1" t="s">
        <v>42</v>
      </c>
      <c r="F111" s="1" t="s">
        <v>14</v>
      </c>
      <c r="G111" s="1" t="s">
        <v>20</v>
      </c>
      <c r="H111" s="2">
        <v>45031</v>
      </c>
      <c r="I111" s="1">
        <v>197</v>
      </c>
      <c r="J111" s="1">
        <v>225.95</v>
      </c>
      <c r="K111" s="1">
        <v>149.82</v>
      </c>
    </row>
    <row r="112" spans="2:11" x14ac:dyDescent="0.25">
      <c r="B112" s="1" t="s">
        <v>134</v>
      </c>
      <c r="C112" s="1" t="s">
        <v>48</v>
      </c>
      <c r="D112" s="1" t="s">
        <v>26</v>
      </c>
      <c r="E112" s="1" t="s">
        <v>13</v>
      </c>
      <c r="F112" s="1" t="s">
        <v>14</v>
      </c>
      <c r="G112" s="1" t="s">
        <v>28</v>
      </c>
      <c r="H112" s="2">
        <v>45032</v>
      </c>
      <c r="I112" s="1">
        <v>457</v>
      </c>
      <c r="J112" s="1">
        <v>432.79</v>
      </c>
      <c r="K112" s="1">
        <v>107.81</v>
      </c>
    </row>
    <row r="113" spans="2:11" x14ac:dyDescent="0.25">
      <c r="B113" s="1" t="s">
        <v>135</v>
      </c>
      <c r="C113" s="1" t="s">
        <v>48</v>
      </c>
      <c r="D113" s="1" t="s">
        <v>18</v>
      </c>
      <c r="E113" s="1" t="s">
        <v>19</v>
      </c>
      <c r="F113" s="1" t="s">
        <v>14</v>
      </c>
      <c r="G113" s="1" t="s">
        <v>28</v>
      </c>
      <c r="H113" s="2">
        <v>45033</v>
      </c>
      <c r="I113" s="1">
        <v>353</v>
      </c>
      <c r="J113" s="1">
        <v>281.27999999999997</v>
      </c>
      <c r="K113" s="1">
        <v>259.14</v>
      </c>
    </row>
    <row r="114" spans="2:11" x14ac:dyDescent="0.25">
      <c r="B114" s="1" t="s">
        <v>136</v>
      </c>
      <c r="C114" s="1" t="s">
        <v>17</v>
      </c>
      <c r="D114" s="1" t="s">
        <v>18</v>
      </c>
      <c r="E114" s="1" t="s">
        <v>42</v>
      </c>
      <c r="F114" s="1" t="s">
        <v>24</v>
      </c>
      <c r="G114" s="1" t="s">
        <v>20</v>
      </c>
      <c r="H114" s="2">
        <v>45034</v>
      </c>
      <c r="I114" s="1">
        <v>374</v>
      </c>
      <c r="J114" s="1">
        <v>272.25</v>
      </c>
      <c r="K114" s="1">
        <v>200.73</v>
      </c>
    </row>
    <row r="115" spans="2:11" x14ac:dyDescent="0.25">
      <c r="B115" s="1" t="s">
        <v>137</v>
      </c>
      <c r="C115" s="1" t="s">
        <v>48</v>
      </c>
      <c r="D115" s="1" t="s">
        <v>18</v>
      </c>
      <c r="E115" s="1" t="s">
        <v>13</v>
      </c>
      <c r="F115" s="1" t="s">
        <v>24</v>
      </c>
      <c r="G115" s="1" t="s">
        <v>20</v>
      </c>
      <c r="H115" s="2">
        <v>45035</v>
      </c>
      <c r="I115" s="1">
        <v>172</v>
      </c>
      <c r="J115" s="1">
        <v>21.92</v>
      </c>
      <c r="K115" s="1">
        <v>107.88</v>
      </c>
    </row>
    <row r="116" spans="2:11" x14ac:dyDescent="0.25">
      <c r="B116" s="1" t="s">
        <v>138</v>
      </c>
      <c r="C116" s="1" t="s">
        <v>11</v>
      </c>
      <c r="D116" s="1" t="s">
        <v>31</v>
      </c>
      <c r="E116" s="1" t="s">
        <v>13</v>
      </c>
      <c r="F116" s="1" t="s">
        <v>24</v>
      </c>
      <c r="G116" s="1" t="s">
        <v>28</v>
      </c>
      <c r="H116" s="2">
        <v>45036</v>
      </c>
      <c r="I116" s="1">
        <v>335</v>
      </c>
      <c r="J116" s="1">
        <v>493.41</v>
      </c>
      <c r="K116" s="1">
        <v>61.4</v>
      </c>
    </row>
    <row r="117" spans="2:11" x14ac:dyDescent="0.25">
      <c r="B117" s="1" t="s">
        <v>139</v>
      </c>
      <c r="C117" s="1" t="s">
        <v>17</v>
      </c>
      <c r="D117" s="1" t="s">
        <v>50</v>
      </c>
      <c r="E117" s="1" t="s">
        <v>23</v>
      </c>
      <c r="F117" s="1" t="s">
        <v>14</v>
      </c>
      <c r="G117" s="1" t="s">
        <v>28</v>
      </c>
      <c r="H117" s="2">
        <v>45037</v>
      </c>
      <c r="I117" s="1">
        <v>476</v>
      </c>
      <c r="J117" s="1">
        <v>65.87</v>
      </c>
      <c r="K117" s="1">
        <v>52.63</v>
      </c>
    </row>
    <row r="118" spans="2:11" x14ac:dyDescent="0.25">
      <c r="B118" s="1" t="s">
        <v>140</v>
      </c>
      <c r="C118" s="1" t="s">
        <v>11</v>
      </c>
      <c r="D118" s="1" t="s">
        <v>26</v>
      </c>
      <c r="E118" s="1" t="s">
        <v>13</v>
      </c>
      <c r="F118" s="1" t="s">
        <v>14</v>
      </c>
      <c r="G118" s="1" t="s">
        <v>15</v>
      </c>
      <c r="H118" s="2">
        <v>45038</v>
      </c>
      <c r="I118" s="1">
        <v>423</v>
      </c>
      <c r="J118" s="1">
        <v>119.41</v>
      </c>
      <c r="K118" s="1">
        <v>346.13</v>
      </c>
    </row>
    <row r="119" spans="2:11" x14ac:dyDescent="0.25">
      <c r="B119" s="1" t="s">
        <v>141</v>
      </c>
      <c r="C119" s="1" t="s">
        <v>17</v>
      </c>
      <c r="D119" s="1" t="s">
        <v>26</v>
      </c>
      <c r="E119" s="1" t="s">
        <v>13</v>
      </c>
      <c r="F119" s="1" t="s">
        <v>14</v>
      </c>
      <c r="G119" s="1" t="s">
        <v>15</v>
      </c>
      <c r="H119" s="2">
        <v>45039</v>
      </c>
      <c r="I119" s="1">
        <v>464</v>
      </c>
      <c r="J119" s="1">
        <v>30.59</v>
      </c>
      <c r="K119" s="1">
        <v>98.9</v>
      </c>
    </row>
    <row r="120" spans="2:11" x14ac:dyDescent="0.25">
      <c r="B120" s="1" t="s">
        <v>142</v>
      </c>
      <c r="C120" s="1" t="s">
        <v>48</v>
      </c>
      <c r="D120" s="1" t="s">
        <v>31</v>
      </c>
      <c r="E120" s="1" t="s">
        <v>13</v>
      </c>
      <c r="F120" s="1" t="s">
        <v>24</v>
      </c>
      <c r="G120" s="1" t="s">
        <v>28</v>
      </c>
      <c r="H120" s="2">
        <v>45040</v>
      </c>
      <c r="I120" s="1">
        <v>83</v>
      </c>
      <c r="J120" s="1">
        <v>321.8</v>
      </c>
      <c r="K120" s="1">
        <v>261.38</v>
      </c>
    </row>
    <row r="121" spans="2:11" x14ac:dyDescent="0.25">
      <c r="B121" s="1" t="s">
        <v>143</v>
      </c>
      <c r="C121" s="1" t="s">
        <v>11</v>
      </c>
      <c r="D121" s="1" t="s">
        <v>26</v>
      </c>
      <c r="E121" s="1" t="s">
        <v>13</v>
      </c>
      <c r="F121" s="1" t="s">
        <v>14</v>
      </c>
      <c r="G121" s="1" t="s">
        <v>20</v>
      </c>
      <c r="H121" s="2">
        <v>45041</v>
      </c>
      <c r="I121" s="1">
        <v>242</v>
      </c>
      <c r="J121" s="1">
        <v>116.23</v>
      </c>
      <c r="K121" s="1">
        <v>324.64999999999998</v>
      </c>
    </row>
    <row r="122" spans="2:11" x14ac:dyDescent="0.25">
      <c r="B122" s="1" t="s">
        <v>144</v>
      </c>
      <c r="C122" s="1" t="s">
        <v>17</v>
      </c>
      <c r="D122" s="1" t="s">
        <v>18</v>
      </c>
      <c r="E122" s="1" t="s">
        <v>27</v>
      </c>
      <c r="F122" s="1" t="s">
        <v>24</v>
      </c>
      <c r="G122" s="1" t="s">
        <v>20</v>
      </c>
      <c r="H122" s="2">
        <v>45042</v>
      </c>
      <c r="I122" s="1">
        <v>233</v>
      </c>
      <c r="J122" s="1">
        <v>94.11</v>
      </c>
      <c r="K122" s="1">
        <v>246.4</v>
      </c>
    </row>
    <row r="123" spans="2:11" ht="15.75" thickBot="1" x14ac:dyDescent="0.3">
      <c r="B123" s="1" t="s">
        <v>145</v>
      </c>
      <c r="C123" s="1" t="s">
        <v>22</v>
      </c>
      <c r="D123" s="1" t="s">
        <v>50</v>
      </c>
      <c r="E123" s="1" t="s">
        <v>27</v>
      </c>
      <c r="F123" s="1" t="s">
        <v>24</v>
      </c>
      <c r="G123" s="1" t="s">
        <v>20</v>
      </c>
      <c r="H123" s="2">
        <v>45043</v>
      </c>
      <c r="I123" s="1">
        <v>491</v>
      </c>
      <c r="J123" s="1">
        <v>48.84</v>
      </c>
      <c r="K123" s="1">
        <v>344.11</v>
      </c>
    </row>
    <row r="124" spans="2:11" ht="15.75" thickBot="1" x14ac:dyDescent="0.3">
      <c r="B124" s="1" t="s">
        <v>146</v>
      </c>
      <c r="C124" s="5" t="s">
        <v>22</v>
      </c>
      <c r="D124" s="1" t="s">
        <v>12</v>
      </c>
      <c r="E124" s="1" t="s">
        <v>23</v>
      </c>
      <c r="F124" s="1" t="s">
        <v>24</v>
      </c>
      <c r="G124" s="1" t="s">
        <v>20</v>
      </c>
      <c r="H124" s="2">
        <v>45044</v>
      </c>
      <c r="I124" s="1">
        <v>328</v>
      </c>
      <c r="J124" s="1">
        <v>56.14</v>
      </c>
      <c r="K124" s="1">
        <v>158.16999999999999</v>
      </c>
    </row>
    <row r="125" spans="2:11" x14ac:dyDescent="0.25">
      <c r="B125" s="1" t="s">
        <v>147</v>
      </c>
      <c r="C125" s="1" t="s">
        <v>17</v>
      </c>
      <c r="D125" s="1" t="s">
        <v>26</v>
      </c>
      <c r="E125" s="1" t="s">
        <v>42</v>
      </c>
      <c r="F125" s="1" t="s">
        <v>24</v>
      </c>
      <c r="G125" s="1" t="s">
        <v>15</v>
      </c>
      <c r="H125" s="2">
        <v>45045</v>
      </c>
      <c r="I125" s="1">
        <v>421</v>
      </c>
      <c r="J125" s="1">
        <v>294.41000000000003</v>
      </c>
      <c r="K125" s="1">
        <v>382.58</v>
      </c>
    </row>
    <row r="126" spans="2:11" x14ac:dyDescent="0.25">
      <c r="B126" s="1" t="s">
        <v>148</v>
      </c>
      <c r="C126" s="1" t="s">
        <v>22</v>
      </c>
      <c r="D126" s="1" t="s">
        <v>18</v>
      </c>
      <c r="E126" s="1" t="s">
        <v>13</v>
      </c>
      <c r="F126" s="1" t="s">
        <v>24</v>
      </c>
      <c r="G126" s="1" t="s">
        <v>28</v>
      </c>
      <c r="H126" s="2">
        <v>45046</v>
      </c>
      <c r="I126" s="1">
        <v>69</v>
      </c>
      <c r="J126" s="1">
        <v>345.66</v>
      </c>
      <c r="K126" s="1">
        <v>54.99</v>
      </c>
    </row>
    <row r="127" spans="2:11" ht="15.75" thickBot="1" x14ac:dyDescent="0.3">
      <c r="B127" s="1" t="s">
        <v>149</v>
      </c>
      <c r="C127" s="1" t="s">
        <v>17</v>
      </c>
      <c r="D127" s="1" t="s">
        <v>12</v>
      </c>
      <c r="E127" s="1" t="s">
        <v>42</v>
      </c>
      <c r="F127" s="1" t="s">
        <v>24</v>
      </c>
      <c r="G127" s="1" t="s">
        <v>20</v>
      </c>
      <c r="H127" s="2">
        <v>45047</v>
      </c>
      <c r="I127" s="1">
        <v>344</v>
      </c>
      <c r="J127" s="1">
        <v>201.7</v>
      </c>
      <c r="K127" s="1">
        <v>42.66</v>
      </c>
    </row>
    <row r="128" spans="2:11" ht="15.75" thickBot="1" x14ac:dyDescent="0.3">
      <c r="B128" s="1" t="s">
        <v>150</v>
      </c>
      <c r="C128" s="5" t="s">
        <v>17</v>
      </c>
      <c r="D128" s="1" t="s">
        <v>50</v>
      </c>
      <c r="E128" s="1" t="s">
        <v>42</v>
      </c>
      <c r="F128" s="1" t="s">
        <v>14</v>
      </c>
      <c r="G128" s="1" t="s">
        <v>15</v>
      </c>
      <c r="H128" s="2">
        <v>45048</v>
      </c>
      <c r="I128" s="1">
        <v>231</v>
      </c>
      <c r="J128" s="1">
        <v>242.55</v>
      </c>
      <c r="K128" s="1">
        <v>264.16000000000003</v>
      </c>
    </row>
    <row r="129" spans="2:11" x14ac:dyDescent="0.25">
      <c r="B129" s="1" t="s">
        <v>151</v>
      </c>
      <c r="C129" s="1" t="s">
        <v>48</v>
      </c>
      <c r="D129" s="1" t="s">
        <v>12</v>
      </c>
      <c r="E129" s="1" t="s">
        <v>23</v>
      </c>
      <c r="F129" s="1" t="s">
        <v>14</v>
      </c>
      <c r="G129" s="1" t="s">
        <v>20</v>
      </c>
      <c r="H129" s="2">
        <v>45049</v>
      </c>
      <c r="I129" s="1">
        <v>46</v>
      </c>
      <c r="J129" s="1">
        <v>344.55</v>
      </c>
      <c r="K129" s="1">
        <v>377.25</v>
      </c>
    </row>
    <row r="130" spans="2:11" x14ac:dyDescent="0.25">
      <c r="B130" s="1" t="s">
        <v>152</v>
      </c>
      <c r="C130" s="1" t="s">
        <v>11</v>
      </c>
      <c r="D130" s="1" t="s">
        <v>18</v>
      </c>
      <c r="E130" s="1" t="s">
        <v>13</v>
      </c>
      <c r="F130" s="1" t="s">
        <v>24</v>
      </c>
      <c r="G130" s="1" t="s">
        <v>28</v>
      </c>
      <c r="H130" s="2">
        <v>45050</v>
      </c>
      <c r="I130" s="1">
        <v>486</v>
      </c>
      <c r="J130" s="1">
        <v>13.6</v>
      </c>
      <c r="K130" s="1">
        <v>323.94</v>
      </c>
    </row>
    <row r="131" spans="2:11" x14ac:dyDescent="0.25">
      <c r="B131" s="1" t="s">
        <v>153</v>
      </c>
      <c r="C131" s="1" t="s">
        <v>22</v>
      </c>
      <c r="D131" s="1" t="s">
        <v>12</v>
      </c>
      <c r="E131" s="1" t="s">
        <v>13</v>
      </c>
      <c r="F131" s="1" t="s">
        <v>24</v>
      </c>
      <c r="G131" s="1" t="s">
        <v>15</v>
      </c>
      <c r="H131" s="2">
        <v>45051</v>
      </c>
      <c r="I131" s="1">
        <v>287</v>
      </c>
      <c r="J131" s="1">
        <v>164.95</v>
      </c>
      <c r="K131" s="1">
        <v>32.409999999999997</v>
      </c>
    </row>
    <row r="132" spans="2:11" x14ac:dyDescent="0.25">
      <c r="B132" s="1" t="s">
        <v>154</v>
      </c>
      <c r="C132" s="1" t="s">
        <v>17</v>
      </c>
      <c r="D132" s="1" t="s">
        <v>31</v>
      </c>
      <c r="E132" s="1" t="s">
        <v>19</v>
      </c>
      <c r="F132" s="1" t="s">
        <v>14</v>
      </c>
      <c r="G132" s="1" t="s">
        <v>28</v>
      </c>
      <c r="H132" s="2">
        <v>45052</v>
      </c>
      <c r="I132" s="1">
        <v>205</v>
      </c>
      <c r="J132" s="1">
        <v>486.68</v>
      </c>
      <c r="K132" s="1">
        <v>113.19</v>
      </c>
    </row>
    <row r="133" spans="2:11" x14ac:dyDescent="0.25">
      <c r="B133" s="1" t="s">
        <v>155</v>
      </c>
      <c r="C133" s="1" t="s">
        <v>48</v>
      </c>
      <c r="D133" s="1" t="s">
        <v>12</v>
      </c>
      <c r="E133" s="1" t="s">
        <v>42</v>
      </c>
      <c r="F133" s="1" t="s">
        <v>24</v>
      </c>
      <c r="G133" s="1" t="s">
        <v>28</v>
      </c>
      <c r="H133" s="2">
        <v>45053</v>
      </c>
      <c r="I133" s="1">
        <v>413</v>
      </c>
      <c r="J133" s="1">
        <v>292.16000000000003</v>
      </c>
      <c r="K133" s="1">
        <v>372.27</v>
      </c>
    </row>
    <row r="134" spans="2:11" x14ac:dyDescent="0.25">
      <c r="B134" s="1" t="s">
        <v>156</v>
      </c>
      <c r="C134" s="1" t="s">
        <v>22</v>
      </c>
      <c r="D134" s="1" t="s">
        <v>26</v>
      </c>
      <c r="E134" s="1" t="s">
        <v>42</v>
      </c>
      <c r="F134" s="1" t="s">
        <v>24</v>
      </c>
      <c r="G134" s="1" t="s">
        <v>15</v>
      </c>
      <c r="H134" s="2">
        <v>45054</v>
      </c>
      <c r="I134" s="1">
        <v>361</v>
      </c>
      <c r="J134" s="1">
        <v>130.84</v>
      </c>
      <c r="K134" s="1">
        <v>102.72</v>
      </c>
    </row>
    <row r="135" spans="2:11" x14ac:dyDescent="0.25">
      <c r="B135" s="1" t="s">
        <v>157</v>
      </c>
      <c r="C135" s="1" t="s">
        <v>17</v>
      </c>
      <c r="D135" s="1" t="s">
        <v>26</v>
      </c>
      <c r="E135" s="1" t="s">
        <v>27</v>
      </c>
      <c r="F135" s="1" t="s">
        <v>14</v>
      </c>
      <c r="G135" s="1" t="s">
        <v>15</v>
      </c>
      <c r="H135" s="2">
        <v>45055</v>
      </c>
      <c r="I135" s="1">
        <v>493</v>
      </c>
      <c r="J135" s="1">
        <v>263.26</v>
      </c>
      <c r="K135" s="1">
        <v>312.91000000000003</v>
      </c>
    </row>
    <row r="136" spans="2:11" x14ac:dyDescent="0.25">
      <c r="B136" s="1" t="s">
        <v>158</v>
      </c>
      <c r="C136" s="1" t="s">
        <v>17</v>
      </c>
      <c r="D136" s="1" t="s">
        <v>31</v>
      </c>
      <c r="E136" s="1" t="s">
        <v>19</v>
      </c>
      <c r="F136" s="1" t="s">
        <v>24</v>
      </c>
      <c r="G136" s="1" t="s">
        <v>15</v>
      </c>
      <c r="H136" s="2">
        <v>45056</v>
      </c>
      <c r="I136" s="1">
        <v>251</v>
      </c>
      <c r="J136" s="1">
        <v>174.61</v>
      </c>
      <c r="K136" s="1">
        <v>330.4</v>
      </c>
    </row>
    <row r="137" spans="2:11" x14ac:dyDescent="0.25">
      <c r="B137" s="1" t="s">
        <v>159</v>
      </c>
      <c r="C137" s="1" t="s">
        <v>17</v>
      </c>
      <c r="D137" s="1" t="s">
        <v>18</v>
      </c>
      <c r="E137" s="1" t="s">
        <v>27</v>
      </c>
      <c r="F137" s="1" t="s">
        <v>24</v>
      </c>
      <c r="G137" s="1" t="s">
        <v>15</v>
      </c>
      <c r="H137" s="2">
        <v>45057</v>
      </c>
      <c r="I137" s="1"/>
      <c r="J137" s="1">
        <v>268.45999999999998</v>
      </c>
      <c r="K137" s="1">
        <v>199.19</v>
      </c>
    </row>
    <row r="138" spans="2:11" x14ac:dyDescent="0.25">
      <c r="B138" s="1" t="s">
        <v>160</v>
      </c>
      <c r="C138" s="1" t="s">
        <v>22</v>
      </c>
      <c r="D138" s="1" t="s">
        <v>26</v>
      </c>
      <c r="E138" s="1" t="s">
        <v>27</v>
      </c>
      <c r="F138" s="1" t="s">
        <v>24</v>
      </c>
      <c r="G138" s="1" t="s">
        <v>15</v>
      </c>
      <c r="H138" s="2">
        <v>45058</v>
      </c>
      <c r="I138" s="1">
        <v>228</v>
      </c>
      <c r="J138" s="1">
        <v>67.239999999999995</v>
      </c>
      <c r="K138" s="1">
        <v>155.77000000000001</v>
      </c>
    </row>
    <row r="139" spans="2:11" x14ac:dyDescent="0.25">
      <c r="B139" s="1" t="s">
        <v>161</v>
      </c>
      <c r="C139" s="1" t="s">
        <v>22</v>
      </c>
      <c r="D139" s="1" t="s">
        <v>50</v>
      </c>
      <c r="E139" s="1" t="s">
        <v>27</v>
      </c>
      <c r="F139" s="1" t="s">
        <v>14</v>
      </c>
      <c r="G139" s="1" t="s">
        <v>15</v>
      </c>
      <c r="H139" s="2">
        <v>45059</v>
      </c>
      <c r="I139" s="1">
        <v>201</v>
      </c>
      <c r="J139" s="1">
        <v>70.69</v>
      </c>
      <c r="K139" s="1">
        <v>181.15</v>
      </c>
    </row>
    <row r="140" spans="2:11" x14ac:dyDescent="0.25">
      <c r="B140" s="1" t="s">
        <v>162</v>
      </c>
      <c r="C140" s="1" t="s">
        <v>22</v>
      </c>
      <c r="D140" s="1" t="s">
        <v>26</v>
      </c>
      <c r="E140" s="1" t="s">
        <v>23</v>
      </c>
      <c r="F140" s="1" t="s">
        <v>14</v>
      </c>
      <c r="G140" s="1" t="s">
        <v>15</v>
      </c>
      <c r="H140" s="2">
        <v>45060</v>
      </c>
      <c r="I140" s="1">
        <v>26</v>
      </c>
      <c r="J140" s="1">
        <v>76.05</v>
      </c>
      <c r="K140" s="1">
        <v>92.33</v>
      </c>
    </row>
    <row r="141" spans="2:11" x14ac:dyDescent="0.25">
      <c r="B141" s="1" t="s">
        <v>163</v>
      </c>
      <c r="C141" s="1" t="s">
        <v>11</v>
      </c>
      <c r="D141" s="1" t="s">
        <v>26</v>
      </c>
      <c r="E141" s="1" t="s">
        <v>23</v>
      </c>
      <c r="F141" s="1" t="s">
        <v>14</v>
      </c>
      <c r="G141" s="1" t="s">
        <v>20</v>
      </c>
      <c r="H141" s="2">
        <v>45061</v>
      </c>
      <c r="I141" s="1">
        <v>21</v>
      </c>
      <c r="J141" s="1">
        <v>470.21</v>
      </c>
      <c r="K141" s="1">
        <v>355.98</v>
      </c>
    </row>
    <row r="142" spans="2:11" x14ac:dyDescent="0.25">
      <c r="B142" s="1" t="s">
        <v>164</v>
      </c>
      <c r="C142" s="1" t="s">
        <v>22</v>
      </c>
      <c r="D142" s="1" t="s">
        <v>18</v>
      </c>
      <c r="E142" s="1" t="s">
        <v>27</v>
      </c>
      <c r="F142" s="1" t="s">
        <v>24</v>
      </c>
      <c r="G142" s="1" t="s">
        <v>28</v>
      </c>
      <c r="H142" s="2">
        <v>45062</v>
      </c>
      <c r="I142" s="1">
        <v>415</v>
      </c>
      <c r="J142" s="1">
        <v>367.78</v>
      </c>
      <c r="K142" s="1">
        <v>181.35</v>
      </c>
    </row>
    <row r="143" spans="2:11" x14ac:dyDescent="0.25">
      <c r="B143" s="1" t="s">
        <v>165</v>
      </c>
      <c r="C143" s="1" t="s">
        <v>22</v>
      </c>
      <c r="D143" s="1" t="s">
        <v>12</v>
      </c>
      <c r="E143" s="1" t="s">
        <v>19</v>
      </c>
      <c r="F143" s="1" t="s">
        <v>24</v>
      </c>
      <c r="G143" s="1" t="s">
        <v>15</v>
      </c>
      <c r="H143" s="2">
        <v>45063</v>
      </c>
      <c r="I143" s="1">
        <v>410</v>
      </c>
      <c r="J143" s="1">
        <v>85.38</v>
      </c>
      <c r="K143" s="1">
        <v>353.22</v>
      </c>
    </row>
    <row r="144" spans="2:11" x14ac:dyDescent="0.25">
      <c r="B144" s="1" t="s">
        <v>166</v>
      </c>
      <c r="C144" s="1" t="s">
        <v>22</v>
      </c>
      <c r="D144" s="1" t="s">
        <v>26</v>
      </c>
      <c r="E144" s="1" t="s">
        <v>42</v>
      </c>
      <c r="F144" s="1" t="s">
        <v>14</v>
      </c>
      <c r="G144" s="1" t="s">
        <v>20</v>
      </c>
      <c r="H144" s="2">
        <v>45064</v>
      </c>
      <c r="I144" s="1">
        <v>403</v>
      </c>
      <c r="J144" s="1">
        <v>98.23</v>
      </c>
      <c r="K144" s="1">
        <v>44.07</v>
      </c>
    </row>
    <row r="145" spans="2:11" x14ac:dyDescent="0.25">
      <c r="B145" s="1" t="s">
        <v>167</v>
      </c>
      <c r="C145" s="1" t="s">
        <v>11</v>
      </c>
      <c r="D145" s="1" t="s">
        <v>31</v>
      </c>
      <c r="E145" s="1" t="s">
        <v>19</v>
      </c>
      <c r="F145" s="1" t="s">
        <v>24</v>
      </c>
      <c r="G145" s="1" t="s">
        <v>20</v>
      </c>
      <c r="H145" s="2">
        <v>45065</v>
      </c>
      <c r="I145" s="1">
        <v>383</v>
      </c>
      <c r="J145" s="1">
        <v>366.76</v>
      </c>
      <c r="K145" s="1">
        <v>395.33</v>
      </c>
    </row>
    <row r="146" spans="2:11" x14ac:dyDescent="0.25">
      <c r="B146" s="1" t="s">
        <v>168</v>
      </c>
      <c r="C146" s="1" t="s">
        <v>22</v>
      </c>
      <c r="D146" s="1" t="s">
        <v>12</v>
      </c>
      <c r="E146" s="1" t="s">
        <v>13</v>
      </c>
      <c r="F146" s="1" t="s">
        <v>24</v>
      </c>
      <c r="G146" s="1" t="s">
        <v>20</v>
      </c>
      <c r="H146" s="2">
        <v>45066</v>
      </c>
      <c r="I146" s="1">
        <v>202</v>
      </c>
      <c r="J146" s="1">
        <v>82.3</v>
      </c>
      <c r="K146" s="1">
        <v>178.42</v>
      </c>
    </row>
    <row r="147" spans="2:11" x14ac:dyDescent="0.25">
      <c r="B147" s="1" t="s">
        <v>169</v>
      </c>
      <c r="C147" s="1" t="s">
        <v>17</v>
      </c>
      <c r="D147" s="1" t="s">
        <v>50</v>
      </c>
      <c r="E147" s="1" t="s">
        <v>23</v>
      </c>
      <c r="F147" s="1" t="s">
        <v>24</v>
      </c>
      <c r="G147" s="1" t="s">
        <v>28</v>
      </c>
      <c r="H147" s="2">
        <v>45067</v>
      </c>
      <c r="I147" s="1">
        <v>31</v>
      </c>
      <c r="J147" s="1">
        <v>121.11</v>
      </c>
      <c r="K147" s="1">
        <v>21.04</v>
      </c>
    </row>
    <row r="148" spans="2:11" x14ac:dyDescent="0.25">
      <c r="B148" s="1" t="s">
        <v>170</v>
      </c>
      <c r="C148" s="1" t="s">
        <v>22</v>
      </c>
      <c r="D148" s="1" t="s">
        <v>18</v>
      </c>
      <c r="E148" s="1" t="s">
        <v>42</v>
      </c>
      <c r="F148" s="1" t="s">
        <v>24</v>
      </c>
      <c r="G148" s="1" t="s">
        <v>15</v>
      </c>
      <c r="H148" s="2">
        <v>45068</v>
      </c>
      <c r="I148" s="1">
        <v>483</v>
      </c>
      <c r="J148" s="1">
        <v>481.86</v>
      </c>
      <c r="K148" s="1">
        <v>17.13</v>
      </c>
    </row>
    <row r="149" spans="2:11" x14ac:dyDescent="0.25">
      <c r="B149" s="1" t="s">
        <v>171</v>
      </c>
      <c r="C149" s="1" t="s">
        <v>17</v>
      </c>
      <c r="D149" s="1" t="s">
        <v>50</v>
      </c>
      <c r="E149" s="1" t="s">
        <v>42</v>
      </c>
      <c r="F149" s="1" t="s">
        <v>24</v>
      </c>
      <c r="G149" s="1" t="s">
        <v>20</v>
      </c>
      <c r="H149" s="2">
        <v>45069</v>
      </c>
      <c r="I149" s="1">
        <v>129</v>
      </c>
      <c r="J149" s="1">
        <v>131.38</v>
      </c>
      <c r="K149" s="1">
        <v>298.99</v>
      </c>
    </row>
    <row r="150" spans="2:11" x14ac:dyDescent="0.25">
      <c r="B150" s="1" t="s">
        <v>172</v>
      </c>
      <c r="C150" s="1" t="s">
        <v>17</v>
      </c>
      <c r="D150" s="1" t="s">
        <v>12</v>
      </c>
      <c r="E150" s="1" t="s">
        <v>13</v>
      </c>
      <c r="F150" s="1" t="s">
        <v>14</v>
      </c>
      <c r="G150" s="1" t="s">
        <v>28</v>
      </c>
      <c r="H150" s="2">
        <v>45070</v>
      </c>
      <c r="I150" s="1">
        <v>219</v>
      </c>
      <c r="J150" s="1">
        <v>332.51</v>
      </c>
      <c r="K150" s="1">
        <v>264.3</v>
      </c>
    </row>
    <row r="151" spans="2:11" x14ac:dyDescent="0.25">
      <c r="B151" s="1" t="s">
        <v>173</v>
      </c>
      <c r="C151" s="1" t="s">
        <v>17</v>
      </c>
      <c r="D151" s="1" t="s">
        <v>12</v>
      </c>
      <c r="E151" s="1" t="s">
        <v>13</v>
      </c>
      <c r="F151" s="1" t="s">
        <v>24</v>
      </c>
      <c r="G151" s="1" t="s">
        <v>28</v>
      </c>
      <c r="H151" s="2">
        <v>45071</v>
      </c>
      <c r="I151" s="1">
        <v>315</v>
      </c>
      <c r="J151" s="1">
        <v>489.42</v>
      </c>
      <c r="K151" s="1">
        <v>321.25</v>
      </c>
    </row>
    <row r="152" spans="2:11" x14ac:dyDescent="0.25">
      <c r="B152" s="1" t="s">
        <v>174</v>
      </c>
      <c r="C152" s="1" t="s">
        <v>11</v>
      </c>
      <c r="D152" s="1" t="s">
        <v>12</v>
      </c>
      <c r="E152" s="1" t="s">
        <v>27</v>
      </c>
      <c r="F152" s="1" t="s">
        <v>14</v>
      </c>
      <c r="G152" s="1" t="s">
        <v>28</v>
      </c>
      <c r="H152" s="2">
        <v>45072</v>
      </c>
      <c r="I152" s="1">
        <v>279</v>
      </c>
      <c r="J152" s="1">
        <v>190.28</v>
      </c>
      <c r="K152" s="1">
        <v>43.94</v>
      </c>
    </row>
    <row r="153" spans="2:11" x14ac:dyDescent="0.25">
      <c r="B153" s="1" t="s">
        <v>175</v>
      </c>
      <c r="C153" s="1" t="s">
        <v>11</v>
      </c>
      <c r="D153" s="1" t="s">
        <v>50</v>
      </c>
      <c r="E153" s="1" t="s">
        <v>23</v>
      </c>
      <c r="F153" s="1" t="s">
        <v>24</v>
      </c>
      <c r="G153" s="1" t="s">
        <v>20</v>
      </c>
      <c r="H153" s="2">
        <v>45073</v>
      </c>
      <c r="I153" s="1">
        <v>201</v>
      </c>
      <c r="J153" s="1">
        <v>13.67</v>
      </c>
      <c r="K153" s="1">
        <v>16.16</v>
      </c>
    </row>
    <row r="154" spans="2:11" x14ac:dyDescent="0.25">
      <c r="B154" s="1" t="s">
        <v>176</v>
      </c>
      <c r="C154" s="1" t="s">
        <v>11</v>
      </c>
      <c r="D154" s="1" t="s">
        <v>12</v>
      </c>
      <c r="E154" s="1" t="s">
        <v>23</v>
      </c>
      <c r="F154" s="1" t="s">
        <v>14</v>
      </c>
      <c r="G154" s="1" t="s">
        <v>15</v>
      </c>
      <c r="H154" s="2">
        <v>45074</v>
      </c>
      <c r="I154" s="1">
        <v>184</v>
      </c>
      <c r="J154" s="1">
        <v>125.85</v>
      </c>
      <c r="K154" s="1">
        <v>204.41</v>
      </c>
    </row>
    <row r="155" spans="2:11" x14ac:dyDescent="0.25">
      <c r="B155" s="1" t="s">
        <v>177</v>
      </c>
      <c r="C155" s="1" t="s">
        <v>22</v>
      </c>
      <c r="D155" s="1" t="s">
        <v>50</v>
      </c>
      <c r="E155" s="1" t="s">
        <v>19</v>
      </c>
      <c r="F155" s="1" t="s">
        <v>24</v>
      </c>
      <c r="G155" s="1" t="s">
        <v>20</v>
      </c>
      <c r="H155" s="2">
        <v>45075</v>
      </c>
      <c r="I155" s="1">
        <v>294</v>
      </c>
      <c r="J155" s="1">
        <v>416.28</v>
      </c>
      <c r="K155" s="1">
        <v>156.26</v>
      </c>
    </row>
    <row r="156" spans="2:11" x14ac:dyDescent="0.25">
      <c r="B156" s="1" t="s">
        <v>178</v>
      </c>
      <c r="C156" s="1" t="s">
        <v>17</v>
      </c>
      <c r="D156" s="1" t="s">
        <v>12</v>
      </c>
      <c r="E156" s="1" t="s">
        <v>27</v>
      </c>
      <c r="F156" s="1" t="s">
        <v>14</v>
      </c>
      <c r="G156" s="1" t="s">
        <v>20</v>
      </c>
      <c r="H156" s="2">
        <v>45076</v>
      </c>
      <c r="I156" s="1">
        <v>213</v>
      </c>
      <c r="J156" s="1">
        <v>432.98</v>
      </c>
      <c r="K156" s="1">
        <v>185.85</v>
      </c>
    </row>
    <row r="157" spans="2:11" x14ac:dyDescent="0.25">
      <c r="B157" s="1" t="s">
        <v>179</v>
      </c>
      <c r="C157" s="1" t="s">
        <v>11</v>
      </c>
      <c r="D157" s="1" t="s">
        <v>31</v>
      </c>
      <c r="E157" s="1" t="s">
        <v>27</v>
      </c>
      <c r="F157" s="1" t="s">
        <v>24</v>
      </c>
      <c r="G157" s="1" t="s">
        <v>15</v>
      </c>
      <c r="H157" s="2">
        <v>45077</v>
      </c>
      <c r="I157" s="1">
        <v>173</v>
      </c>
      <c r="J157" s="1">
        <v>385.42</v>
      </c>
      <c r="K157" s="1">
        <v>396.65</v>
      </c>
    </row>
    <row r="158" spans="2:11" x14ac:dyDescent="0.25">
      <c r="B158" s="1" t="s">
        <v>180</v>
      </c>
      <c r="C158" s="1" t="s">
        <v>11</v>
      </c>
      <c r="D158" s="1" t="s">
        <v>12</v>
      </c>
      <c r="E158" s="1" t="s">
        <v>27</v>
      </c>
      <c r="F158" s="1" t="s">
        <v>14</v>
      </c>
      <c r="G158" s="1" t="s">
        <v>15</v>
      </c>
      <c r="H158" s="2">
        <v>45078</v>
      </c>
      <c r="I158" s="1">
        <v>260</v>
      </c>
      <c r="J158" s="1">
        <v>60.99</v>
      </c>
      <c r="K158" s="1">
        <v>388.36</v>
      </c>
    </row>
    <row r="159" spans="2:11" x14ac:dyDescent="0.25">
      <c r="B159" s="1" t="s">
        <v>181</v>
      </c>
      <c r="C159" s="1" t="s">
        <v>22</v>
      </c>
      <c r="D159" s="1" t="s">
        <v>50</v>
      </c>
      <c r="E159" s="1" t="s">
        <v>27</v>
      </c>
      <c r="F159" s="1" t="s">
        <v>24</v>
      </c>
      <c r="G159" s="1" t="s">
        <v>15</v>
      </c>
      <c r="H159" s="2">
        <v>45079</v>
      </c>
      <c r="I159" s="1">
        <v>236</v>
      </c>
      <c r="J159" s="1">
        <v>398.78</v>
      </c>
      <c r="K159" s="1">
        <v>377.04</v>
      </c>
    </row>
    <row r="160" spans="2:11" x14ac:dyDescent="0.25">
      <c r="B160" s="1" t="s">
        <v>182</v>
      </c>
      <c r="C160" s="1" t="s">
        <v>11</v>
      </c>
      <c r="D160" s="1" t="s">
        <v>26</v>
      </c>
      <c r="E160" s="1" t="s">
        <v>23</v>
      </c>
      <c r="F160" s="1" t="s">
        <v>14</v>
      </c>
      <c r="G160" s="1" t="s">
        <v>28</v>
      </c>
      <c r="H160" s="2">
        <v>45080</v>
      </c>
      <c r="I160" s="1">
        <v>445</v>
      </c>
      <c r="J160" s="1">
        <v>459.75</v>
      </c>
      <c r="K160" s="1">
        <v>313.97000000000003</v>
      </c>
    </row>
    <row r="161" spans="2:11" x14ac:dyDescent="0.25">
      <c r="B161" s="1" t="s">
        <v>183</v>
      </c>
      <c r="C161" s="1" t="s">
        <v>22</v>
      </c>
      <c r="D161" s="1" t="s">
        <v>12</v>
      </c>
      <c r="E161" s="1" t="s">
        <v>23</v>
      </c>
      <c r="F161" s="1" t="s">
        <v>24</v>
      </c>
      <c r="G161" s="1" t="s">
        <v>15</v>
      </c>
      <c r="H161" s="2">
        <v>45081</v>
      </c>
      <c r="I161" s="1">
        <v>390</v>
      </c>
      <c r="J161" s="1">
        <v>302.3</v>
      </c>
      <c r="K161" s="1">
        <v>143.22999999999999</v>
      </c>
    </row>
    <row r="162" spans="2:11" x14ac:dyDescent="0.25">
      <c r="B162" s="1" t="s">
        <v>184</v>
      </c>
      <c r="C162" s="1" t="s">
        <v>48</v>
      </c>
      <c r="D162" s="1" t="s">
        <v>26</v>
      </c>
      <c r="E162" s="1" t="s">
        <v>27</v>
      </c>
      <c r="F162" s="1" t="s">
        <v>14</v>
      </c>
      <c r="G162" s="1" t="s">
        <v>20</v>
      </c>
      <c r="H162" s="2">
        <v>45082</v>
      </c>
      <c r="I162" s="1">
        <v>469</v>
      </c>
      <c r="J162" s="1">
        <v>470.73</v>
      </c>
      <c r="K162" s="1">
        <v>166.03</v>
      </c>
    </row>
    <row r="163" spans="2:11" x14ac:dyDescent="0.25">
      <c r="B163" s="1" t="s">
        <v>185</v>
      </c>
      <c r="C163" s="1" t="s">
        <v>11</v>
      </c>
      <c r="D163" s="1" t="s">
        <v>31</v>
      </c>
      <c r="E163" s="1" t="s">
        <v>19</v>
      </c>
      <c r="F163" s="1" t="s">
        <v>14</v>
      </c>
      <c r="G163" s="1" t="s">
        <v>15</v>
      </c>
      <c r="H163" s="2">
        <v>45083</v>
      </c>
      <c r="I163" s="1">
        <v>16</v>
      </c>
      <c r="J163" s="1"/>
      <c r="K163" s="1">
        <v>220.75</v>
      </c>
    </row>
    <row r="164" spans="2:11" ht="15.75" thickBot="1" x14ac:dyDescent="0.3">
      <c r="B164" s="1" t="s">
        <v>186</v>
      </c>
      <c r="C164" s="1" t="s">
        <v>48</v>
      </c>
      <c r="D164" s="1" t="s">
        <v>18</v>
      </c>
      <c r="E164" s="1" t="s">
        <v>42</v>
      </c>
      <c r="F164" s="1" t="s">
        <v>24</v>
      </c>
      <c r="G164" s="1" t="s">
        <v>20</v>
      </c>
      <c r="H164" s="2">
        <v>45084</v>
      </c>
      <c r="I164" s="1">
        <v>38</v>
      </c>
      <c r="J164" s="1">
        <v>335.15</v>
      </c>
      <c r="K164" s="1">
        <v>332.55</v>
      </c>
    </row>
    <row r="165" spans="2:11" ht="15.75" thickBot="1" x14ac:dyDescent="0.3">
      <c r="B165" s="1" t="s">
        <v>187</v>
      </c>
      <c r="C165" s="1" t="s">
        <v>22</v>
      </c>
      <c r="D165" s="1" t="s">
        <v>31</v>
      </c>
      <c r="E165" s="6" t="s">
        <v>42</v>
      </c>
      <c r="F165" s="1" t="s">
        <v>24</v>
      </c>
      <c r="G165" s="1" t="s">
        <v>28</v>
      </c>
      <c r="H165" s="2">
        <v>45085</v>
      </c>
      <c r="I165" s="1">
        <v>404</v>
      </c>
      <c r="J165" s="1">
        <v>290.70999999999998</v>
      </c>
      <c r="K165" s="1">
        <v>29.35</v>
      </c>
    </row>
    <row r="166" spans="2:11" x14ac:dyDescent="0.25">
      <c r="B166" s="1" t="s">
        <v>188</v>
      </c>
      <c r="C166" s="1" t="s">
        <v>17</v>
      </c>
      <c r="D166" s="1" t="s">
        <v>12</v>
      </c>
      <c r="E166" s="1" t="s">
        <v>19</v>
      </c>
      <c r="F166" s="1" t="s">
        <v>14</v>
      </c>
      <c r="G166" s="1" t="s">
        <v>20</v>
      </c>
      <c r="H166" s="2">
        <v>45086</v>
      </c>
      <c r="I166" s="1">
        <v>42</v>
      </c>
      <c r="J166" s="1">
        <v>177.54</v>
      </c>
      <c r="K166" s="1">
        <v>170.87</v>
      </c>
    </row>
    <row r="167" spans="2:11" x14ac:dyDescent="0.25">
      <c r="B167" s="1" t="s">
        <v>189</v>
      </c>
      <c r="C167" s="1" t="s">
        <v>11</v>
      </c>
      <c r="D167" s="1" t="s">
        <v>26</v>
      </c>
      <c r="E167" s="1" t="s">
        <v>27</v>
      </c>
      <c r="F167" s="1" t="s">
        <v>24</v>
      </c>
      <c r="G167" s="1" t="s">
        <v>20</v>
      </c>
      <c r="H167" s="2">
        <v>45087</v>
      </c>
      <c r="I167" s="1">
        <v>143</v>
      </c>
      <c r="J167" s="1">
        <v>83.85</v>
      </c>
      <c r="K167" s="1">
        <v>34.880000000000003</v>
      </c>
    </row>
    <row r="168" spans="2:11" x14ac:dyDescent="0.25">
      <c r="B168" s="1" t="s">
        <v>190</v>
      </c>
      <c r="C168" s="1" t="s">
        <v>22</v>
      </c>
      <c r="D168" s="1" t="s">
        <v>26</v>
      </c>
      <c r="E168" s="1" t="s">
        <v>23</v>
      </c>
      <c r="F168" s="1" t="s">
        <v>14</v>
      </c>
      <c r="G168" s="1" t="s">
        <v>15</v>
      </c>
      <c r="H168" s="2">
        <v>45088</v>
      </c>
      <c r="I168" s="1">
        <v>376</v>
      </c>
      <c r="J168" s="1">
        <v>304.45</v>
      </c>
      <c r="K168" s="1">
        <v>206.83</v>
      </c>
    </row>
    <row r="169" spans="2:11" x14ac:dyDescent="0.25">
      <c r="B169" s="1" t="s">
        <v>191</v>
      </c>
      <c r="C169" s="1" t="s">
        <v>17</v>
      </c>
      <c r="D169" s="1" t="s">
        <v>50</v>
      </c>
      <c r="E169" s="1" t="s">
        <v>42</v>
      </c>
      <c r="F169" s="1" t="s">
        <v>14</v>
      </c>
      <c r="G169" s="1" t="s">
        <v>15</v>
      </c>
      <c r="H169" s="2">
        <v>45089</v>
      </c>
      <c r="I169" s="1">
        <v>88</v>
      </c>
      <c r="J169" s="1">
        <v>162.47</v>
      </c>
      <c r="K169" s="1">
        <v>359.76</v>
      </c>
    </row>
    <row r="170" spans="2:11" x14ac:dyDescent="0.25">
      <c r="B170" s="1" t="s">
        <v>192</v>
      </c>
      <c r="C170" s="1" t="s">
        <v>17</v>
      </c>
      <c r="D170" s="1" t="s">
        <v>26</v>
      </c>
      <c r="E170" s="1" t="s">
        <v>13</v>
      </c>
      <c r="F170" s="1" t="s">
        <v>14</v>
      </c>
      <c r="G170" s="1" t="s">
        <v>20</v>
      </c>
      <c r="H170" s="2">
        <v>45090</v>
      </c>
      <c r="I170" s="1">
        <v>425</v>
      </c>
      <c r="J170" s="1">
        <v>433.89</v>
      </c>
      <c r="K170" s="1">
        <v>313.43</v>
      </c>
    </row>
    <row r="171" spans="2:11" x14ac:dyDescent="0.25">
      <c r="B171" s="1" t="s">
        <v>193</v>
      </c>
      <c r="C171" s="1" t="s">
        <v>48</v>
      </c>
      <c r="D171" s="1" t="s">
        <v>50</v>
      </c>
      <c r="E171" s="1" t="s">
        <v>13</v>
      </c>
      <c r="F171" s="1" t="s">
        <v>24</v>
      </c>
      <c r="G171" s="1" t="s">
        <v>15</v>
      </c>
      <c r="H171" s="2">
        <v>45091</v>
      </c>
      <c r="I171" s="1">
        <v>444</v>
      </c>
      <c r="J171" s="1">
        <v>496.7</v>
      </c>
      <c r="K171" s="1">
        <v>92.68</v>
      </c>
    </row>
    <row r="172" spans="2:11" x14ac:dyDescent="0.25">
      <c r="B172" s="1" t="s">
        <v>194</v>
      </c>
      <c r="C172" s="1" t="s">
        <v>22</v>
      </c>
      <c r="D172" s="1" t="s">
        <v>18</v>
      </c>
      <c r="E172" s="1" t="s">
        <v>19</v>
      </c>
      <c r="F172" s="1" t="s">
        <v>14</v>
      </c>
      <c r="G172" s="1" t="s">
        <v>28</v>
      </c>
      <c r="H172" s="2">
        <v>45092</v>
      </c>
      <c r="I172" s="1">
        <v>468</v>
      </c>
      <c r="J172" s="1">
        <v>377.45</v>
      </c>
      <c r="K172" s="1">
        <v>390.44</v>
      </c>
    </row>
    <row r="173" spans="2:11" x14ac:dyDescent="0.25">
      <c r="B173" s="1" t="s">
        <v>195</v>
      </c>
      <c r="C173" s="1" t="s">
        <v>17</v>
      </c>
      <c r="D173" s="1" t="s">
        <v>12</v>
      </c>
      <c r="E173" s="1" t="s">
        <v>27</v>
      </c>
      <c r="F173" s="1" t="s">
        <v>14</v>
      </c>
      <c r="G173" s="1" t="s">
        <v>28</v>
      </c>
      <c r="H173" s="2">
        <v>45093</v>
      </c>
      <c r="I173" s="1">
        <v>67</v>
      </c>
      <c r="J173" s="1">
        <v>49.79</v>
      </c>
      <c r="K173" s="1">
        <v>267.61</v>
      </c>
    </row>
    <row r="174" spans="2:11" x14ac:dyDescent="0.25">
      <c r="B174" s="1" t="s">
        <v>196</v>
      </c>
      <c r="C174" s="1" t="s">
        <v>11</v>
      </c>
      <c r="D174" s="1" t="s">
        <v>50</v>
      </c>
      <c r="E174" s="1" t="s">
        <v>42</v>
      </c>
      <c r="F174" s="1" t="s">
        <v>24</v>
      </c>
      <c r="G174" s="1" t="s">
        <v>15</v>
      </c>
      <c r="H174" s="2">
        <v>45094</v>
      </c>
      <c r="I174" s="1">
        <v>480</v>
      </c>
      <c r="J174" s="1">
        <v>147.9</v>
      </c>
      <c r="K174" s="1">
        <v>6.15</v>
      </c>
    </row>
    <row r="175" spans="2:11" x14ac:dyDescent="0.25">
      <c r="B175" s="1" t="s">
        <v>197</v>
      </c>
      <c r="C175" s="1" t="s">
        <v>11</v>
      </c>
      <c r="D175" s="1" t="s">
        <v>18</v>
      </c>
      <c r="E175" s="1" t="s">
        <v>27</v>
      </c>
      <c r="F175" s="1" t="s">
        <v>24</v>
      </c>
      <c r="G175" s="1" t="s">
        <v>28</v>
      </c>
      <c r="H175" s="2">
        <v>45095</v>
      </c>
      <c r="I175" s="1">
        <v>35</v>
      </c>
      <c r="J175" s="1">
        <v>59.01</v>
      </c>
      <c r="K175" s="1">
        <v>103.65</v>
      </c>
    </row>
    <row r="176" spans="2:11" x14ac:dyDescent="0.25">
      <c r="B176" s="1" t="s">
        <v>198</v>
      </c>
      <c r="C176" s="1" t="s">
        <v>48</v>
      </c>
      <c r="D176" s="1" t="s">
        <v>26</v>
      </c>
      <c r="E176" s="1" t="s">
        <v>42</v>
      </c>
      <c r="F176" s="1" t="s">
        <v>24</v>
      </c>
      <c r="G176" s="1" t="s">
        <v>15</v>
      </c>
      <c r="H176" s="2">
        <v>45096</v>
      </c>
      <c r="I176" s="1">
        <v>491</v>
      </c>
      <c r="J176" s="1">
        <v>327</v>
      </c>
      <c r="K176" s="1">
        <v>105.76</v>
      </c>
    </row>
    <row r="177" spans="2:11" x14ac:dyDescent="0.25">
      <c r="B177" s="1" t="s">
        <v>199</v>
      </c>
      <c r="C177" s="1" t="s">
        <v>17</v>
      </c>
      <c r="D177" s="1" t="s">
        <v>26</v>
      </c>
      <c r="E177" s="1" t="s">
        <v>19</v>
      </c>
      <c r="F177" s="1" t="s">
        <v>24</v>
      </c>
      <c r="G177" s="1" t="s">
        <v>20</v>
      </c>
      <c r="H177" s="2">
        <v>45097</v>
      </c>
      <c r="I177" s="1">
        <v>439</v>
      </c>
      <c r="J177" s="1">
        <v>383.77</v>
      </c>
      <c r="K177" s="1">
        <v>29.56</v>
      </c>
    </row>
    <row r="178" spans="2:11" x14ac:dyDescent="0.25">
      <c r="B178" s="1" t="s">
        <v>200</v>
      </c>
      <c r="C178" s="1" t="s">
        <v>22</v>
      </c>
      <c r="D178" s="1" t="s">
        <v>18</v>
      </c>
      <c r="E178" s="1" t="s">
        <v>19</v>
      </c>
      <c r="F178" s="1" t="s">
        <v>14</v>
      </c>
      <c r="G178" s="1" t="s">
        <v>20</v>
      </c>
      <c r="H178" s="2">
        <v>45098</v>
      </c>
      <c r="I178" s="1">
        <v>235</v>
      </c>
      <c r="J178" s="1">
        <v>463.21</v>
      </c>
      <c r="K178" s="1">
        <v>384.01</v>
      </c>
    </row>
    <row r="179" spans="2:11" x14ac:dyDescent="0.25">
      <c r="B179" s="1" t="s">
        <v>201</v>
      </c>
      <c r="C179" s="1" t="s">
        <v>11</v>
      </c>
      <c r="D179" s="1" t="s">
        <v>26</v>
      </c>
      <c r="E179" s="1" t="s">
        <v>13</v>
      </c>
      <c r="F179" s="1" t="s">
        <v>14</v>
      </c>
      <c r="G179" s="1" t="s">
        <v>28</v>
      </c>
      <c r="H179" s="2">
        <v>45099</v>
      </c>
      <c r="I179" s="1">
        <v>294</v>
      </c>
      <c r="J179" s="1">
        <v>221.9</v>
      </c>
      <c r="K179" s="1">
        <v>192.35</v>
      </c>
    </row>
    <row r="180" spans="2:11" x14ac:dyDescent="0.25">
      <c r="B180" s="1" t="s">
        <v>202</v>
      </c>
      <c r="C180" s="1" t="s">
        <v>17</v>
      </c>
      <c r="D180" s="1" t="s">
        <v>18</v>
      </c>
      <c r="E180" s="1" t="s">
        <v>27</v>
      </c>
      <c r="F180" s="1" t="s">
        <v>14</v>
      </c>
      <c r="G180" s="1" t="s">
        <v>15</v>
      </c>
      <c r="H180" s="2">
        <v>45100</v>
      </c>
      <c r="I180" s="1">
        <v>13</v>
      </c>
      <c r="J180" s="1">
        <v>451.18</v>
      </c>
      <c r="K180" s="1">
        <v>358.53</v>
      </c>
    </row>
    <row r="181" spans="2:11" x14ac:dyDescent="0.25">
      <c r="B181" s="1" t="s">
        <v>203</v>
      </c>
      <c r="C181" s="1" t="s">
        <v>17</v>
      </c>
      <c r="D181" s="1" t="s">
        <v>50</v>
      </c>
      <c r="E181" s="1" t="s">
        <v>13</v>
      </c>
      <c r="F181" s="1" t="s">
        <v>14</v>
      </c>
      <c r="G181" s="1" t="s">
        <v>15</v>
      </c>
      <c r="H181" s="2">
        <v>45101</v>
      </c>
      <c r="I181" s="1">
        <v>474</v>
      </c>
      <c r="J181" s="1">
        <v>439.56</v>
      </c>
      <c r="K181" s="1">
        <v>130.24</v>
      </c>
    </row>
    <row r="182" spans="2:11" x14ac:dyDescent="0.25">
      <c r="B182" s="1" t="s">
        <v>204</v>
      </c>
      <c r="C182" s="1" t="s">
        <v>48</v>
      </c>
      <c r="D182" s="1" t="s">
        <v>50</v>
      </c>
      <c r="E182" s="1" t="s">
        <v>27</v>
      </c>
      <c r="F182" s="1" t="s">
        <v>24</v>
      </c>
      <c r="G182" s="1" t="s">
        <v>28</v>
      </c>
      <c r="H182" s="2">
        <v>45102</v>
      </c>
      <c r="I182" s="1">
        <v>108</v>
      </c>
      <c r="J182" s="1">
        <v>162.01</v>
      </c>
      <c r="K182" s="1">
        <v>51.84</v>
      </c>
    </row>
    <row r="183" spans="2:11" x14ac:dyDescent="0.25">
      <c r="B183" s="1" t="s">
        <v>205</v>
      </c>
      <c r="C183" s="1" t="s">
        <v>11</v>
      </c>
      <c r="D183" s="1" t="s">
        <v>18</v>
      </c>
      <c r="E183" s="1" t="s">
        <v>13</v>
      </c>
      <c r="F183" s="1" t="s">
        <v>14</v>
      </c>
      <c r="G183" s="1" t="s">
        <v>20</v>
      </c>
      <c r="H183" s="2">
        <v>45103</v>
      </c>
      <c r="I183" s="1">
        <v>406</v>
      </c>
      <c r="J183" s="1">
        <v>435.11</v>
      </c>
      <c r="K183" s="1">
        <v>190.79</v>
      </c>
    </row>
    <row r="184" spans="2:11" x14ac:dyDescent="0.25">
      <c r="B184" s="1" t="s">
        <v>206</v>
      </c>
      <c r="C184" s="1" t="s">
        <v>11</v>
      </c>
      <c r="D184" s="1" t="s">
        <v>50</v>
      </c>
      <c r="E184" s="1" t="s">
        <v>23</v>
      </c>
      <c r="F184" s="1" t="s">
        <v>14</v>
      </c>
      <c r="G184" s="1" t="s">
        <v>28</v>
      </c>
      <c r="H184" s="2">
        <v>45104</v>
      </c>
      <c r="I184" s="1">
        <v>498</v>
      </c>
      <c r="J184" s="1">
        <v>190.96</v>
      </c>
      <c r="K184" s="1">
        <v>47.35</v>
      </c>
    </row>
    <row r="185" spans="2:11" x14ac:dyDescent="0.25">
      <c r="B185" s="1" t="s">
        <v>207</v>
      </c>
      <c r="C185" s="1" t="s">
        <v>22</v>
      </c>
      <c r="D185" s="1" t="s">
        <v>50</v>
      </c>
      <c r="E185" s="1" t="s">
        <v>23</v>
      </c>
      <c r="F185" s="1" t="s">
        <v>24</v>
      </c>
      <c r="G185" s="1" t="s">
        <v>20</v>
      </c>
      <c r="H185" s="2">
        <v>45105</v>
      </c>
      <c r="I185" s="1">
        <v>48</v>
      </c>
      <c r="J185" s="1">
        <v>151.94999999999999</v>
      </c>
      <c r="K185" s="1">
        <v>195.43</v>
      </c>
    </row>
    <row r="186" spans="2:11" x14ac:dyDescent="0.25">
      <c r="B186" s="1" t="s">
        <v>208</v>
      </c>
      <c r="C186" s="1" t="s">
        <v>11</v>
      </c>
      <c r="D186" s="1" t="s">
        <v>50</v>
      </c>
      <c r="E186" s="1" t="s">
        <v>23</v>
      </c>
      <c r="F186" s="1" t="s">
        <v>14</v>
      </c>
      <c r="G186" s="1" t="s">
        <v>15</v>
      </c>
      <c r="H186" s="2">
        <v>45106</v>
      </c>
      <c r="I186" s="1">
        <v>280</v>
      </c>
      <c r="J186" s="1">
        <v>326.29000000000002</v>
      </c>
      <c r="K186" s="1">
        <v>368.28</v>
      </c>
    </row>
    <row r="187" spans="2:11" x14ac:dyDescent="0.25">
      <c r="B187" s="1" t="s">
        <v>209</v>
      </c>
      <c r="C187" s="1" t="s">
        <v>22</v>
      </c>
      <c r="D187" s="1" t="s">
        <v>31</v>
      </c>
      <c r="E187" s="1" t="s">
        <v>23</v>
      </c>
      <c r="F187" s="1" t="s">
        <v>14</v>
      </c>
      <c r="G187" s="1" t="s">
        <v>20</v>
      </c>
      <c r="H187" s="2">
        <v>45107</v>
      </c>
      <c r="I187" s="1">
        <v>384</v>
      </c>
      <c r="J187" s="1">
        <v>167.55</v>
      </c>
      <c r="K187" s="1">
        <v>209.27</v>
      </c>
    </row>
    <row r="188" spans="2:11" x14ac:dyDescent="0.25">
      <c r="B188" s="1" t="s">
        <v>210</v>
      </c>
      <c r="C188" s="1" t="s">
        <v>11</v>
      </c>
      <c r="D188" s="1" t="s">
        <v>12</v>
      </c>
      <c r="E188" s="1" t="s">
        <v>42</v>
      </c>
      <c r="F188" s="1" t="s">
        <v>14</v>
      </c>
      <c r="G188" s="1" t="s">
        <v>28</v>
      </c>
      <c r="H188" s="2">
        <v>45108</v>
      </c>
      <c r="I188" s="1">
        <v>294</v>
      </c>
      <c r="J188" s="1">
        <v>316.95</v>
      </c>
      <c r="K188" s="1">
        <v>247.37</v>
      </c>
    </row>
    <row r="189" spans="2:11" x14ac:dyDescent="0.25">
      <c r="B189" s="1" t="s">
        <v>211</v>
      </c>
      <c r="C189" s="1" t="s">
        <v>48</v>
      </c>
      <c r="D189" s="1" t="s">
        <v>26</v>
      </c>
      <c r="E189" s="1" t="s">
        <v>23</v>
      </c>
      <c r="F189" s="1" t="s">
        <v>14</v>
      </c>
      <c r="G189" s="1" t="s">
        <v>15</v>
      </c>
      <c r="H189" s="2">
        <v>45109</v>
      </c>
      <c r="I189" s="1">
        <v>166</v>
      </c>
      <c r="J189" s="1">
        <v>306.87</v>
      </c>
      <c r="K189" s="1">
        <v>64.34</v>
      </c>
    </row>
    <row r="190" spans="2:11" x14ac:dyDescent="0.25">
      <c r="B190" s="1" t="s">
        <v>212</v>
      </c>
      <c r="C190" s="1" t="s">
        <v>11</v>
      </c>
      <c r="D190" s="1" t="s">
        <v>31</v>
      </c>
      <c r="E190" s="1" t="s">
        <v>19</v>
      </c>
      <c r="F190" s="1" t="s">
        <v>14</v>
      </c>
      <c r="G190" s="1" t="s">
        <v>28</v>
      </c>
      <c r="H190" s="2">
        <v>45110</v>
      </c>
      <c r="I190" s="1">
        <v>84</v>
      </c>
      <c r="J190" s="1">
        <v>283.89999999999998</v>
      </c>
      <c r="K190" s="1">
        <v>19.41</v>
      </c>
    </row>
    <row r="191" spans="2:11" x14ac:dyDescent="0.25">
      <c r="B191" s="1" t="s">
        <v>213</v>
      </c>
      <c r="C191" s="1" t="s">
        <v>22</v>
      </c>
      <c r="D191" s="1" t="s">
        <v>50</v>
      </c>
      <c r="E191" s="1" t="s">
        <v>19</v>
      </c>
      <c r="F191" s="1" t="s">
        <v>14</v>
      </c>
      <c r="G191" s="1" t="s">
        <v>28</v>
      </c>
      <c r="H191" s="2">
        <v>45111</v>
      </c>
      <c r="I191" s="1">
        <v>381</v>
      </c>
      <c r="J191" s="1">
        <v>193.31</v>
      </c>
      <c r="K191" s="1">
        <v>46.1</v>
      </c>
    </row>
    <row r="192" spans="2:11" x14ac:dyDescent="0.25">
      <c r="B192" s="1" t="s">
        <v>214</v>
      </c>
      <c r="C192" s="1" t="s">
        <v>22</v>
      </c>
      <c r="D192" s="1" t="s">
        <v>18</v>
      </c>
      <c r="E192" s="1" t="s">
        <v>42</v>
      </c>
      <c r="F192" s="1" t="s">
        <v>24</v>
      </c>
      <c r="G192" s="1" t="s">
        <v>20</v>
      </c>
      <c r="H192" s="2">
        <v>45112</v>
      </c>
      <c r="I192" s="1">
        <v>297</v>
      </c>
      <c r="J192" s="1">
        <v>276.51</v>
      </c>
      <c r="K192" s="1">
        <v>240.22</v>
      </c>
    </row>
    <row r="193" spans="2:11" x14ac:dyDescent="0.25">
      <c r="B193" s="1" t="s">
        <v>215</v>
      </c>
      <c r="C193" s="1" t="s">
        <v>48</v>
      </c>
      <c r="D193" s="1" t="s">
        <v>50</v>
      </c>
      <c r="E193" s="1" t="s">
        <v>23</v>
      </c>
      <c r="F193" s="1" t="s">
        <v>24</v>
      </c>
      <c r="G193" s="1" t="s">
        <v>28</v>
      </c>
      <c r="H193" s="2">
        <v>45113</v>
      </c>
      <c r="I193" s="1">
        <v>139</v>
      </c>
      <c r="J193" s="1">
        <v>300.26</v>
      </c>
      <c r="K193" s="1">
        <v>39.81</v>
      </c>
    </row>
    <row r="194" spans="2:11" x14ac:dyDescent="0.25">
      <c r="B194" s="1" t="s">
        <v>216</v>
      </c>
      <c r="C194" s="1" t="s">
        <v>11</v>
      </c>
      <c r="D194" s="1" t="s">
        <v>12</v>
      </c>
      <c r="E194" s="1" t="s">
        <v>23</v>
      </c>
      <c r="F194" s="1" t="s">
        <v>14</v>
      </c>
      <c r="G194" s="1" t="s">
        <v>20</v>
      </c>
      <c r="H194" s="2">
        <v>45114</v>
      </c>
      <c r="I194" s="1">
        <v>184</v>
      </c>
      <c r="J194" s="1">
        <v>275.12</v>
      </c>
      <c r="K194" s="1">
        <v>151.65</v>
      </c>
    </row>
    <row r="195" spans="2:11" x14ac:dyDescent="0.25">
      <c r="B195" s="1" t="s">
        <v>217</v>
      </c>
      <c r="C195" s="1" t="s">
        <v>11</v>
      </c>
      <c r="D195" s="1" t="s">
        <v>50</v>
      </c>
      <c r="E195" s="1" t="s">
        <v>23</v>
      </c>
      <c r="F195" s="1" t="s">
        <v>14</v>
      </c>
      <c r="G195" s="1" t="s">
        <v>15</v>
      </c>
      <c r="H195" s="2">
        <v>45115</v>
      </c>
      <c r="I195" s="1">
        <v>471</v>
      </c>
      <c r="J195" s="1">
        <v>224.99</v>
      </c>
      <c r="K195" s="1">
        <v>220.94</v>
      </c>
    </row>
    <row r="196" spans="2:11" x14ac:dyDescent="0.25">
      <c r="B196" s="1" t="s">
        <v>218</v>
      </c>
      <c r="C196" s="1" t="s">
        <v>48</v>
      </c>
      <c r="D196" s="1" t="s">
        <v>18</v>
      </c>
      <c r="E196" s="1" t="s">
        <v>13</v>
      </c>
      <c r="F196" s="1" t="s">
        <v>24</v>
      </c>
      <c r="G196" s="1" t="s">
        <v>20</v>
      </c>
      <c r="H196" s="2">
        <v>45116</v>
      </c>
      <c r="I196" s="1">
        <v>93</v>
      </c>
      <c r="J196" s="1">
        <v>12.26</v>
      </c>
      <c r="K196" s="1">
        <v>156.68</v>
      </c>
    </row>
    <row r="197" spans="2:11" x14ac:dyDescent="0.25">
      <c r="B197" s="1" t="s">
        <v>219</v>
      </c>
      <c r="C197" s="1" t="s">
        <v>11</v>
      </c>
      <c r="D197" s="1" t="s">
        <v>12</v>
      </c>
      <c r="E197" s="1" t="s">
        <v>27</v>
      </c>
      <c r="F197" s="1" t="s">
        <v>14</v>
      </c>
      <c r="G197" s="1" t="s">
        <v>15</v>
      </c>
      <c r="H197" s="2">
        <v>45117</v>
      </c>
      <c r="I197" s="1">
        <v>31</v>
      </c>
      <c r="J197" s="1">
        <v>295.60000000000002</v>
      </c>
      <c r="K197" s="1">
        <v>67.150000000000006</v>
      </c>
    </row>
    <row r="198" spans="2:11" x14ac:dyDescent="0.25">
      <c r="B198" s="1" t="s">
        <v>220</v>
      </c>
      <c r="C198" s="1" t="s">
        <v>11</v>
      </c>
      <c r="D198" s="1" t="s">
        <v>50</v>
      </c>
      <c r="E198" s="1" t="s">
        <v>13</v>
      </c>
      <c r="F198" s="1" t="s">
        <v>14</v>
      </c>
      <c r="G198" s="1" t="s">
        <v>20</v>
      </c>
      <c r="H198" s="2">
        <v>45118</v>
      </c>
      <c r="I198" s="1">
        <v>468</v>
      </c>
      <c r="J198" s="1">
        <v>88.38</v>
      </c>
      <c r="K198" s="1">
        <v>110.97</v>
      </c>
    </row>
    <row r="199" spans="2:11" x14ac:dyDescent="0.25">
      <c r="B199" s="1" t="s">
        <v>221</v>
      </c>
      <c r="C199" s="1" t="s">
        <v>22</v>
      </c>
      <c r="D199" s="1" t="s">
        <v>12</v>
      </c>
      <c r="E199" s="1" t="s">
        <v>27</v>
      </c>
      <c r="F199" s="1" t="s">
        <v>14</v>
      </c>
      <c r="G199" s="1" t="s">
        <v>28</v>
      </c>
      <c r="H199" s="2">
        <v>45119</v>
      </c>
      <c r="I199" s="1">
        <v>36</v>
      </c>
      <c r="J199" s="1">
        <v>323.08</v>
      </c>
      <c r="K199" s="1">
        <v>371.47</v>
      </c>
    </row>
    <row r="200" spans="2:11" x14ac:dyDescent="0.25">
      <c r="B200" s="1" t="s">
        <v>222</v>
      </c>
      <c r="C200" s="1" t="s">
        <v>11</v>
      </c>
      <c r="D200" s="1" t="s">
        <v>26</v>
      </c>
      <c r="E200" s="1" t="s">
        <v>23</v>
      </c>
      <c r="F200" s="1" t="s">
        <v>24</v>
      </c>
      <c r="G200" s="1" t="s">
        <v>20</v>
      </c>
      <c r="H200" s="2">
        <v>45120</v>
      </c>
      <c r="I200" s="1">
        <v>204</v>
      </c>
      <c r="J200" s="1">
        <v>380.88</v>
      </c>
      <c r="K200" s="1">
        <v>271.04000000000002</v>
      </c>
    </row>
    <row r="201" spans="2:11" x14ac:dyDescent="0.25">
      <c r="B201" s="1" t="s">
        <v>223</v>
      </c>
      <c r="C201" s="1" t="s">
        <v>11</v>
      </c>
      <c r="D201" s="1" t="s">
        <v>26</v>
      </c>
      <c r="E201" s="1" t="s">
        <v>23</v>
      </c>
      <c r="F201" s="1" t="s">
        <v>14</v>
      </c>
      <c r="G201" s="1" t="s">
        <v>20</v>
      </c>
      <c r="H201" s="2">
        <v>45121</v>
      </c>
      <c r="I201" s="1">
        <v>346</v>
      </c>
      <c r="J201" s="1">
        <v>252.72</v>
      </c>
      <c r="K201" s="1">
        <v>199.43</v>
      </c>
    </row>
    <row r="202" spans="2:11" x14ac:dyDescent="0.25">
      <c r="B202" s="1" t="s">
        <v>224</v>
      </c>
      <c r="C202" s="1" t="s">
        <v>48</v>
      </c>
      <c r="D202" s="1" t="s">
        <v>50</v>
      </c>
      <c r="E202" s="1" t="s">
        <v>13</v>
      </c>
      <c r="F202" s="1" t="s">
        <v>24</v>
      </c>
      <c r="G202" s="1" t="s">
        <v>15</v>
      </c>
      <c r="H202" s="2">
        <v>45122</v>
      </c>
      <c r="I202" s="1">
        <v>391</v>
      </c>
      <c r="J202" s="1">
        <v>273.47000000000003</v>
      </c>
      <c r="K202" s="1">
        <v>7.06</v>
      </c>
    </row>
    <row r="203" spans="2:11" x14ac:dyDescent="0.25">
      <c r="B203" s="1" t="s">
        <v>225</v>
      </c>
      <c r="C203" s="1" t="s">
        <v>48</v>
      </c>
      <c r="D203" s="1" t="s">
        <v>12</v>
      </c>
      <c r="E203" s="1" t="s">
        <v>13</v>
      </c>
      <c r="F203" s="1" t="s">
        <v>14</v>
      </c>
      <c r="G203" s="1" t="s">
        <v>28</v>
      </c>
      <c r="H203" s="2">
        <v>45123</v>
      </c>
      <c r="I203" s="1">
        <v>245</v>
      </c>
      <c r="J203" s="1">
        <v>475.98</v>
      </c>
      <c r="K203" s="1">
        <v>396.98</v>
      </c>
    </row>
    <row r="204" spans="2:11" x14ac:dyDescent="0.25">
      <c r="B204" s="1" t="s">
        <v>226</v>
      </c>
      <c r="C204" s="1" t="s">
        <v>17</v>
      </c>
      <c r="D204" s="1" t="s">
        <v>18</v>
      </c>
      <c r="E204" s="1" t="s">
        <v>27</v>
      </c>
      <c r="F204" s="1" t="s">
        <v>24</v>
      </c>
      <c r="G204" s="1" t="s">
        <v>20</v>
      </c>
      <c r="H204" s="2">
        <v>45124</v>
      </c>
      <c r="I204" s="1">
        <v>449</v>
      </c>
      <c r="J204" s="1">
        <v>424.35</v>
      </c>
      <c r="K204" s="1">
        <v>269.24</v>
      </c>
    </row>
    <row r="205" spans="2:11" x14ac:dyDescent="0.25">
      <c r="B205" s="1" t="s">
        <v>227</v>
      </c>
      <c r="C205" s="1" t="s">
        <v>22</v>
      </c>
      <c r="D205" s="1" t="s">
        <v>50</v>
      </c>
      <c r="E205" s="1" t="s">
        <v>19</v>
      </c>
      <c r="F205" s="1" t="s">
        <v>24</v>
      </c>
      <c r="G205" s="1" t="s">
        <v>28</v>
      </c>
      <c r="H205" s="2">
        <v>45125</v>
      </c>
      <c r="I205" s="1">
        <v>101</v>
      </c>
      <c r="J205" s="1">
        <v>457.55</v>
      </c>
      <c r="K205" s="1">
        <v>128.13999999999999</v>
      </c>
    </row>
    <row r="206" spans="2:11" x14ac:dyDescent="0.25">
      <c r="B206" s="1" t="s">
        <v>228</v>
      </c>
      <c r="C206" s="1" t="s">
        <v>11</v>
      </c>
      <c r="D206" s="1" t="s">
        <v>26</v>
      </c>
      <c r="E206" s="1" t="s">
        <v>27</v>
      </c>
      <c r="F206" s="1" t="s">
        <v>14</v>
      </c>
      <c r="G206" s="1" t="s">
        <v>20</v>
      </c>
      <c r="H206" s="2">
        <v>45126</v>
      </c>
      <c r="I206" s="1"/>
      <c r="J206" s="1">
        <v>407.81</v>
      </c>
      <c r="K206" s="1">
        <v>351.95</v>
      </c>
    </row>
    <row r="207" spans="2:11" x14ac:dyDescent="0.25">
      <c r="B207" s="1" t="s">
        <v>229</v>
      </c>
      <c r="C207" s="1" t="s">
        <v>11</v>
      </c>
      <c r="D207" s="1" t="s">
        <v>26</v>
      </c>
      <c r="E207" s="1" t="s">
        <v>13</v>
      </c>
      <c r="F207" s="1" t="s">
        <v>24</v>
      </c>
      <c r="G207" s="1" t="s">
        <v>20</v>
      </c>
      <c r="H207" s="2">
        <v>45127</v>
      </c>
      <c r="I207" s="1">
        <v>30</v>
      </c>
      <c r="J207" s="1">
        <v>58.91</v>
      </c>
      <c r="K207" s="1">
        <v>104.86</v>
      </c>
    </row>
    <row r="208" spans="2:11" x14ac:dyDescent="0.25">
      <c r="B208" s="1" t="s">
        <v>230</v>
      </c>
      <c r="C208" s="1" t="s">
        <v>17</v>
      </c>
      <c r="D208" s="1" t="s">
        <v>50</v>
      </c>
      <c r="E208" s="1" t="s">
        <v>13</v>
      </c>
      <c r="F208" s="1" t="s">
        <v>14</v>
      </c>
      <c r="G208" s="1" t="s">
        <v>28</v>
      </c>
      <c r="H208" s="2">
        <v>45128</v>
      </c>
      <c r="I208" s="1">
        <v>312</v>
      </c>
      <c r="J208" s="1">
        <v>78.75</v>
      </c>
      <c r="K208" s="1">
        <v>218.52</v>
      </c>
    </row>
    <row r="209" spans="2:11" x14ac:dyDescent="0.25">
      <c r="B209" s="1" t="s">
        <v>231</v>
      </c>
      <c r="C209" s="1" t="s">
        <v>11</v>
      </c>
      <c r="D209" s="1" t="s">
        <v>12</v>
      </c>
      <c r="E209" s="1" t="s">
        <v>42</v>
      </c>
      <c r="F209" s="1" t="s">
        <v>24</v>
      </c>
      <c r="G209" s="1" t="s">
        <v>20</v>
      </c>
      <c r="H209" s="2">
        <v>45129</v>
      </c>
      <c r="I209" s="1">
        <v>473</v>
      </c>
      <c r="J209" s="1">
        <v>265.68</v>
      </c>
      <c r="K209" s="1">
        <v>255.16</v>
      </c>
    </row>
    <row r="210" spans="2:11" x14ac:dyDescent="0.25">
      <c r="B210" s="1" t="s">
        <v>232</v>
      </c>
      <c r="C210" s="1" t="s">
        <v>22</v>
      </c>
      <c r="D210" s="1" t="s">
        <v>26</v>
      </c>
      <c r="E210" s="1" t="s">
        <v>13</v>
      </c>
      <c r="F210" s="1" t="s">
        <v>14</v>
      </c>
      <c r="G210" s="1" t="s">
        <v>28</v>
      </c>
      <c r="H210" s="2">
        <v>45130</v>
      </c>
      <c r="I210" s="1">
        <v>366</v>
      </c>
      <c r="J210" s="1">
        <v>126.8</v>
      </c>
      <c r="K210" s="1">
        <v>89.98</v>
      </c>
    </row>
    <row r="211" spans="2:11" x14ac:dyDescent="0.25">
      <c r="B211" s="1" t="s">
        <v>233</v>
      </c>
      <c r="C211" s="1" t="s">
        <v>17</v>
      </c>
      <c r="D211" s="1" t="s">
        <v>12</v>
      </c>
      <c r="E211" s="1" t="s">
        <v>42</v>
      </c>
      <c r="F211" s="1" t="s">
        <v>14</v>
      </c>
      <c r="G211" s="1" t="s">
        <v>20</v>
      </c>
      <c r="H211" s="2">
        <v>45131</v>
      </c>
      <c r="I211" s="1">
        <v>452</v>
      </c>
      <c r="J211" s="1">
        <v>240.96</v>
      </c>
      <c r="K211" s="1">
        <v>391.4</v>
      </c>
    </row>
    <row r="212" spans="2:11" x14ac:dyDescent="0.25">
      <c r="B212" s="1" t="s">
        <v>234</v>
      </c>
      <c r="C212" s="1" t="s">
        <v>22</v>
      </c>
      <c r="D212" s="1" t="s">
        <v>26</v>
      </c>
      <c r="E212" s="1" t="s">
        <v>19</v>
      </c>
      <c r="F212" s="1" t="s">
        <v>24</v>
      </c>
      <c r="G212" s="1" t="s">
        <v>15</v>
      </c>
      <c r="H212" s="2">
        <v>45132</v>
      </c>
      <c r="I212" s="1">
        <v>93</v>
      </c>
      <c r="J212" s="1">
        <v>200.21</v>
      </c>
      <c r="K212" s="1">
        <v>299.77999999999997</v>
      </c>
    </row>
    <row r="213" spans="2:11" x14ac:dyDescent="0.25">
      <c r="B213" s="1" t="s">
        <v>235</v>
      </c>
      <c r="C213" s="1" t="s">
        <v>17</v>
      </c>
      <c r="D213" s="1" t="s">
        <v>26</v>
      </c>
      <c r="E213" s="1" t="s">
        <v>27</v>
      </c>
      <c r="F213" s="1" t="s">
        <v>14</v>
      </c>
      <c r="G213" s="1" t="s">
        <v>28</v>
      </c>
      <c r="H213" s="2">
        <v>45133</v>
      </c>
      <c r="I213" s="1">
        <v>271</v>
      </c>
      <c r="J213" s="1">
        <v>276.95999999999998</v>
      </c>
      <c r="K213" s="1">
        <v>224.01</v>
      </c>
    </row>
    <row r="214" spans="2:11" x14ac:dyDescent="0.25">
      <c r="B214" s="1" t="s">
        <v>236</v>
      </c>
      <c r="C214" s="1" t="s">
        <v>17</v>
      </c>
      <c r="D214" s="1" t="s">
        <v>31</v>
      </c>
      <c r="E214" s="1" t="s">
        <v>27</v>
      </c>
      <c r="F214" s="1" t="s">
        <v>14</v>
      </c>
      <c r="G214" s="1" t="s">
        <v>20</v>
      </c>
      <c r="H214" s="2">
        <v>45134</v>
      </c>
      <c r="I214" s="1">
        <v>156</v>
      </c>
      <c r="J214" s="1">
        <v>374.7</v>
      </c>
      <c r="K214" s="1">
        <v>73.88</v>
      </c>
    </row>
    <row r="215" spans="2:11" x14ac:dyDescent="0.25">
      <c r="B215" s="1" t="s">
        <v>237</v>
      </c>
      <c r="C215" s="1" t="s">
        <v>48</v>
      </c>
      <c r="D215" s="1" t="s">
        <v>26</v>
      </c>
      <c r="E215" s="1" t="s">
        <v>42</v>
      </c>
      <c r="F215" s="1" t="s">
        <v>24</v>
      </c>
      <c r="G215" s="1" t="s">
        <v>20</v>
      </c>
      <c r="H215" s="2">
        <v>45135</v>
      </c>
      <c r="I215" s="1">
        <v>450</v>
      </c>
      <c r="J215" s="1">
        <v>359.17</v>
      </c>
      <c r="K215" s="1">
        <v>23.44</v>
      </c>
    </row>
    <row r="216" spans="2:11" ht="15.75" thickBot="1" x14ac:dyDescent="0.3">
      <c r="B216" s="1" t="s">
        <v>238</v>
      </c>
      <c r="C216" s="1" t="s">
        <v>22</v>
      </c>
      <c r="D216" s="1" t="s">
        <v>18</v>
      </c>
      <c r="E216" s="1" t="s">
        <v>27</v>
      </c>
      <c r="F216" s="1" t="s">
        <v>14</v>
      </c>
      <c r="G216" s="1" t="s">
        <v>15</v>
      </c>
      <c r="H216" s="2">
        <v>45136</v>
      </c>
      <c r="I216" s="1">
        <v>462</v>
      </c>
      <c r="J216" s="1">
        <v>263.01</v>
      </c>
      <c r="K216" s="1">
        <v>129.38</v>
      </c>
    </row>
    <row r="217" spans="2:11" ht="15.75" thickBot="1" x14ac:dyDescent="0.3">
      <c r="B217" s="1" t="s">
        <v>239</v>
      </c>
      <c r="C217" s="1" t="s">
        <v>11</v>
      </c>
      <c r="D217" s="1" t="s">
        <v>50</v>
      </c>
      <c r="E217" s="6" t="s">
        <v>27</v>
      </c>
      <c r="F217" s="1" t="s">
        <v>14</v>
      </c>
      <c r="G217" s="1" t="s">
        <v>28</v>
      </c>
      <c r="H217" s="2">
        <v>45137</v>
      </c>
      <c r="I217" s="1">
        <v>396</v>
      </c>
      <c r="J217" s="1">
        <v>412.08</v>
      </c>
      <c r="K217" s="1">
        <v>301.77</v>
      </c>
    </row>
    <row r="218" spans="2:11" x14ac:dyDescent="0.25">
      <c r="B218" s="1" t="s">
        <v>240</v>
      </c>
      <c r="C218" s="1" t="s">
        <v>11</v>
      </c>
      <c r="D218" s="1" t="s">
        <v>50</v>
      </c>
      <c r="E218" s="1" t="s">
        <v>23</v>
      </c>
      <c r="F218" s="1" t="s">
        <v>24</v>
      </c>
      <c r="G218" s="1" t="s">
        <v>20</v>
      </c>
      <c r="H218" s="2">
        <v>45138</v>
      </c>
      <c r="I218" s="1">
        <v>266</v>
      </c>
      <c r="J218" s="1">
        <v>218.28</v>
      </c>
      <c r="K218" s="1">
        <v>109.19</v>
      </c>
    </row>
    <row r="219" spans="2:11" x14ac:dyDescent="0.25">
      <c r="B219" s="1" t="s">
        <v>241</v>
      </c>
      <c r="C219" s="1" t="s">
        <v>22</v>
      </c>
      <c r="D219" s="1" t="s">
        <v>12</v>
      </c>
      <c r="E219" s="1" t="s">
        <v>42</v>
      </c>
      <c r="F219" s="1" t="s">
        <v>24</v>
      </c>
      <c r="G219" s="1" t="s">
        <v>15</v>
      </c>
      <c r="H219" s="2">
        <v>45139</v>
      </c>
      <c r="I219" s="1">
        <v>67</v>
      </c>
      <c r="J219" s="1">
        <v>448.87</v>
      </c>
      <c r="K219" s="1">
        <v>216.74</v>
      </c>
    </row>
    <row r="220" spans="2:11" x14ac:dyDescent="0.25">
      <c r="B220" s="1" t="s">
        <v>242</v>
      </c>
      <c r="C220" s="1" t="s">
        <v>11</v>
      </c>
      <c r="D220" s="1" t="s">
        <v>26</v>
      </c>
      <c r="E220" s="1" t="s">
        <v>27</v>
      </c>
      <c r="F220" s="1" t="s">
        <v>14</v>
      </c>
      <c r="G220" s="1" t="s">
        <v>20</v>
      </c>
      <c r="H220" s="2">
        <v>45140</v>
      </c>
      <c r="I220" s="1">
        <v>389</v>
      </c>
      <c r="J220" s="1">
        <v>40.28</v>
      </c>
      <c r="K220" s="1">
        <v>291.72000000000003</v>
      </c>
    </row>
    <row r="221" spans="2:11" x14ac:dyDescent="0.25">
      <c r="B221" s="1" t="s">
        <v>243</v>
      </c>
      <c r="C221" s="1" t="s">
        <v>11</v>
      </c>
      <c r="D221" s="1" t="s">
        <v>18</v>
      </c>
      <c r="E221" s="1" t="s">
        <v>42</v>
      </c>
      <c r="F221" s="1" t="s">
        <v>14</v>
      </c>
      <c r="G221" s="1" t="s">
        <v>28</v>
      </c>
      <c r="H221" s="2">
        <v>45141</v>
      </c>
      <c r="I221" s="1">
        <v>431</v>
      </c>
      <c r="J221" s="1">
        <v>477.56</v>
      </c>
      <c r="K221" s="1">
        <v>44.96</v>
      </c>
    </row>
    <row r="222" spans="2:11" x14ac:dyDescent="0.25">
      <c r="B222" s="1" t="s">
        <v>244</v>
      </c>
      <c r="C222" s="1" t="s">
        <v>22</v>
      </c>
      <c r="D222" s="1" t="s">
        <v>12</v>
      </c>
      <c r="E222" s="1" t="s">
        <v>42</v>
      </c>
      <c r="F222" s="1" t="s">
        <v>24</v>
      </c>
      <c r="G222" s="1" t="s">
        <v>20</v>
      </c>
      <c r="H222" s="2">
        <v>45142</v>
      </c>
      <c r="I222" s="1">
        <v>24</v>
      </c>
      <c r="J222" s="1">
        <v>329.07</v>
      </c>
      <c r="K222" s="1">
        <v>274.75</v>
      </c>
    </row>
    <row r="223" spans="2:11" x14ac:dyDescent="0.25">
      <c r="B223" s="1" t="s">
        <v>245</v>
      </c>
      <c r="C223" s="1" t="s">
        <v>17</v>
      </c>
      <c r="D223" s="1" t="s">
        <v>31</v>
      </c>
      <c r="E223" s="1" t="s">
        <v>23</v>
      </c>
      <c r="F223" s="1" t="s">
        <v>24</v>
      </c>
      <c r="G223" s="1" t="s">
        <v>20</v>
      </c>
      <c r="H223" s="2">
        <v>45143</v>
      </c>
      <c r="I223" s="1">
        <v>171</v>
      </c>
      <c r="J223" s="1">
        <v>193.14</v>
      </c>
      <c r="K223" s="1">
        <v>38.56</v>
      </c>
    </row>
    <row r="224" spans="2:11" x14ac:dyDescent="0.25">
      <c r="B224" s="1" t="s">
        <v>246</v>
      </c>
      <c r="C224" s="1" t="s">
        <v>22</v>
      </c>
      <c r="D224" s="1" t="s">
        <v>12</v>
      </c>
      <c r="E224" s="1" t="s">
        <v>13</v>
      </c>
      <c r="F224" s="1" t="s">
        <v>14</v>
      </c>
      <c r="G224" s="1" t="s">
        <v>20</v>
      </c>
      <c r="H224" s="2">
        <v>45144</v>
      </c>
      <c r="I224" s="1">
        <v>454</v>
      </c>
      <c r="J224" s="1">
        <v>102.59</v>
      </c>
      <c r="K224" s="1">
        <v>386.12</v>
      </c>
    </row>
    <row r="225" spans="2:11" x14ac:dyDescent="0.25">
      <c r="B225" s="1" t="s">
        <v>247</v>
      </c>
      <c r="C225" s="1" t="s">
        <v>17</v>
      </c>
      <c r="D225" s="1" t="s">
        <v>12</v>
      </c>
      <c r="E225" s="1" t="s">
        <v>42</v>
      </c>
      <c r="F225" s="1" t="s">
        <v>24</v>
      </c>
      <c r="G225" s="1" t="s">
        <v>20</v>
      </c>
      <c r="H225" s="2">
        <v>45145</v>
      </c>
      <c r="I225" s="1">
        <v>172</v>
      </c>
      <c r="J225" s="1">
        <v>242.2</v>
      </c>
      <c r="K225" s="1">
        <v>196.38</v>
      </c>
    </row>
    <row r="226" spans="2:11" x14ac:dyDescent="0.25">
      <c r="B226" s="1" t="s">
        <v>248</v>
      </c>
      <c r="C226" s="1" t="s">
        <v>11</v>
      </c>
      <c r="D226" s="1" t="s">
        <v>26</v>
      </c>
      <c r="E226" s="1" t="s">
        <v>27</v>
      </c>
      <c r="F226" s="1" t="s">
        <v>14</v>
      </c>
      <c r="G226" s="1" t="s">
        <v>15</v>
      </c>
      <c r="H226" s="2">
        <v>45146</v>
      </c>
      <c r="I226" s="1">
        <v>329</v>
      </c>
      <c r="J226" s="1">
        <v>101.31</v>
      </c>
      <c r="K226" s="1">
        <v>61.97</v>
      </c>
    </row>
    <row r="227" spans="2:11" ht="15.75" thickBot="1" x14ac:dyDescent="0.3">
      <c r="B227" s="1" t="s">
        <v>249</v>
      </c>
      <c r="C227" s="1" t="s">
        <v>11</v>
      </c>
      <c r="D227" s="1" t="s">
        <v>31</v>
      </c>
      <c r="E227" s="1" t="s">
        <v>19</v>
      </c>
      <c r="F227" s="1" t="s">
        <v>14</v>
      </c>
      <c r="G227" s="1" t="s">
        <v>15</v>
      </c>
      <c r="H227" s="2">
        <v>45147</v>
      </c>
      <c r="I227" s="1">
        <v>290</v>
      </c>
      <c r="J227" s="1">
        <v>87.33</v>
      </c>
      <c r="K227" s="1">
        <v>138.27000000000001</v>
      </c>
    </row>
    <row r="228" spans="2:11" ht="15.75" thickBot="1" x14ac:dyDescent="0.3">
      <c r="B228" s="1" t="s">
        <v>250</v>
      </c>
      <c r="C228" s="5" t="s">
        <v>11</v>
      </c>
      <c r="D228" s="1" t="s">
        <v>12</v>
      </c>
      <c r="E228" s="1" t="s">
        <v>42</v>
      </c>
      <c r="F228" s="1" t="s">
        <v>14</v>
      </c>
      <c r="G228" s="1" t="s">
        <v>28</v>
      </c>
      <c r="H228" s="2">
        <v>45148</v>
      </c>
      <c r="I228" s="1">
        <v>289</v>
      </c>
      <c r="J228" s="1">
        <v>310.58999999999997</v>
      </c>
      <c r="K228" s="1">
        <v>166.54</v>
      </c>
    </row>
    <row r="229" spans="2:11" x14ac:dyDescent="0.25">
      <c r="B229" s="1" t="s">
        <v>251</v>
      </c>
      <c r="C229" s="1" t="s">
        <v>48</v>
      </c>
      <c r="D229" s="1" t="s">
        <v>18</v>
      </c>
      <c r="E229" s="1" t="s">
        <v>42</v>
      </c>
      <c r="F229" s="1" t="s">
        <v>14</v>
      </c>
      <c r="G229" s="1" t="s">
        <v>15</v>
      </c>
      <c r="H229" s="2">
        <v>45149</v>
      </c>
      <c r="I229" s="1">
        <v>21</v>
      </c>
      <c r="J229" s="1">
        <v>263.93</v>
      </c>
      <c r="K229" s="1">
        <v>303.76</v>
      </c>
    </row>
    <row r="230" spans="2:11" x14ac:dyDescent="0.25">
      <c r="B230" s="1" t="s">
        <v>252</v>
      </c>
      <c r="C230" s="1" t="s">
        <v>17</v>
      </c>
      <c r="D230" s="1" t="s">
        <v>18</v>
      </c>
      <c r="E230" s="1" t="s">
        <v>23</v>
      </c>
      <c r="F230" s="1" t="s">
        <v>14</v>
      </c>
      <c r="G230" s="1" t="s">
        <v>15</v>
      </c>
      <c r="H230" s="2">
        <v>45150</v>
      </c>
      <c r="I230" s="1">
        <v>283</v>
      </c>
      <c r="J230" s="1">
        <v>336.7</v>
      </c>
      <c r="K230" s="1">
        <v>297.88</v>
      </c>
    </row>
    <row r="231" spans="2:11" x14ac:dyDescent="0.25">
      <c r="B231" s="1" t="s">
        <v>253</v>
      </c>
      <c r="C231" s="1" t="s">
        <v>48</v>
      </c>
      <c r="D231" s="1" t="s">
        <v>50</v>
      </c>
      <c r="E231" s="1" t="s">
        <v>13</v>
      </c>
      <c r="F231" s="1" t="s">
        <v>24</v>
      </c>
      <c r="G231" s="1" t="s">
        <v>28</v>
      </c>
      <c r="H231" s="2">
        <v>45151</v>
      </c>
      <c r="I231" s="1">
        <v>280</v>
      </c>
      <c r="J231" s="1">
        <v>465.15</v>
      </c>
      <c r="K231" s="1">
        <v>245.55</v>
      </c>
    </row>
    <row r="232" spans="2:11" x14ac:dyDescent="0.25">
      <c r="B232" s="1" t="s">
        <v>254</v>
      </c>
      <c r="C232" s="1" t="s">
        <v>48</v>
      </c>
      <c r="D232" s="1" t="s">
        <v>31</v>
      </c>
      <c r="E232" s="1" t="s">
        <v>19</v>
      </c>
      <c r="F232" s="1" t="s">
        <v>24</v>
      </c>
      <c r="G232" s="1" t="s">
        <v>15</v>
      </c>
      <c r="H232" s="2">
        <v>45152</v>
      </c>
      <c r="I232" s="1">
        <v>217</v>
      </c>
      <c r="J232" s="1">
        <v>268.47000000000003</v>
      </c>
      <c r="K232" s="1">
        <v>44.16</v>
      </c>
    </row>
    <row r="233" spans="2:11" x14ac:dyDescent="0.25">
      <c r="B233" s="1" t="s">
        <v>255</v>
      </c>
      <c r="C233" s="1" t="s">
        <v>22</v>
      </c>
      <c r="D233" s="1" t="s">
        <v>31</v>
      </c>
      <c r="E233" s="1" t="s">
        <v>27</v>
      </c>
      <c r="F233" s="1" t="s">
        <v>24</v>
      </c>
      <c r="G233" s="1" t="s">
        <v>15</v>
      </c>
      <c r="H233" s="2">
        <v>45153</v>
      </c>
      <c r="I233" s="1">
        <v>36</v>
      </c>
      <c r="J233" s="1">
        <v>292.56</v>
      </c>
      <c r="K233" s="1">
        <v>62.32</v>
      </c>
    </row>
    <row r="234" spans="2:11" x14ac:dyDescent="0.25">
      <c r="B234" s="1" t="s">
        <v>256</v>
      </c>
      <c r="C234" s="1" t="s">
        <v>48</v>
      </c>
      <c r="D234" s="1" t="s">
        <v>50</v>
      </c>
      <c r="E234" s="1" t="s">
        <v>19</v>
      </c>
      <c r="F234" s="1" t="s">
        <v>24</v>
      </c>
      <c r="G234" s="1" t="s">
        <v>28</v>
      </c>
      <c r="H234" s="2">
        <v>45154</v>
      </c>
      <c r="I234" s="1"/>
      <c r="J234" s="1">
        <v>49.37</v>
      </c>
      <c r="K234" s="1">
        <v>39.32</v>
      </c>
    </row>
    <row r="235" spans="2:11" x14ac:dyDescent="0.25">
      <c r="B235" s="1" t="s">
        <v>257</v>
      </c>
      <c r="C235" s="1" t="s">
        <v>22</v>
      </c>
      <c r="D235" s="1" t="s">
        <v>12</v>
      </c>
      <c r="E235" s="1" t="s">
        <v>27</v>
      </c>
      <c r="F235" s="1" t="s">
        <v>14</v>
      </c>
      <c r="G235" s="1" t="s">
        <v>28</v>
      </c>
      <c r="H235" s="2">
        <v>45155</v>
      </c>
      <c r="I235" s="1">
        <v>69</v>
      </c>
      <c r="J235" s="1">
        <v>360.23</v>
      </c>
      <c r="K235" s="1">
        <v>231.71</v>
      </c>
    </row>
    <row r="236" spans="2:11" x14ac:dyDescent="0.25">
      <c r="B236" s="1" t="s">
        <v>258</v>
      </c>
      <c r="C236" s="1" t="s">
        <v>22</v>
      </c>
      <c r="D236" s="1" t="s">
        <v>31</v>
      </c>
      <c r="E236" s="1" t="s">
        <v>13</v>
      </c>
      <c r="F236" s="1" t="s">
        <v>14</v>
      </c>
      <c r="G236" s="1" t="s">
        <v>28</v>
      </c>
      <c r="H236" s="2">
        <v>45156</v>
      </c>
      <c r="I236" s="1">
        <v>439</v>
      </c>
      <c r="J236" s="1">
        <v>202.95</v>
      </c>
      <c r="K236" s="1">
        <v>351.1</v>
      </c>
    </row>
    <row r="237" spans="2:11" x14ac:dyDescent="0.25">
      <c r="B237" s="1" t="s">
        <v>259</v>
      </c>
      <c r="C237" s="1" t="s">
        <v>48</v>
      </c>
      <c r="D237" s="1" t="s">
        <v>18</v>
      </c>
      <c r="E237" s="1" t="s">
        <v>27</v>
      </c>
      <c r="F237" s="1" t="s">
        <v>14</v>
      </c>
      <c r="G237" s="1" t="s">
        <v>20</v>
      </c>
      <c r="H237" s="2">
        <v>45157</v>
      </c>
      <c r="I237" s="1">
        <v>482</v>
      </c>
      <c r="J237" s="1">
        <v>488.48</v>
      </c>
      <c r="K237" s="1">
        <v>174.65</v>
      </c>
    </row>
    <row r="238" spans="2:11" x14ac:dyDescent="0.25">
      <c r="B238" s="1" t="s">
        <v>260</v>
      </c>
      <c r="C238" s="1" t="s">
        <v>17</v>
      </c>
      <c r="D238" s="1" t="s">
        <v>18</v>
      </c>
      <c r="E238" s="1" t="s">
        <v>23</v>
      </c>
      <c r="F238" s="1" t="s">
        <v>14</v>
      </c>
      <c r="G238" s="1" t="s">
        <v>20</v>
      </c>
      <c r="H238" s="2">
        <v>45158</v>
      </c>
      <c r="I238" s="1">
        <v>154</v>
      </c>
      <c r="J238" s="1">
        <v>412.47</v>
      </c>
      <c r="K238" s="1">
        <v>66.02</v>
      </c>
    </row>
    <row r="239" spans="2:11" x14ac:dyDescent="0.25">
      <c r="B239" s="1" t="s">
        <v>261</v>
      </c>
      <c r="C239" s="1" t="s">
        <v>17</v>
      </c>
      <c r="D239" s="1" t="s">
        <v>26</v>
      </c>
      <c r="E239" s="1" t="s">
        <v>23</v>
      </c>
      <c r="F239" s="1" t="s">
        <v>24</v>
      </c>
      <c r="G239" s="1" t="s">
        <v>28</v>
      </c>
      <c r="H239" s="2">
        <v>45159</v>
      </c>
      <c r="I239" s="1">
        <v>102</v>
      </c>
      <c r="J239" s="1">
        <v>263.63</v>
      </c>
      <c r="K239" s="1">
        <v>224.1</v>
      </c>
    </row>
    <row r="240" spans="2:11" x14ac:dyDescent="0.25">
      <c r="B240" s="1" t="s">
        <v>262</v>
      </c>
      <c r="C240" s="1" t="s">
        <v>17</v>
      </c>
      <c r="D240" s="1" t="s">
        <v>31</v>
      </c>
      <c r="E240" s="1" t="s">
        <v>23</v>
      </c>
      <c r="F240" s="1" t="s">
        <v>14</v>
      </c>
      <c r="G240" s="1" t="s">
        <v>28</v>
      </c>
      <c r="H240" s="2">
        <v>45160</v>
      </c>
      <c r="I240" s="1">
        <v>318</v>
      </c>
      <c r="J240" s="1">
        <v>66</v>
      </c>
      <c r="K240" s="1">
        <v>325.08</v>
      </c>
    </row>
    <row r="241" spans="2:11" x14ac:dyDescent="0.25">
      <c r="B241" s="1" t="s">
        <v>263</v>
      </c>
      <c r="C241" s="1" t="s">
        <v>17</v>
      </c>
      <c r="D241" s="1" t="s">
        <v>12</v>
      </c>
      <c r="E241" s="1" t="s">
        <v>23</v>
      </c>
      <c r="F241" s="1" t="s">
        <v>14</v>
      </c>
      <c r="G241" s="1" t="s">
        <v>28</v>
      </c>
      <c r="H241" s="2">
        <v>45161</v>
      </c>
      <c r="I241" s="1">
        <v>17</v>
      </c>
      <c r="J241" s="1">
        <v>430.41</v>
      </c>
      <c r="K241" s="1">
        <v>297.2</v>
      </c>
    </row>
    <row r="242" spans="2:11" x14ac:dyDescent="0.25">
      <c r="B242" s="1" t="s">
        <v>264</v>
      </c>
      <c r="C242" s="1" t="s">
        <v>17</v>
      </c>
      <c r="D242" s="1" t="s">
        <v>50</v>
      </c>
      <c r="E242" s="1" t="s">
        <v>19</v>
      </c>
      <c r="F242" s="1" t="s">
        <v>24</v>
      </c>
      <c r="G242" s="1" t="s">
        <v>20</v>
      </c>
      <c r="H242" s="2">
        <v>45162</v>
      </c>
      <c r="I242" s="1">
        <v>88</v>
      </c>
      <c r="J242" s="1">
        <v>400.89</v>
      </c>
      <c r="K242" s="1">
        <v>352.82</v>
      </c>
    </row>
    <row r="243" spans="2:11" x14ac:dyDescent="0.25">
      <c r="B243" s="1" t="s">
        <v>265</v>
      </c>
      <c r="C243" s="1" t="s">
        <v>48</v>
      </c>
      <c r="D243" s="1" t="s">
        <v>50</v>
      </c>
      <c r="E243" s="1" t="s">
        <v>13</v>
      </c>
      <c r="F243" s="1" t="s">
        <v>24</v>
      </c>
      <c r="G243" s="1" t="s">
        <v>20</v>
      </c>
      <c r="H243" s="2">
        <v>45163</v>
      </c>
      <c r="I243" s="1">
        <v>36</v>
      </c>
      <c r="J243" s="1">
        <v>96.37</v>
      </c>
      <c r="K243" s="1">
        <v>112.61</v>
      </c>
    </row>
    <row r="244" spans="2:11" x14ac:dyDescent="0.25">
      <c r="B244" s="1" t="s">
        <v>266</v>
      </c>
      <c r="C244" s="1" t="s">
        <v>48</v>
      </c>
      <c r="D244" s="1" t="s">
        <v>12</v>
      </c>
      <c r="E244" s="1" t="s">
        <v>27</v>
      </c>
      <c r="F244" s="1" t="s">
        <v>24</v>
      </c>
      <c r="G244" s="1" t="s">
        <v>15</v>
      </c>
      <c r="H244" s="2">
        <v>45164</v>
      </c>
      <c r="I244" s="1">
        <v>183</v>
      </c>
      <c r="J244" s="1">
        <v>151.16</v>
      </c>
      <c r="K244" s="1">
        <v>79.19</v>
      </c>
    </row>
    <row r="245" spans="2:11" x14ac:dyDescent="0.25">
      <c r="B245" s="1" t="s">
        <v>267</v>
      </c>
      <c r="C245" s="1" t="s">
        <v>11</v>
      </c>
      <c r="D245" s="1" t="s">
        <v>26</v>
      </c>
      <c r="E245" s="1" t="s">
        <v>27</v>
      </c>
      <c r="F245" s="1" t="s">
        <v>24</v>
      </c>
      <c r="G245" s="1" t="s">
        <v>15</v>
      </c>
      <c r="H245" s="2">
        <v>45165</v>
      </c>
      <c r="I245" s="1">
        <v>59</v>
      </c>
      <c r="J245" s="1">
        <v>397.74</v>
      </c>
      <c r="K245" s="1">
        <v>352.17</v>
      </c>
    </row>
    <row r="246" spans="2:11" x14ac:dyDescent="0.25">
      <c r="B246" s="1" t="s">
        <v>268</v>
      </c>
      <c r="C246" s="1" t="s">
        <v>17</v>
      </c>
      <c r="D246" s="1" t="s">
        <v>50</v>
      </c>
      <c r="E246" s="1" t="s">
        <v>23</v>
      </c>
      <c r="F246" s="1" t="s">
        <v>14</v>
      </c>
      <c r="G246" s="1" t="s">
        <v>28</v>
      </c>
      <c r="H246" s="2">
        <v>45166</v>
      </c>
      <c r="I246" s="1">
        <v>208</v>
      </c>
      <c r="J246" s="1">
        <v>96.69</v>
      </c>
      <c r="K246" s="1">
        <v>263.70999999999998</v>
      </c>
    </row>
    <row r="247" spans="2:11" x14ac:dyDescent="0.25">
      <c r="B247" s="1" t="s">
        <v>269</v>
      </c>
      <c r="C247" s="1" t="s">
        <v>48</v>
      </c>
      <c r="D247" s="1" t="s">
        <v>31</v>
      </c>
      <c r="E247" s="1" t="s">
        <v>23</v>
      </c>
      <c r="F247" s="1" t="s">
        <v>14</v>
      </c>
      <c r="G247" s="1" t="s">
        <v>20</v>
      </c>
      <c r="H247" s="2">
        <v>45167</v>
      </c>
      <c r="I247" s="1">
        <v>396</v>
      </c>
      <c r="J247" s="1">
        <v>459.29</v>
      </c>
      <c r="K247" s="1">
        <v>125.75</v>
      </c>
    </row>
    <row r="248" spans="2:11" x14ac:dyDescent="0.25">
      <c r="B248" s="1" t="s">
        <v>270</v>
      </c>
      <c r="C248" s="1" t="s">
        <v>11</v>
      </c>
      <c r="D248" s="1" t="s">
        <v>26</v>
      </c>
      <c r="E248" s="1" t="s">
        <v>42</v>
      </c>
      <c r="F248" s="1" t="s">
        <v>24</v>
      </c>
      <c r="G248" s="1" t="s">
        <v>20</v>
      </c>
      <c r="H248" s="2">
        <v>45168</v>
      </c>
      <c r="I248" s="1">
        <v>358</v>
      </c>
      <c r="J248" s="1">
        <v>215.14</v>
      </c>
      <c r="K248" s="1">
        <v>297.45</v>
      </c>
    </row>
    <row r="249" spans="2:11" x14ac:dyDescent="0.25">
      <c r="B249" s="1" t="s">
        <v>271</v>
      </c>
      <c r="C249" s="1" t="s">
        <v>17</v>
      </c>
      <c r="D249" s="1" t="s">
        <v>31</v>
      </c>
      <c r="E249" s="1" t="s">
        <v>13</v>
      </c>
      <c r="F249" s="1" t="s">
        <v>14</v>
      </c>
      <c r="G249" s="1" t="s">
        <v>20</v>
      </c>
      <c r="H249" s="2">
        <v>45169</v>
      </c>
      <c r="I249" s="1">
        <v>457</v>
      </c>
      <c r="J249" s="1">
        <v>48.08</v>
      </c>
      <c r="K249" s="1">
        <v>326.42</v>
      </c>
    </row>
    <row r="250" spans="2:11" x14ac:dyDescent="0.25">
      <c r="B250" s="1" t="s">
        <v>272</v>
      </c>
      <c r="C250" s="1" t="s">
        <v>22</v>
      </c>
      <c r="D250" s="1" t="s">
        <v>18</v>
      </c>
      <c r="E250" s="1" t="s">
        <v>19</v>
      </c>
      <c r="F250" s="1" t="s">
        <v>14</v>
      </c>
      <c r="G250" s="1" t="s">
        <v>28</v>
      </c>
      <c r="H250" s="2">
        <v>45170</v>
      </c>
      <c r="I250" s="1">
        <v>437</v>
      </c>
      <c r="J250" s="1">
        <v>408.8</v>
      </c>
      <c r="K250" s="1">
        <v>246.76</v>
      </c>
    </row>
    <row r="251" spans="2:11" x14ac:dyDescent="0.25">
      <c r="B251" s="1" t="s">
        <v>273</v>
      </c>
      <c r="C251" s="1" t="s">
        <v>11</v>
      </c>
      <c r="D251" s="1" t="s">
        <v>26</v>
      </c>
      <c r="E251" s="1" t="s">
        <v>27</v>
      </c>
      <c r="F251" s="1" t="s">
        <v>14</v>
      </c>
      <c r="G251" s="1" t="s">
        <v>15</v>
      </c>
      <c r="H251" s="2">
        <v>45171</v>
      </c>
      <c r="I251" s="1">
        <v>190</v>
      </c>
      <c r="J251" s="1">
        <v>189.89</v>
      </c>
      <c r="K251" s="1">
        <v>275.77999999999997</v>
      </c>
    </row>
    <row r="252" spans="2:11" x14ac:dyDescent="0.25">
      <c r="B252" s="1" t="s">
        <v>274</v>
      </c>
      <c r="C252" s="1" t="s">
        <v>48</v>
      </c>
      <c r="D252" s="1" t="s">
        <v>50</v>
      </c>
      <c r="E252" s="1" t="s">
        <v>42</v>
      </c>
      <c r="F252" s="1" t="s">
        <v>24</v>
      </c>
      <c r="G252" s="1" t="s">
        <v>28</v>
      </c>
      <c r="H252" s="2">
        <v>45172</v>
      </c>
      <c r="I252" s="1">
        <v>33</v>
      </c>
      <c r="J252" s="1">
        <v>265.62</v>
      </c>
      <c r="K252" s="1">
        <v>151.35</v>
      </c>
    </row>
    <row r="253" spans="2:11" x14ac:dyDescent="0.25">
      <c r="B253" s="1" t="s">
        <v>275</v>
      </c>
      <c r="C253" s="1" t="s">
        <v>22</v>
      </c>
      <c r="D253" s="1" t="s">
        <v>26</v>
      </c>
      <c r="E253" s="1" t="s">
        <v>42</v>
      </c>
      <c r="F253" s="1" t="s">
        <v>14</v>
      </c>
      <c r="G253" s="1" t="s">
        <v>15</v>
      </c>
      <c r="H253" s="2">
        <v>45173</v>
      </c>
      <c r="I253" s="1">
        <v>325</v>
      </c>
      <c r="J253" s="1">
        <v>60.59</v>
      </c>
      <c r="K253" s="1">
        <v>216.4</v>
      </c>
    </row>
    <row r="254" spans="2:11" x14ac:dyDescent="0.25">
      <c r="B254" s="1" t="s">
        <v>276</v>
      </c>
      <c r="C254" s="1" t="s">
        <v>22</v>
      </c>
      <c r="D254" s="1" t="s">
        <v>26</v>
      </c>
      <c r="E254" s="1" t="s">
        <v>27</v>
      </c>
      <c r="F254" s="1" t="s">
        <v>24</v>
      </c>
      <c r="G254" s="1" t="s">
        <v>15</v>
      </c>
      <c r="H254" s="2">
        <v>45174</v>
      </c>
      <c r="I254" s="1">
        <v>387</v>
      </c>
      <c r="J254" s="1">
        <v>6.28</v>
      </c>
      <c r="K254" s="1">
        <v>210.62</v>
      </c>
    </row>
    <row r="255" spans="2:11" x14ac:dyDescent="0.25">
      <c r="B255" s="1" t="s">
        <v>277</v>
      </c>
      <c r="C255" s="1" t="s">
        <v>22</v>
      </c>
      <c r="D255" s="1" t="s">
        <v>26</v>
      </c>
      <c r="E255" s="1" t="s">
        <v>19</v>
      </c>
      <c r="F255" s="1" t="s">
        <v>14</v>
      </c>
      <c r="G255" s="1" t="s">
        <v>28</v>
      </c>
      <c r="H255" s="2">
        <v>45175</v>
      </c>
      <c r="I255" s="1">
        <v>396</v>
      </c>
      <c r="J255" s="1">
        <v>320.8</v>
      </c>
      <c r="K255" s="1">
        <v>339.52</v>
      </c>
    </row>
    <row r="256" spans="2:11" x14ac:dyDescent="0.25">
      <c r="B256" s="1" t="s">
        <v>278</v>
      </c>
      <c r="C256" s="1" t="s">
        <v>11</v>
      </c>
      <c r="D256" s="1" t="s">
        <v>26</v>
      </c>
      <c r="E256" s="1" t="s">
        <v>42</v>
      </c>
      <c r="F256" s="1" t="s">
        <v>14</v>
      </c>
      <c r="G256" s="1" t="s">
        <v>15</v>
      </c>
      <c r="H256" s="2">
        <v>45176</v>
      </c>
      <c r="I256" s="1">
        <v>413</v>
      </c>
      <c r="J256" s="1">
        <v>260.01</v>
      </c>
      <c r="K256" s="1">
        <v>336.31</v>
      </c>
    </row>
    <row r="257" spans="2:11" x14ac:dyDescent="0.25">
      <c r="B257" s="1" t="s">
        <v>279</v>
      </c>
      <c r="C257" s="1" t="s">
        <v>48</v>
      </c>
      <c r="D257" s="1" t="s">
        <v>31</v>
      </c>
      <c r="E257" s="1" t="s">
        <v>42</v>
      </c>
      <c r="F257" s="1" t="s">
        <v>14</v>
      </c>
      <c r="G257" s="1" t="s">
        <v>15</v>
      </c>
      <c r="H257" s="2">
        <v>45177</v>
      </c>
      <c r="I257" s="1"/>
      <c r="J257" s="1">
        <v>298.8</v>
      </c>
      <c r="K257" s="1">
        <v>333.41</v>
      </c>
    </row>
    <row r="258" spans="2:11" ht="15.75" thickBot="1" x14ac:dyDescent="0.3">
      <c r="B258" s="1" t="s">
        <v>280</v>
      </c>
      <c r="C258" s="1" t="s">
        <v>22</v>
      </c>
      <c r="D258" s="1" t="s">
        <v>18</v>
      </c>
      <c r="E258" s="1" t="s">
        <v>13</v>
      </c>
      <c r="F258" s="1" t="s">
        <v>24</v>
      </c>
      <c r="G258" s="1" t="s">
        <v>20</v>
      </c>
      <c r="H258" s="2">
        <v>45178</v>
      </c>
      <c r="I258" s="1">
        <v>24</v>
      </c>
      <c r="J258" s="1">
        <v>397.9</v>
      </c>
      <c r="K258" s="1">
        <v>6.39</v>
      </c>
    </row>
    <row r="259" spans="2:11" ht="15.75" thickBot="1" x14ac:dyDescent="0.3">
      <c r="B259" s="1" t="s">
        <v>281</v>
      </c>
      <c r="C259" s="1" t="s">
        <v>17</v>
      </c>
      <c r="D259" s="1" t="s">
        <v>12</v>
      </c>
      <c r="E259" s="6" t="s">
        <v>13</v>
      </c>
      <c r="F259" s="1" t="s">
        <v>14</v>
      </c>
      <c r="G259" s="1" t="s">
        <v>15</v>
      </c>
      <c r="H259" s="2">
        <v>45179</v>
      </c>
      <c r="I259" s="1">
        <v>162</v>
      </c>
      <c r="J259" s="1">
        <v>325.07</v>
      </c>
      <c r="K259" s="1">
        <v>300.32</v>
      </c>
    </row>
    <row r="260" spans="2:11" x14ac:dyDescent="0.25">
      <c r="B260" s="1" t="s">
        <v>282</v>
      </c>
      <c r="C260" s="1" t="s">
        <v>22</v>
      </c>
      <c r="D260" s="1" t="s">
        <v>26</v>
      </c>
      <c r="E260" s="1" t="s">
        <v>42</v>
      </c>
      <c r="F260" s="1" t="s">
        <v>24</v>
      </c>
      <c r="G260" s="1" t="s">
        <v>28</v>
      </c>
      <c r="H260" s="2">
        <v>45180</v>
      </c>
      <c r="I260" s="1">
        <v>231</v>
      </c>
      <c r="J260" s="1">
        <v>91.51</v>
      </c>
      <c r="K260" s="1">
        <v>303.95</v>
      </c>
    </row>
    <row r="261" spans="2:11" x14ac:dyDescent="0.25">
      <c r="B261" s="1" t="s">
        <v>283</v>
      </c>
      <c r="C261" s="1" t="s">
        <v>22</v>
      </c>
      <c r="D261" s="1" t="s">
        <v>50</v>
      </c>
      <c r="E261" s="1" t="s">
        <v>19</v>
      </c>
      <c r="F261" s="1" t="s">
        <v>24</v>
      </c>
      <c r="G261" s="1" t="s">
        <v>28</v>
      </c>
      <c r="H261" s="2">
        <v>45181</v>
      </c>
      <c r="I261" s="1">
        <v>215</v>
      </c>
      <c r="J261" s="1">
        <v>183.58</v>
      </c>
      <c r="K261" s="1">
        <v>271.99</v>
      </c>
    </row>
    <row r="262" spans="2:11" x14ac:dyDescent="0.25">
      <c r="B262" s="1" t="s">
        <v>284</v>
      </c>
      <c r="C262" s="1" t="s">
        <v>11</v>
      </c>
      <c r="D262" s="1" t="s">
        <v>26</v>
      </c>
      <c r="E262" s="1" t="s">
        <v>27</v>
      </c>
      <c r="F262" s="1" t="s">
        <v>24</v>
      </c>
      <c r="G262" s="1" t="s">
        <v>15</v>
      </c>
      <c r="H262" s="2">
        <v>45182</v>
      </c>
      <c r="I262" s="1">
        <v>464</v>
      </c>
      <c r="J262" s="1">
        <v>453.42</v>
      </c>
      <c r="K262" s="1">
        <v>302.99</v>
      </c>
    </row>
    <row r="263" spans="2:11" x14ac:dyDescent="0.25">
      <c r="B263" s="1" t="s">
        <v>285</v>
      </c>
      <c r="C263" s="1" t="s">
        <v>11</v>
      </c>
      <c r="D263" s="1" t="s">
        <v>50</v>
      </c>
      <c r="E263" s="1" t="s">
        <v>23</v>
      </c>
      <c r="F263" s="1" t="s">
        <v>14</v>
      </c>
      <c r="G263" s="1" t="s">
        <v>20</v>
      </c>
      <c r="H263" s="2">
        <v>45183</v>
      </c>
      <c r="I263" s="1">
        <v>282</v>
      </c>
      <c r="J263" s="1"/>
      <c r="K263" s="1">
        <v>337.1</v>
      </c>
    </row>
    <row r="264" spans="2:11" x14ac:dyDescent="0.25">
      <c r="B264" s="1" t="s">
        <v>286</v>
      </c>
      <c r="C264" s="1" t="s">
        <v>48</v>
      </c>
      <c r="D264" s="1" t="s">
        <v>31</v>
      </c>
      <c r="E264" s="1" t="s">
        <v>42</v>
      </c>
      <c r="F264" s="1" t="s">
        <v>14</v>
      </c>
      <c r="G264" s="1" t="s">
        <v>20</v>
      </c>
      <c r="H264" s="2">
        <v>45184</v>
      </c>
      <c r="I264" s="1">
        <v>391</v>
      </c>
      <c r="J264" s="1">
        <v>280.54000000000002</v>
      </c>
      <c r="K264" s="1">
        <v>189.19</v>
      </c>
    </row>
    <row r="265" spans="2:11" x14ac:dyDescent="0.25">
      <c r="B265" s="1" t="s">
        <v>287</v>
      </c>
      <c r="C265" s="1" t="s">
        <v>17</v>
      </c>
      <c r="D265" s="1" t="s">
        <v>50</v>
      </c>
      <c r="E265" s="1" t="s">
        <v>13</v>
      </c>
      <c r="F265" s="1" t="s">
        <v>14</v>
      </c>
      <c r="G265" s="1" t="s">
        <v>15</v>
      </c>
      <c r="H265" s="2">
        <v>45185</v>
      </c>
      <c r="I265" s="1">
        <v>245</v>
      </c>
      <c r="J265" s="1">
        <v>131.54</v>
      </c>
      <c r="K265" s="1">
        <v>201.82</v>
      </c>
    </row>
    <row r="266" spans="2:11" x14ac:dyDescent="0.25">
      <c r="B266" s="1" t="s">
        <v>288</v>
      </c>
      <c r="C266" s="1" t="s">
        <v>11</v>
      </c>
      <c r="D266" s="1" t="s">
        <v>12</v>
      </c>
      <c r="E266" s="1" t="s">
        <v>27</v>
      </c>
      <c r="F266" s="1" t="s">
        <v>14</v>
      </c>
      <c r="G266" s="1" t="s">
        <v>15</v>
      </c>
      <c r="H266" s="2">
        <v>45186</v>
      </c>
      <c r="I266" s="1">
        <v>349</v>
      </c>
      <c r="J266" s="1">
        <v>154.52000000000001</v>
      </c>
      <c r="K266" s="1">
        <v>51.64</v>
      </c>
    </row>
    <row r="267" spans="2:11" x14ac:dyDescent="0.25">
      <c r="B267" s="1" t="s">
        <v>289</v>
      </c>
      <c r="C267" s="1" t="s">
        <v>22</v>
      </c>
      <c r="D267" s="1" t="s">
        <v>18</v>
      </c>
      <c r="E267" s="1" t="s">
        <v>19</v>
      </c>
      <c r="F267" s="1" t="s">
        <v>24</v>
      </c>
      <c r="G267" s="1" t="s">
        <v>28</v>
      </c>
      <c r="H267" s="2">
        <v>45187</v>
      </c>
      <c r="I267" s="1">
        <v>237</v>
      </c>
      <c r="J267" s="1"/>
      <c r="K267" s="1">
        <v>155.38</v>
      </c>
    </row>
    <row r="268" spans="2:11" x14ac:dyDescent="0.25">
      <c r="B268" s="1" t="s">
        <v>290</v>
      </c>
      <c r="C268" s="1" t="s">
        <v>48</v>
      </c>
      <c r="D268" s="1" t="s">
        <v>50</v>
      </c>
      <c r="E268" s="1" t="s">
        <v>27</v>
      </c>
      <c r="F268" s="1" t="s">
        <v>24</v>
      </c>
      <c r="G268" s="1" t="s">
        <v>15</v>
      </c>
      <c r="H268" s="2">
        <v>45188</v>
      </c>
      <c r="I268" s="1">
        <v>18</v>
      </c>
      <c r="J268" s="1">
        <v>426.33</v>
      </c>
      <c r="K268" s="1">
        <v>258.06</v>
      </c>
    </row>
    <row r="269" spans="2:11" ht="15.75" thickBot="1" x14ac:dyDescent="0.3">
      <c r="B269" s="1" t="s">
        <v>291</v>
      </c>
      <c r="C269" s="1" t="s">
        <v>22</v>
      </c>
      <c r="D269" s="1" t="s">
        <v>50</v>
      </c>
      <c r="E269" s="1" t="s">
        <v>42</v>
      </c>
      <c r="F269" s="1" t="s">
        <v>24</v>
      </c>
      <c r="G269" s="1" t="s">
        <v>20</v>
      </c>
      <c r="H269" s="2">
        <v>45189</v>
      </c>
      <c r="I269" s="1">
        <v>175</v>
      </c>
      <c r="J269" s="1">
        <v>337.36</v>
      </c>
      <c r="K269" s="1">
        <v>312.60000000000002</v>
      </c>
    </row>
    <row r="270" spans="2:11" ht="15.75" thickBot="1" x14ac:dyDescent="0.3">
      <c r="B270" s="1" t="s">
        <v>292</v>
      </c>
      <c r="C270" s="1" t="s">
        <v>22</v>
      </c>
      <c r="D270" s="1" t="s">
        <v>18</v>
      </c>
      <c r="E270" s="6" t="s">
        <v>42</v>
      </c>
      <c r="F270" s="1" t="s">
        <v>14</v>
      </c>
      <c r="G270" s="1" t="s">
        <v>15</v>
      </c>
      <c r="H270" s="2">
        <v>45190</v>
      </c>
      <c r="I270" s="1">
        <v>441</v>
      </c>
      <c r="J270" s="1">
        <v>405.72</v>
      </c>
      <c r="K270" s="1">
        <v>88.45</v>
      </c>
    </row>
    <row r="271" spans="2:11" x14ac:dyDescent="0.25">
      <c r="B271" s="1" t="s">
        <v>293</v>
      </c>
      <c r="C271" s="1" t="s">
        <v>11</v>
      </c>
      <c r="D271" s="1" t="s">
        <v>12</v>
      </c>
      <c r="E271" s="1" t="s">
        <v>23</v>
      </c>
      <c r="F271" s="1" t="s">
        <v>24</v>
      </c>
      <c r="G271" s="1" t="s">
        <v>28</v>
      </c>
      <c r="H271" s="2">
        <v>45191</v>
      </c>
      <c r="I271" s="1">
        <v>453</v>
      </c>
      <c r="J271" s="1">
        <v>384.49</v>
      </c>
      <c r="K271" s="1">
        <v>56.85</v>
      </c>
    </row>
    <row r="272" spans="2:11" x14ac:dyDescent="0.25">
      <c r="B272" s="1" t="s">
        <v>294</v>
      </c>
      <c r="C272" s="1" t="s">
        <v>48</v>
      </c>
      <c r="D272" s="1" t="s">
        <v>26</v>
      </c>
      <c r="E272" s="1" t="s">
        <v>27</v>
      </c>
      <c r="F272" s="1" t="s">
        <v>14</v>
      </c>
      <c r="G272" s="1" t="s">
        <v>28</v>
      </c>
      <c r="H272" s="2">
        <v>45192</v>
      </c>
      <c r="I272" s="1">
        <v>328</v>
      </c>
      <c r="J272" s="1">
        <v>79.099999999999994</v>
      </c>
      <c r="K272" s="1">
        <v>265.89</v>
      </c>
    </row>
    <row r="273" spans="2:11" x14ac:dyDescent="0.25">
      <c r="B273" s="1" t="s">
        <v>295</v>
      </c>
      <c r="C273" s="1" t="s">
        <v>17</v>
      </c>
      <c r="D273" s="1" t="s">
        <v>50</v>
      </c>
      <c r="E273" s="1" t="s">
        <v>42</v>
      </c>
      <c r="F273" s="1" t="s">
        <v>24</v>
      </c>
      <c r="G273" s="1" t="s">
        <v>28</v>
      </c>
      <c r="H273" s="2">
        <v>45193</v>
      </c>
      <c r="I273" s="1">
        <v>223</v>
      </c>
      <c r="J273" s="1">
        <v>214.85</v>
      </c>
      <c r="K273" s="1">
        <v>2.75</v>
      </c>
    </row>
    <row r="274" spans="2:11" x14ac:dyDescent="0.25">
      <c r="B274" s="1" t="s">
        <v>296</v>
      </c>
      <c r="C274" s="1" t="s">
        <v>17</v>
      </c>
      <c r="D274" s="1" t="s">
        <v>18</v>
      </c>
      <c r="E274" s="1" t="s">
        <v>13</v>
      </c>
      <c r="F274" s="1" t="s">
        <v>14</v>
      </c>
      <c r="G274" s="1" t="s">
        <v>28</v>
      </c>
      <c r="H274" s="2">
        <v>45194</v>
      </c>
      <c r="I274" s="1">
        <v>126</v>
      </c>
      <c r="J274" s="1">
        <v>80.73</v>
      </c>
      <c r="K274" s="1">
        <v>72.989999999999995</v>
      </c>
    </row>
    <row r="275" spans="2:11" x14ac:dyDescent="0.25">
      <c r="B275" s="1" t="s">
        <v>297</v>
      </c>
      <c r="C275" s="1" t="s">
        <v>11</v>
      </c>
      <c r="D275" s="1" t="s">
        <v>31</v>
      </c>
      <c r="E275" s="1" t="s">
        <v>19</v>
      </c>
      <c r="F275" s="1" t="s">
        <v>14</v>
      </c>
      <c r="G275" s="1" t="s">
        <v>28</v>
      </c>
      <c r="H275" s="2">
        <v>45195</v>
      </c>
      <c r="I275" s="1">
        <v>395</v>
      </c>
      <c r="J275" s="1">
        <v>121.44</v>
      </c>
      <c r="K275" s="1">
        <v>13.57</v>
      </c>
    </row>
    <row r="276" spans="2:11" x14ac:dyDescent="0.25">
      <c r="B276" s="1" t="s">
        <v>298</v>
      </c>
      <c r="C276" s="1" t="s">
        <v>11</v>
      </c>
      <c r="D276" s="1" t="s">
        <v>18</v>
      </c>
      <c r="E276" s="1" t="s">
        <v>27</v>
      </c>
      <c r="F276" s="1" t="s">
        <v>24</v>
      </c>
      <c r="G276" s="1" t="s">
        <v>15</v>
      </c>
      <c r="H276" s="2">
        <v>45196</v>
      </c>
      <c r="I276" s="1">
        <v>353</v>
      </c>
      <c r="J276" s="1">
        <v>435.28</v>
      </c>
      <c r="K276" s="1">
        <v>68.42</v>
      </c>
    </row>
    <row r="277" spans="2:11" x14ac:dyDescent="0.25">
      <c r="B277" s="1" t="s">
        <v>299</v>
      </c>
      <c r="C277" s="1" t="s">
        <v>48</v>
      </c>
      <c r="D277" s="1" t="s">
        <v>31</v>
      </c>
      <c r="E277" s="1" t="s">
        <v>27</v>
      </c>
      <c r="F277" s="1" t="s">
        <v>24</v>
      </c>
      <c r="G277" s="1" t="s">
        <v>15</v>
      </c>
      <c r="H277" s="2">
        <v>45197</v>
      </c>
      <c r="I277" s="1">
        <v>81</v>
      </c>
      <c r="J277" s="1">
        <v>239.08</v>
      </c>
      <c r="K277" s="1">
        <v>74.17</v>
      </c>
    </row>
    <row r="278" spans="2:11" x14ac:dyDescent="0.25">
      <c r="B278" s="1" t="s">
        <v>300</v>
      </c>
      <c r="C278" s="1" t="s">
        <v>17</v>
      </c>
      <c r="D278" s="1" t="s">
        <v>12</v>
      </c>
      <c r="E278" s="1" t="s">
        <v>23</v>
      </c>
      <c r="F278" s="1" t="s">
        <v>24</v>
      </c>
      <c r="G278" s="1" t="s">
        <v>15</v>
      </c>
      <c r="H278" s="2">
        <v>45198</v>
      </c>
      <c r="I278" s="1">
        <v>404</v>
      </c>
      <c r="J278" s="1">
        <v>270</v>
      </c>
      <c r="K278" s="1">
        <v>156.29</v>
      </c>
    </row>
    <row r="279" spans="2:11" x14ac:dyDescent="0.25">
      <c r="B279" s="1" t="s">
        <v>301</v>
      </c>
      <c r="C279" s="1" t="s">
        <v>17</v>
      </c>
      <c r="D279" s="1" t="s">
        <v>26</v>
      </c>
      <c r="E279" s="1" t="s">
        <v>23</v>
      </c>
      <c r="F279" s="1" t="s">
        <v>24</v>
      </c>
      <c r="G279" s="1" t="s">
        <v>15</v>
      </c>
      <c r="H279" s="2">
        <v>45199</v>
      </c>
      <c r="I279" s="1">
        <v>73</v>
      </c>
      <c r="J279" s="1">
        <v>93.33</v>
      </c>
      <c r="K279" s="1">
        <v>162.13</v>
      </c>
    </row>
    <row r="280" spans="2:11" x14ac:dyDescent="0.25">
      <c r="B280" s="1" t="s">
        <v>302</v>
      </c>
      <c r="C280" s="1" t="s">
        <v>17</v>
      </c>
      <c r="D280" s="1" t="s">
        <v>18</v>
      </c>
      <c r="E280" s="1" t="s">
        <v>13</v>
      </c>
      <c r="F280" s="1" t="s">
        <v>14</v>
      </c>
      <c r="G280" s="1" t="s">
        <v>28</v>
      </c>
      <c r="H280" s="2">
        <v>45200</v>
      </c>
      <c r="I280" s="1">
        <v>214</v>
      </c>
      <c r="J280" s="1">
        <v>159.57</v>
      </c>
      <c r="K280" s="1">
        <v>349.96</v>
      </c>
    </row>
    <row r="281" spans="2:11" x14ac:dyDescent="0.25">
      <c r="B281" s="1" t="s">
        <v>303</v>
      </c>
      <c r="C281" s="1" t="s">
        <v>22</v>
      </c>
      <c r="D281" s="1" t="s">
        <v>50</v>
      </c>
      <c r="E281" s="1" t="s">
        <v>13</v>
      </c>
      <c r="F281" s="1" t="s">
        <v>24</v>
      </c>
      <c r="G281" s="1" t="s">
        <v>20</v>
      </c>
      <c r="H281" s="2">
        <v>45201</v>
      </c>
      <c r="I281" s="1">
        <v>218</v>
      </c>
      <c r="J281" s="1">
        <v>118.97</v>
      </c>
      <c r="K281" s="1">
        <v>205.02</v>
      </c>
    </row>
    <row r="282" spans="2:11" x14ac:dyDescent="0.25">
      <c r="B282" s="1" t="s">
        <v>304</v>
      </c>
      <c r="C282" s="1" t="s">
        <v>17</v>
      </c>
      <c r="D282" s="1" t="s">
        <v>12</v>
      </c>
      <c r="E282" s="1" t="s">
        <v>42</v>
      </c>
      <c r="F282" s="1" t="s">
        <v>24</v>
      </c>
      <c r="G282" s="1" t="s">
        <v>15</v>
      </c>
      <c r="H282" s="2">
        <v>45202</v>
      </c>
      <c r="I282" s="1">
        <v>81</v>
      </c>
      <c r="J282" s="1">
        <v>107.06</v>
      </c>
      <c r="K282" s="1">
        <v>289.92</v>
      </c>
    </row>
    <row r="283" spans="2:11" x14ac:dyDescent="0.25">
      <c r="B283" s="1" t="s">
        <v>305</v>
      </c>
      <c r="C283" s="1" t="s">
        <v>22</v>
      </c>
      <c r="D283" s="1" t="s">
        <v>18</v>
      </c>
      <c r="E283" s="1" t="s">
        <v>42</v>
      </c>
      <c r="F283" s="1" t="s">
        <v>24</v>
      </c>
      <c r="G283" s="1" t="s">
        <v>20</v>
      </c>
      <c r="H283" s="2">
        <v>45203</v>
      </c>
      <c r="I283" s="1">
        <v>286</v>
      </c>
      <c r="J283" s="1">
        <v>320.79000000000002</v>
      </c>
      <c r="K283" s="1">
        <v>43.45</v>
      </c>
    </row>
    <row r="284" spans="2:11" x14ac:dyDescent="0.25">
      <c r="B284" s="1" t="s">
        <v>306</v>
      </c>
      <c r="C284" s="1" t="s">
        <v>48</v>
      </c>
      <c r="D284" s="1" t="s">
        <v>50</v>
      </c>
      <c r="E284" s="1" t="s">
        <v>13</v>
      </c>
      <c r="F284" s="1" t="s">
        <v>14</v>
      </c>
      <c r="G284" s="1" t="s">
        <v>15</v>
      </c>
      <c r="H284" s="2">
        <v>45204</v>
      </c>
      <c r="I284" s="1">
        <v>283</v>
      </c>
      <c r="J284" s="1">
        <v>132.16</v>
      </c>
      <c r="K284" s="1">
        <v>91.72</v>
      </c>
    </row>
    <row r="285" spans="2:11" x14ac:dyDescent="0.25">
      <c r="B285" s="1" t="s">
        <v>307</v>
      </c>
      <c r="C285" s="1" t="s">
        <v>22</v>
      </c>
      <c r="D285" s="1" t="s">
        <v>18</v>
      </c>
      <c r="E285" s="1" t="s">
        <v>13</v>
      </c>
      <c r="F285" s="1" t="s">
        <v>14</v>
      </c>
      <c r="G285" s="1" t="s">
        <v>15</v>
      </c>
      <c r="H285" s="2">
        <v>45205</v>
      </c>
      <c r="I285" s="1">
        <v>487</v>
      </c>
      <c r="J285" s="1">
        <v>317.85000000000002</v>
      </c>
      <c r="K285" s="1">
        <v>281.77</v>
      </c>
    </row>
    <row r="286" spans="2:11" x14ac:dyDescent="0.25">
      <c r="B286" s="1" t="s">
        <v>308</v>
      </c>
      <c r="C286" s="1" t="s">
        <v>48</v>
      </c>
      <c r="D286" s="1" t="s">
        <v>31</v>
      </c>
      <c r="E286" s="1" t="s">
        <v>19</v>
      </c>
      <c r="F286" s="1" t="s">
        <v>24</v>
      </c>
      <c r="G286" s="1" t="s">
        <v>20</v>
      </c>
      <c r="H286" s="2">
        <v>45206</v>
      </c>
      <c r="I286" s="1">
        <v>329</v>
      </c>
      <c r="J286" s="1">
        <v>33.94</v>
      </c>
      <c r="K286" s="1">
        <v>23.02</v>
      </c>
    </row>
    <row r="287" spans="2:11" x14ac:dyDescent="0.25">
      <c r="B287" s="1" t="s">
        <v>309</v>
      </c>
      <c r="C287" s="1" t="s">
        <v>17</v>
      </c>
      <c r="D287" s="1" t="s">
        <v>18</v>
      </c>
      <c r="E287" s="1" t="s">
        <v>23</v>
      </c>
      <c r="F287" s="1" t="s">
        <v>14</v>
      </c>
      <c r="G287" s="1" t="s">
        <v>28</v>
      </c>
      <c r="H287" s="2">
        <v>45207</v>
      </c>
      <c r="I287" s="1">
        <v>347</v>
      </c>
      <c r="J287" s="1">
        <v>75.180000000000007</v>
      </c>
      <c r="K287" s="1">
        <v>195.67</v>
      </c>
    </row>
    <row r="288" spans="2:11" x14ac:dyDescent="0.25">
      <c r="B288" s="1" t="s">
        <v>310</v>
      </c>
      <c r="C288" s="1" t="s">
        <v>17</v>
      </c>
      <c r="D288" s="1" t="s">
        <v>18</v>
      </c>
      <c r="E288" s="1" t="s">
        <v>42</v>
      </c>
      <c r="F288" s="1" t="s">
        <v>24</v>
      </c>
      <c r="G288" s="1" t="s">
        <v>15</v>
      </c>
      <c r="H288" s="2">
        <v>45208</v>
      </c>
      <c r="I288" s="1">
        <v>375</v>
      </c>
      <c r="J288" s="1">
        <v>140.9</v>
      </c>
      <c r="K288" s="1">
        <v>240.55</v>
      </c>
    </row>
    <row r="289" spans="2:11" ht="15.75" thickBot="1" x14ac:dyDescent="0.3">
      <c r="B289" s="1" t="s">
        <v>311</v>
      </c>
      <c r="C289" s="1" t="s">
        <v>48</v>
      </c>
      <c r="D289" s="1" t="s">
        <v>18</v>
      </c>
      <c r="E289" s="1" t="s">
        <v>23</v>
      </c>
      <c r="F289" s="1" t="s">
        <v>14</v>
      </c>
      <c r="G289" s="1" t="s">
        <v>15</v>
      </c>
      <c r="H289" s="2">
        <v>45209</v>
      </c>
      <c r="I289" s="1">
        <v>104</v>
      </c>
      <c r="J289" s="1">
        <v>300.54000000000002</v>
      </c>
      <c r="K289" s="1">
        <v>241.65</v>
      </c>
    </row>
    <row r="290" spans="2:11" ht="15.75" thickBot="1" x14ac:dyDescent="0.3">
      <c r="B290" s="1" t="s">
        <v>312</v>
      </c>
      <c r="C290" s="1" t="s">
        <v>11</v>
      </c>
      <c r="D290" s="1" t="s">
        <v>12</v>
      </c>
      <c r="E290" s="5" t="s">
        <v>23</v>
      </c>
      <c r="F290" s="1" t="s">
        <v>14</v>
      </c>
      <c r="G290" s="1" t="s">
        <v>15</v>
      </c>
      <c r="H290" s="2">
        <v>45210</v>
      </c>
      <c r="I290" s="1">
        <v>175</v>
      </c>
      <c r="J290" s="1">
        <v>339.54</v>
      </c>
      <c r="K290" s="1">
        <v>11.13</v>
      </c>
    </row>
    <row r="291" spans="2:11" x14ac:dyDescent="0.25">
      <c r="B291" s="1" t="s">
        <v>313</v>
      </c>
      <c r="C291" s="1" t="s">
        <v>48</v>
      </c>
      <c r="D291" s="1" t="s">
        <v>18</v>
      </c>
      <c r="E291" s="1" t="s">
        <v>13</v>
      </c>
      <c r="F291" s="1" t="s">
        <v>14</v>
      </c>
      <c r="G291" s="1" t="s">
        <v>20</v>
      </c>
      <c r="H291" s="2">
        <v>45211</v>
      </c>
      <c r="I291" s="1">
        <v>41</v>
      </c>
      <c r="J291" s="1">
        <v>224.14</v>
      </c>
      <c r="K291" s="1">
        <v>130.19999999999999</v>
      </c>
    </row>
    <row r="292" spans="2:11" x14ac:dyDescent="0.25">
      <c r="B292" s="1" t="s">
        <v>314</v>
      </c>
      <c r="C292" s="1" t="s">
        <v>11</v>
      </c>
      <c r="D292" s="1" t="s">
        <v>50</v>
      </c>
      <c r="E292" s="1" t="s">
        <v>19</v>
      </c>
      <c r="F292" s="1" t="s">
        <v>14</v>
      </c>
      <c r="G292" s="1" t="s">
        <v>28</v>
      </c>
      <c r="H292" s="2">
        <v>45212</v>
      </c>
      <c r="I292" s="1">
        <v>20</v>
      </c>
      <c r="J292" s="1">
        <v>225.67</v>
      </c>
      <c r="K292" s="1">
        <v>255.32</v>
      </c>
    </row>
    <row r="293" spans="2:11" x14ac:dyDescent="0.25">
      <c r="B293" s="1" t="s">
        <v>315</v>
      </c>
      <c r="C293" s="1" t="s">
        <v>22</v>
      </c>
      <c r="D293" s="1" t="s">
        <v>31</v>
      </c>
      <c r="E293" s="1" t="s">
        <v>27</v>
      </c>
      <c r="F293" s="1" t="s">
        <v>24</v>
      </c>
      <c r="G293" s="1" t="s">
        <v>20</v>
      </c>
      <c r="H293" s="2">
        <v>45213</v>
      </c>
      <c r="I293" s="1">
        <v>310</v>
      </c>
      <c r="J293" s="1">
        <v>363.64</v>
      </c>
      <c r="K293" s="1">
        <v>61.3</v>
      </c>
    </row>
    <row r="294" spans="2:11" x14ac:dyDescent="0.25">
      <c r="B294" s="1" t="s">
        <v>316</v>
      </c>
      <c r="C294" s="1" t="s">
        <v>22</v>
      </c>
      <c r="D294" s="1" t="s">
        <v>31</v>
      </c>
      <c r="E294" s="1" t="s">
        <v>19</v>
      </c>
      <c r="F294" s="1" t="s">
        <v>24</v>
      </c>
      <c r="G294" s="1" t="s">
        <v>20</v>
      </c>
      <c r="H294" s="2">
        <v>45214</v>
      </c>
      <c r="I294" s="1">
        <v>226</v>
      </c>
      <c r="J294" s="1"/>
      <c r="K294" s="1">
        <v>278.77999999999997</v>
      </c>
    </row>
    <row r="295" spans="2:11" x14ac:dyDescent="0.25">
      <c r="B295" s="1" t="s">
        <v>317</v>
      </c>
      <c r="C295" s="1" t="s">
        <v>22</v>
      </c>
      <c r="D295" s="1" t="s">
        <v>18</v>
      </c>
      <c r="E295" s="1" t="s">
        <v>19</v>
      </c>
      <c r="F295" s="1" t="s">
        <v>24</v>
      </c>
      <c r="G295" s="1" t="s">
        <v>28</v>
      </c>
      <c r="H295" s="2">
        <v>45215</v>
      </c>
      <c r="I295" s="1"/>
      <c r="J295" s="1">
        <v>173.84</v>
      </c>
      <c r="K295" s="1">
        <v>298.88</v>
      </c>
    </row>
    <row r="296" spans="2:11" x14ac:dyDescent="0.25">
      <c r="B296" s="1" t="s">
        <v>318</v>
      </c>
      <c r="C296" s="1" t="s">
        <v>17</v>
      </c>
      <c r="D296" s="1" t="s">
        <v>12</v>
      </c>
      <c r="E296" s="1" t="s">
        <v>23</v>
      </c>
      <c r="F296" s="1" t="s">
        <v>14</v>
      </c>
      <c r="G296" s="1" t="s">
        <v>20</v>
      </c>
      <c r="H296" s="2">
        <v>45216</v>
      </c>
      <c r="I296" s="1">
        <v>111</v>
      </c>
      <c r="J296" s="1">
        <v>410.26</v>
      </c>
      <c r="K296" s="1">
        <v>392.82</v>
      </c>
    </row>
    <row r="297" spans="2:11" x14ac:dyDescent="0.25">
      <c r="B297" s="1" t="s">
        <v>319</v>
      </c>
      <c r="C297" s="1" t="s">
        <v>22</v>
      </c>
      <c r="D297" s="1" t="s">
        <v>12</v>
      </c>
      <c r="E297" s="1" t="s">
        <v>19</v>
      </c>
      <c r="F297" s="1" t="s">
        <v>24</v>
      </c>
      <c r="G297" s="1" t="s">
        <v>28</v>
      </c>
      <c r="H297" s="2">
        <v>45217</v>
      </c>
      <c r="I297" s="1">
        <v>434</v>
      </c>
      <c r="J297" s="1">
        <v>303.58999999999997</v>
      </c>
      <c r="K297" s="1">
        <v>85.52</v>
      </c>
    </row>
    <row r="298" spans="2:11" x14ac:dyDescent="0.25">
      <c r="B298" s="1" t="s">
        <v>320</v>
      </c>
      <c r="C298" s="1" t="s">
        <v>11</v>
      </c>
      <c r="D298" s="1" t="s">
        <v>50</v>
      </c>
      <c r="E298" s="1" t="s">
        <v>42</v>
      </c>
      <c r="F298" s="1" t="s">
        <v>24</v>
      </c>
      <c r="G298" s="1" t="s">
        <v>15</v>
      </c>
      <c r="H298" s="2">
        <v>45218</v>
      </c>
      <c r="I298" s="1">
        <v>401</v>
      </c>
      <c r="J298" s="1">
        <v>171.93</v>
      </c>
      <c r="K298" s="1">
        <v>330.4</v>
      </c>
    </row>
    <row r="299" spans="2:11" x14ac:dyDescent="0.25">
      <c r="B299" s="1" t="s">
        <v>321</v>
      </c>
      <c r="C299" s="1" t="s">
        <v>22</v>
      </c>
      <c r="D299" s="1" t="s">
        <v>18</v>
      </c>
      <c r="E299" s="1" t="s">
        <v>23</v>
      </c>
      <c r="F299" s="1" t="s">
        <v>24</v>
      </c>
      <c r="G299" s="1" t="s">
        <v>28</v>
      </c>
      <c r="H299" s="2">
        <v>45219</v>
      </c>
      <c r="I299" s="1">
        <v>276</v>
      </c>
      <c r="J299" s="1">
        <v>453.23</v>
      </c>
      <c r="K299" s="1">
        <v>209.08</v>
      </c>
    </row>
    <row r="300" spans="2:11" x14ac:dyDescent="0.25">
      <c r="B300" s="1" t="s">
        <v>322</v>
      </c>
      <c r="C300" s="1" t="s">
        <v>48</v>
      </c>
      <c r="D300" s="1" t="s">
        <v>31</v>
      </c>
      <c r="E300" s="1" t="s">
        <v>42</v>
      </c>
      <c r="F300" s="1" t="s">
        <v>14</v>
      </c>
      <c r="G300" s="1" t="s">
        <v>15</v>
      </c>
      <c r="H300" s="2">
        <v>45220</v>
      </c>
      <c r="I300" s="1"/>
      <c r="J300" s="1">
        <v>387.45</v>
      </c>
      <c r="K300" s="1">
        <v>150.63999999999999</v>
      </c>
    </row>
    <row r="301" spans="2:11" x14ac:dyDescent="0.25">
      <c r="B301" s="1" t="s">
        <v>323</v>
      </c>
      <c r="C301" s="1" t="s">
        <v>48</v>
      </c>
      <c r="D301" s="1" t="s">
        <v>12</v>
      </c>
      <c r="E301" s="1" t="s">
        <v>27</v>
      </c>
      <c r="F301" s="1" t="s">
        <v>14</v>
      </c>
      <c r="G301" s="1" t="s">
        <v>20</v>
      </c>
      <c r="H301" s="2">
        <v>45221</v>
      </c>
      <c r="I301" s="1">
        <v>188</v>
      </c>
      <c r="J301" s="1">
        <v>136.12</v>
      </c>
      <c r="K301" s="1">
        <v>50.71</v>
      </c>
    </row>
    <row r="302" spans="2:11" x14ac:dyDescent="0.25">
      <c r="B302" s="1" t="s">
        <v>324</v>
      </c>
      <c r="C302" s="1" t="s">
        <v>17</v>
      </c>
      <c r="D302" s="1" t="s">
        <v>18</v>
      </c>
      <c r="E302" s="1" t="s">
        <v>23</v>
      </c>
      <c r="F302" s="1" t="s">
        <v>14</v>
      </c>
      <c r="G302" s="1" t="s">
        <v>20</v>
      </c>
      <c r="H302" s="2">
        <v>45222</v>
      </c>
      <c r="I302" s="1">
        <v>97</v>
      </c>
      <c r="J302" s="1">
        <v>324.42</v>
      </c>
      <c r="K302" s="1">
        <v>294.73</v>
      </c>
    </row>
    <row r="303" spans="2:11" x14ac:dyDescent="0.25">
      <c r="B303" s="1" t="s">
        <v>325</v>
      </c>
      <c r="C303" s="1" t="s">
        <v>48</v>
      </c>
      <c r="D303" s="1" t="s">
        <v>12</v>
      </c>
      <c r="E303" s="1" t="s">
        <v>27</v>
      </c>
      <c r="F303" s="1" t="s">
        <v>24</v>
      </c>
      <c r="G303" s="1" t="s">
        <v>15</v>
      </c>
      <c r="H303" s="2">
        <v>45223</v>
      </c>
      <c r="I303" s="1">
        <v>50</v>
      </c>
      <c r="J303" s="1">
        <v>299.89999999999998</v>
      </c>
      <c r="K303" s="1">
        <v>95.87</v>
      </c>
    </row>
    <row r="304" spans="2:11" x14ac:dyDescent="0.25">
      <c r="B304" s="1" t="s">
        <v>326</v>
      </c>
      <c r="C304" s="1" t="s">
        <v>11</v>
      </c>
      <c r="D304" s="1" t="s">
        <v>12</v>
      </c>
      <c r="E304" s="1" t="s">
        <v>23</v>
      </c>
      <c r="F304" s="1" t="s">
        <v>24</v>
      </c>
      <c r="G304" s="1" t="s">
        <v>20</v>
      </c>
      <c r="H304" s="2">
        <v>45224</v>
      </c>
      <c r="I304" s="1">
        <v>410</v>
      </c>
      <c r="J304" s="1">
        <v>203.59</v>
      </c>
      <c r="K304" s="1">
        <v>149.83000000000001</v>
      </c>
    </row>
    <row r="305" spans="2:11" x14ac:dyDescent="0.25">
      <c r="B305" s="1" t="s">
        <v>327</v>
      </c>
      <c r="C305" s="1" t="s">
        <v>22</v>
      </c>
      <c r="D305" s="1" t="s">
        <v>31</v>
      </c>
      <c r="E305" s="1" t="s">
        <v>13</v>
      </c>
      <c r="F305" s="1" t="s">
        <v>24</v>
      </c>
      <c r="G305" s="1" t="s">
        <v>28</v>
      </c>
      <c r="H305" s="2">
        <v>45225</v>
      </c>
      <c r="I305" s="1">
        <v>85</v>
      </c>
      <c r="J305" s="1">
        <v>186.64</v>
      </c>
      <c r="K305" s="1">
        <v>26.89</v>
      </c>
    </row>
    <row r="306" spans="2:11" x14ac:dyDescent="0.25">
      <c r="B306" s="1" t="s">
        <v>328</v>
      </c>
      <c r="C306" s="1" t="s">
        <v>17</v>
      </c>
      <c r="D306" s="1" t="s">
        <v>26</v>
      </c>
      <c r="E306" s="1" t="s">
        <v>19</v>
      </c>
      <c r="F306" s="1" t="s">
        <v>14</v>
      </c>
      <c r="G306" s="1" t="s">
        <v>15</v>
      </c>
      <c r="H306" s="2">
        <v>45226</v>
      </c>
      <c r="I306" s="1">
        <v>386</v>
      </c>
      <c r="J306" s="1">
        <v>175.06</v>
      </c>
      <c r="K306" s="1">
        <v>320.94</v>
      </c>
    </row>
    <row r="307" spans="2:11" x14ac:dyDescent="0.25">
      <c r="B307" s="1" t="s">
        <v>329</v>
      </c>
      <c r="C307" s="1" t="s">
        <v>22</v>
      </c>
      <c r="D307" s="1" t="s">
        <v>50</v>
      </c>
      <c r="E307" s="1" t="s">
        <v>13</v>
      </c>
      <c r="F307" s="1" t="s">
        <v>14</v>
      </c>
      <c r="G307" s="1" t="s">
        <v>20</v>
      </c>
      <c r="H307" s="2">
        <v>45227</v>
      </c>
      <c r="I307" s="1">
        <v>55</v>
      </c>
      <c r="J307" s="1">
        <v>310.49</v>
      </c>
      <c r="K307" s="1">
        <v>307.10000000000002</v>
      </c>
    </row>
    <row r="308" spans="2:11" x14ac:dyDescent="0.25">
      <c r="B308" s="1" t="s">
        <v>330</v>
      </c>
      <c r="C308" s="1" t="s">
        <v>22</v>
      </c>
      <c r="D308" s="1" t="s">
        <v>50</v>
      </c>
      <c r="E308" s="1" t="s">
        <v>27</v>
      </c>
      <c r="F308" s="1" t="s">
        <v>24</v>
      </c>
      <c r="G308" s="1" t="s">
        <v>15</v>
      </c>
      <c r="H308" s="2">
        <v>45228</v>
      </c>
      <c r="I308" s="1">
        <v>169</v>
      </c>
      <c r="J308" s="1">
        <v>223.99</v>
      </c>
      <c r="K308" s="1">
        <v>293.98</v>
      </c>
    </row>
    <row r="309" spans="2:11" x14ac:dyDescent="0.25">
      <c r="B309" s="1" t="s">
        <v>331</v>
      </c>
      <c r="C309" s="1" t="s">
        <v>11</v>
      </c>
      <c r="D309" s="1" t="s">
        <v>31</v>
      </c>
      <c r="E309" s="1" t="s">
        <v>19</v>
      </c>
      <c r="F309" s="1" t="s">
        <v>14</v>
      </c>
      <c r="G309" s="1" t="s">
        <v>28</v>
      </c>
      <c r="H309" s="2">
        <v>45229</v>
      </c>
      <c r="I309" s="1">
        <v>472</v>
      </c>
      <c r="J309" s="1">
        <v>416.77</v>
      </c>
      <c r="K309" s="1">
        <v>121.18</v>
      </c>
    </row>
    <row r="310" spans="2:11" x14ac:dyDescent="0.25">
      <c r="B310" s="1" t="s">
        <v>332</v>
      </c>
      <c r="C310" s="1" t="s">
        <v>48</v>
      </c>
      <c r="D310" s="1" t="s">
        <v>12</v>
      </c>
      <c r="E310" s="1" t="s">
        <v>23</v>
      </c>
      <c r="F310" s="1" t="s">
        <v>14</v>
      </c>
      <c r="G310" s="1" t="s">
        <v>28</v>
      </c>
      <c r="H310" s="2">
        <v>45230</v>
      </c>
      <c r="I310" s="1">
        <v>89</v>
      </c>
      <c r="J310" s="1">
        <v>336.45</v>
      </c>
      <c r="K310" s="1">
        <v>71.05</v>
      </c>
    </row>
    <row r="311" spans="2:11" ht="15.75" thickBot="1" x14ac:dyDescent="0.3">
      <c r="B311" s="1" t="s">
        <v>333</v>
      </c>
      <c r="C311" s="1" t="s">
        <v>48</v>
      </c>
      <c r="D311" s="1" t="s">
        <v>18</v>
      </c>
      <c r="E311" s="1" t="s">
        <v>19</v>
      </c>
      <c r="F311" s="1" t="s">
        <v>14</v>
      </c>
      <c r="G311" s="1" t="s">
        <v>20</v>
      </c>
      <c r="H311" s="2">
        <v>45231</v>
      </c>
      <c r="I311" s="1">
        <v>319</v>
      </c>
      <c r="J311" s="1">
        <v>39.619999999999997</v>
      </c>
      <c r="K311" s="1">
        <v>255.75</v>
      </c>
    </row>
    <row r="312" spans="2:11" ht="15.75" thickBot="1" x14ac:dyDescent="0.3">
      <c r="B312" s="1" t="s">
        <v>334</v>
      </c>
      <c r="C312" s="1" t="s">
        <v>22</v>
      </c>
      <c r="D312" s="1" t="s">
        <v>12</v>
      </c>
      <c r="E312" s="5" t="s">
        <v>19</v>
      </c>
      <c r="F312" s="1" t="s">
        <v>14</v>
      </c>
      <c r="G312" s="1" t="s">
        <v>28</v>
      </c>
      <c r="H312" s="2">
        <v>45232</v>
      </c>
      <c r="I312" s="1">
        <v>95</v>
      </c>
      <c r="J312" s="1">
        <v>321.88</v>
      </c>
      <c r="K312" s="1">
        <v>199.47</v>
      </c>
    </row>
    <row r="313" spans="2:11" ht="15.75" thickBot="1" x14ac:dyDescent="0.3">
      <c r="B313" s="1" t="s">
        <v>335</v>
      </c>
      <c r="C313" s="1" t="s">
        <v>17</v>
      </c>
      <c r="D313" s="1" t="s">
        <v>31</v>
      </c>
      <c r="E313" s="5" t="s">
        <v>19</v>
      </c>
      <c r="F313" s="1" t="s">
        <v>24</v>
      </c>
      <c r="G313" s="1" t="s">
        <v>15</v>
      </c>
      <c r="H313" s="2">
        <v>45233</v>
      </c>
      <c r="I313" s="1">
        <v>101</v>
      </c>
      <c r="J313" s="1">
        <v>139.22</v>
      </c>
      <c r="K313" s="1">
        <v>72.94</v>
      </c>
    </row>
    <row r="314" spans="2:11" ht="15.75" thickBot="1" x14ac:dyDescent="0.3">
      <c r="B314" s="1" t="s">
        <v>336</v>
      </c>
      <c r="C314" s="1" t="s">
        <v>48</v>
      </c>
      <c r="D314" s="1" t="s">
        <v>50</v>
      </c>
      <c r="E314" s="5" t="s">
        <v>19</v>
      </c>
      <c r="F314" s="1" t="s">
        <v>14</v>
      </c>
      <c r="G314" s="1" t="s">
        <v>28</v>
      </c>
      <c r="H314" s="2">
        <v>45234</v>
      </c>
      <c r="I314" s="1">
        <v>157</v>
      </c>
      <c r="J314" s="1"/>
      <c r="K314" s="1">
        <v>274.99</v>
      </c>
    </row>
    <row r="315" spans="2:11" x14ac:dyDescent="0.25">
      <c r="B315" s="1" t="s">
        <v>337</v>
      </c>
      <c r="C315" s="1" t="s">
        <v>17</v>
      </c>
      <c r="D315" s="1" t="s">
        <v>12</v>
      </c>
      <c r="E315" s="1" t="s">
        <v>19</v>
      </c>
      <c r="F315" s="1" t="s">
        <v>14</v>
      </c>
      <c r="G315" s="1" t="s">
        <v>15</v>
      </c>
      <c r="H315" s="2">
        <v>45235</v>
      </c>
      <c r="I315" s="1">
        <v>170</v>
      </c>
      <c r="J315" s="1">
        <v>341.67</v>
      </c>
      <c r="K315" s="1">
        <v>396.47</v>
      </c>
    </row>
    <row r="316" spans="2:11" x14ac:dyDescent="0.25">
      <c r="B316" s="1" t="s">
        <v>338</v>
      </c>
      <c r="C316" s="1" t="s">
        <v>48</v>
      </c>
      <c r="D316" s="1" t="s">
        <v>50</v>
      </c>
      <c r="E316" s="1" t="s">
        <v>42</v>
      </c>
      <c r="F316" s="1" t="s">
        <v>14</v>
      </c>
      <c r="G316" s="1" t="s">
        <v>15</v>
      </c>
      <c r="H316" s="2">
        <v>45236</v>
      </c>
      <c r="I316" s="1">
        <v>211</v>
      </c>
      <c r="J316" s="1">
        <v>119.26</v>
      </c>
      <c r="K316" s="1">
        <v>299.39</v>
      </c>
    </row>
    <row r="317" spans="2:11" x14ac:dyDescent="0.25">
      <c r="B317" s="1" t="s">
        <v>339</v>
      </c>
      <c r="C317" s="1" t="s">
        <v>17</v>
      </c>
      <c r="D317" s="1" t="s">
        <v>18</v>
      </c>
      <c r="E317" s="1" t="s">
        <v>27</v>
      </c>
      <c r="F317" s="1" t="s">
        <v>14</v>
      </c>
      <c r="G317" s="1" t="s">
        <v>28</v>
      </c>
      <c r="H317" s="2">
        <v>45237</v>
      </c>
      <c r="I317" s="1">
        <v>433</v>
      </c>
      <c r="J317" s="1">
        <v>231.15</v>
      </c>
      <c r="K317" s="1">
        <v>296.51</v>
      </c>
    </row>
    <row r="318" spans="2:11" x14ac:dyDescent="0.25">
      <c r="B318" s="1" t="s">
        <v>340</v>
      </c>
      <c r="C318" s="1" t="s">
        <v>11</v>
      </c>
      <c r="D318" s="1" t="s">
        <v>50</v>
      </c>
      <c r="E318" s="1" t="s">
        <v>13</v>
      </c>
      <c r="F318" s="1" t="s">
        <v>24</v>
      </c>
      <c r="G318" s="1" t="s">
        <v>20</v>
      </c>
      <c r="H318" s="2">
        <v>45238</v>
      </c>
      <c r="I318" s="1">
        <v>425</v>
      </c>
      <c r="J318" s="1">
        <v>99.21</v>
      </c>
      <c r="K318" s="1">
        <v>380.22</v>
      </c>
    </row>
    <row r="319" spans="2:11" x14ac:dyDescent="0.25">
      <c r="B319" s="1" t="s">
        <v>341</v>
      </c>
      <c r="C319" s="1" t="s">
        <v>17</v>
      </c>
      <c r="D319" s="1" t="s">
        <v>50</v>
      </c>
      <c r="E319" s="1" t="s">
        <v>23</v>
      </c>
      <c r="F319" s="1" t="s">
        <v>24</v>
      </c>
      <c r="G319" s="1" t="s">
        <v>28</v>
      </c>
      <c r="H319" s="2">
        <v>45239</v>
      </c>
      <c r="I319" s="1">
        <v>251</v>
      </c>
      <c r="J319" s="1">
        <v>30.91</v>
      </c>
      <c r="K319" s="1">
        <v>82.77</v>
      </c>
    </row>
    <row r="320" spans="2:11" x14ac:dyDescent="0.25">
      <c r="B320" s="1" t="s">
        <v>342</v>
      </c>
      <c r="C320" s="1" t="s">
        <v>11</v>
      </c>
      <c r="D320" s="1" t="s">
        <v>26</v>
      </c>
      <c r="E320" s="1" t="s">
        <v>19</v>
      </c>
      <c r="F320" s="1" t="s">
        <v>14</v>
      </c>
      <c r="G320" s="1" t="s">
        <v>15</v>
      </c>
      <c r="H320" s="2">
        <v>45240</v>
      </c>
      <c r="I320" s="1"/>
      <c r="J320" s="1">
        <v>192.35</v>
      </c>
      <c r="K320" s="1">
        <v>227.09</v>
      </c>
    </row>
    <row r="321" spans="2:11" x14ac:dyDescent="0.25">
      <c r="B321" s="1" t="s">
        <v>343</v>
      </c>
      <c r="C321" s="1" t="s">
        <v>11</v>
      </c>
      <c r="D321" s="1" t="s">
        <v>26</v>
      </c>
      <c r="E321" s="1" t="s">
        <v>13</v>
      </c>
      <c r="F321" s="1" t="s">
        <v>14</v>
      </c>
      <c r="G321" s="1" t="s">
        <v>15</v>
      </c>
      <c r="H321" s="2">
        <v>45241</v>
      </c>
      <c r="I321" s="1">
        <v>11</v>
      </c>
      <c r="J321" s="1">
        <v>184.66</v>
      </c>
      <c r="K321" s="1">
        <v>391.9</v>
      </c>
    </row>
    <row r="322" spans="2:11" x14ac:dyDescent="0.25">
      <c r="B322" s="1" t="s">
        <v>344</v>
      </c>
      <c r="C322" s="1" t="s">
        <v>17</v>
      </c>
      <c r="D322" s="1" t="s">
        <v>26</v>
      </c>
      <c r="E322" s="1" t="s">
        <v>23</v>
      </c>
      <c r="F322" s="1" t="s">
        <v>14</v>
      </c>
      <c r="G322" s="1" t="s">
        <v>28</v>
      </c>
      <c r="H322" s="2">
        <v>45242</v>
      </c>
      <c r="I322" s="1">
        <v>234</v>
      </c>
      <c r="J322" s="1">
        <v>497.76</v>
      </c>
      <c r="K322" s="1">
        <v>67.790000000000006</v>
      </c>
    </row>
    <row r="323" spans="2:11" x14ac:dyDescent="0.25">
      <c r="B323" s="1" t="s">
        <v>345</v>
      </c>
      <c r="C323" s="1" t="s">
        <v>11</v>
      </c>
      <c r="D323" s="1" t="s">
        <v>50</v>
      </c>
      <c r="E323" s="1" t="s">
        <v>23</v>
      </c>
      <c r="F323" s="1" t="s">
        <v>14</v>
      </c>
      <c r="G323" s="1" t="s">
        <v>20</v>
      </c>
      <c r="H323" s="2">
        <v>45243</v>
      </c>
      <c r="I323" s="1"/>
      <c r="J323" s="1">
        <v>225.94</v>
      </c>
      <c r="K323" s="1">
        <v>280.7</v>
      </c>
    </row>
    <row r="324" spans="2:11" x14ac:dyDescent="0.25">
      <c r="B324" s="1" t="s">
        <v>346</v>
      </c>
      <c r="C324" s="1" t="s">
        <v>22</v>
      </c>
      <c r="D324" s="1" t="s">
        <v>31</v>
      </c>
      <c r="E324" s="1" t="s">
        <v>42</v>
      </c>
      <c r="F324" s="1" t="s">
        <v>14</v>
      </c>
      <c r="G324" s="1" t="s">
        <v>20</v>
      </c>
      <c r="H324" s="2">
        <v>45244</v>
      </c>
      <c r="I324" s="1">
        <v>242</v>
      </c>
      <c r="J324" s="1">
        <v>170.12</v>
      </c>
      <c r="K324" s="1">
        <v>235.15</v>
      </c>
    </row>
    <row r="325" spans="2:11" x14ac:dyDescent="0.25">
      <c r="B325" s="1" t="s">
        <v>347</v>
      </c>
      <c r="C325" s="1" t="s">
        <v>11</v>
      </c>
      <c r="D325" s="1" t="s">
        <v>50</v>
      </c>
      <c r="E325" s="1" t="s">
        <v>27</v>
      </c>
      <c r="F325" s="1" t="s">
        <v>14</v>
      </c>
      <c r="G325" s="1" t="s">
        <v>15</v>
      </c>
      <c r="H325" s="2">
        <v>45245</v>
      </c>
      <c r="I325" s="1">
        <v>470</v>
      </c>
      <c r="J325" s="1">
        <v>292.33999999999997</v>
      </c>
      <c r="K325" s="1">
        <v>235.42</v>
      </c>
    </row>
    <row r="326" spans="2:11" x14ac:dyDescent="0.25">
      <c r="B326" s="1" t="s">
        <v>348</v>
      </c>
      <c r="C326" s="1" t="s">
        <v>48</v>
      </c>
      <c r="D326" s="1" t="s">
        <v>31</v>
      </c>
      <c r="E326" s="1" t="s">
        <v>27</v>
      </c>
      <c r="F326" s="1" t="s">
        <v>24</v>
      </c>
      <c r="G326" s="1" t="s">
        <v>15</v>
      </c>
      <c r="H326" s="2">
        <v>45246</v>
      </c>
      <c r="I326" s="1">
        <v>423</v>
      </c>
      <c r="J326" s="1">
        <v>48.94</v>
      </c>
      <c r="K326" s="1">
        <v>279.67</v>
      </c>
    </row>
    <row r="327" spans="2:11" x14ac:dyDescent="0.25">
      <c r="B327" s="1" t="s">
        <v>349</v>
      </c>
      <c r="C327" s="1" t="s">
        <v>17</v>
      </c>
      <c r="D327" s="1" t="s">
        <v>31</v>
      </c>
      <c r="E327" s="1" t="s">
        <v>13</v>
      </c>
      <c r="F327" s="1" t="s">
        <v>14</v>
      </c>
      <c r="G327" s="1" t="s">
        <v>20</v>
      </c>
      <c r="H327" s="2">
        <v>45247</v>
      </c>
      <c r="I327" s="1">
        <v>426</v>
      </c>
      <c r="J327" s="1">
        <v>481.02</v>
      </c>
      <c r="K327" s="1">
        <v>371.99</v>
      </c>
    </row>
    <row r="328" spans="2:11" x14ac:dyDescent="0.25">
      <c r="B328" s="1" t="s">
        <v>350</v>
      </c>
      <c r="C328" s="1" t="s">
        <v>22</v>
      </c>
      <c r="D328" s="1" t="s">
        <v>26</v>
      </c>
      <c r="E328" s="1" t="s">
        <v>27</v>
      </c>
      <c r="F328" s="1" t="s">
        <v>24</v>
      </c>
      <c r="G328" s="1" t="s">
        <v>28</v>
      </c>
      <c r="H328" s="2">
        <v>45248</v>
      </c>
      <c r="I328" s="1">
        <v>86</v>
      </c>
      <c r="J328" s="1">
        <v>319.31</v>
      </c>
      <c r="K328" s="1">
        <v>313.47000000000003</v>
      </c>
    </row>
    <row r="329" spans="2:11" ht="15.75" thickBot="1" x14ac:dyDescent="0.3">
      <c r="B329" s="1" t="s">
        <v>351</v>
      </c>
      <c r="C329" s="1" t="s">
        <v>17</v>
      </c>
      <c r="D329" s="1" t="s">
        <v>12</v>
      </c>
      <c r="E329" s="1" t="s">
        <v>19</v>
      </c>
      <c r="F329" s="1" t="s">
        <v>24</v>
      </c>
      <c r="G329" s="1" t="s">
        <v>15</v>
      </c>
      <c r="H329" s="2">
        <v>45249</v>
      </c>
      <c r="I329" s="1">
        <v>125</v>
      </c>
      <c r="J329" s="1">
        <v>378.64</v>
      </c>
      <c r="K329" s="1">
        <v>24.34</v>
      </c>
    </row>
    <row r="330" spans="2:11" ht="15.75" thickBot="1" x14ac:dyDescent="0.3">
      <c r="B330" s="1" t="s">
        <v>352</v>
      </c>
      <c r="C330" s="1" t="s">
        <v>48</v>
      </c>
      <c r="D330" s="1" t="s">
        <v>18</v>
      </c>
      <c r="E330" s="5" t="s">
        <v>19</v>
      </c>
      <c r="F330" s="1" t="s">
        <v>14</v>
      </c>
      <c r="G330" s="1" t="s">
        <v>15</v>
      </c>
      <c r="H330" s="2">
        <v>45250</v>
      </c>
      <c r="I330" s="1">
        <v>163</v>
      </c>
      <c r="J330" s="1">
        <v>89.39</v>
      </c>
      <c r="K330" s="1">
        <v>341.39</v>
      </c>
    </row>
    <row r="331" spans="2:11" x14ac:dyDescent="0.25">
      <c r="B331" s="1" t="s">
        <v>353</v>
      </c>
      <c r="C331" s="1" t="s">
        <v>48</v>
      </c>
      <c r="D331" s="1" t="s">
        <v>26</v>
      </c>
      <c r="E331" s="1" t="s">
        <v>13</v>
      </c>
      <c r="F331" s="1" t="s">
        <v>24</v>
      </c>
      <c r="G331" s="1" t="s">
        <v>20</v>
      </c>
      <c r="H331" s="2">
        <v>45251</v>
      </c>
      <c r="I331" s="1">
        <v>415</v>
      </c>
      <c r="J331" s="1">
        <v>207.69</v>
      </c>
      <c r="K331" s="1">
        <v>91.77</v>
      </c>
    </row>
    <row r="332" spans="2:11" x14ac:dyDescent="0.25">
      <c r="B332" s="1" t="s">
        <v>354</v>
      </c>
      <c r="C332" s="1" t="s">
        <v>48</v>
      </c>
      <c r="D332" s="1" t="s">
        <v>26</v>
      </c>
      <c r="E332" s="1" t="s">
        <v>27</v>
      </c>
      <c r="F332" s="1" t="s">
        <v>24</v>
      </c>
      <c r="G332" s="1" t="s">
        <v>28</v>
      </c>
      <c r="H332" s="2">
        <v>45252</v>
      </c>
      <c r="I332" s="1">
        <v>112</v>
      </c>
      <c r="J332" s="1">
        <v>214.23</v>
      </c>
      <c r="K332" s="1">
        <v>152.01</v>
      </c>
    </row>
    <row r="333" spans="2:11" x14ac:dyDescent="0.25">
      <c r="B333" s="1" t="s">
        <v>355</v>
      </c>
      <c r="C333" s="1" t="s">
        <v>11</v>
      </c>
      <c r="D333" s="1" t="s">
        <v>12</v>
      </c>
      <c r="E333" s="1" t="s">
        <v>19</v>
      </c>
      <c r="F333" s="1" t="s">
        <v>24</v>
      </c>
      <c r="G333" s="1" t="s">
        <v>20</v>
      </c>
      <c r="H333" s="2">
        <v>45253</v>
      </c>
      <c r="I333" s="1">
        <v>203</v>
      </c>
      <c r="J333" s="1">
        <v>411.79</v>
      </c>
      <c r="K333" s="1">
        <v>185.77</v>
      </c>
    </row>
    <row r="334" spans="2:11" x14ac:dyDescent="0.25">
      <c r="B334" s="1" t="s">
        <v>356</v>
      </c>
      <c r="C334" s="1" t="s">
        <v>11</v>
      </c>
      <c r="D334" s="1" t="s">
        <v>18</v>
      </c>
      <c r="E334" s="1" t="s">
        <v>42</v>
      </c>
      <c r="F334" s="1" t="s">
        <v>24</v>
      </c>
      <c r="G334" s="1" t="s">
        <v>28</v>
      </c>
      <c r="H334" s="2">
        <v>45254</v>
      </c>
      <c r="I334" s="1"/>
      <c r="J334" s="1">
        <v>5.61</v>
      </c>
      <c r="K334" s="1">
        <v>193.4</v>
      </c>
    </row>
    <row r="335" spans="2:11" x14ac:dyDescent="0.25">
      <c r="B335" s="1" t="s">
        <v>357</v>
      </c>
      <c r="C335" s="1" t="s">
        <v>17</v>
      </c>
      <c r="D335" s="1" t="s">
        <v>50</v>
      </c>
      <c r="E335" s="1" t="s">
        <v>13</v>
      </c>
      <c r="F335" s="1" t="s">
        <v>24</v>
      </c>
      <c r="G335" s="1" t="s">
        <v>28</v>
      </c>
      <c r="H335" s="2">
        <v>45255</v>
      </c>
      <c r="I335" s="1">
        <v>368</v>
      </c>
      <c r="J335" s="1">
        <v>153.91999999999999</v>
      </c>
      <c r="K335" s="1">
        <v>175.2</v>
      </c>
    </row>
    <row r="336" spans="2:11" x14ac:dyDescent="0.25">
      <c r="B336" s="1" t="s">
        <v>358</v>
      </c>
      <c r="C336" s="1" t="s">
        <v>17</v>
      </c>
      <c r="D336" s="1" t="s">
        <v>50</v>
      </c>
      <c r="E336" s="1" t="s">
        <v>42</v>
      </c>
      <c r="F336" s="1" t="s">
        <v>24</v>
      </c>
      <c r="G336" s="1" t="s">
        <v>28</v>
      </c>
      <c r="H336" s="2">
        <v>45256</v>
      </c>
      <c r="I336" s="1">
        <v>99</v>
      </c>
      <c r="J336" s="1">
        <v>490.71</v>
      </c>
      <c r="K336" s="1">
        <v>375.07</v>
      </c>
    </row>
    <row r="337" spans="2:11" ht="15.75" thickBot="1" x14ac:dyDescent="0.3">
      <c r="B337" s="1" t="s">
        <v>359</v>
      </c>
      <c r="C337" s="1" t="s">
        <v>22</v>
      </c>
      <c r="D337" s="1" t="s">
        <v>26</v>
      </c>
      <c r="E337" s="1" t="s">
        <v>42</v>
      </c>
      <c r="F337" s="1" t="s">
        <v>14</v>
      </c>
      <c r="G337" s="1" t="s">
        <v>15</v>
      </c>
      <c r="H337" s="2">
        <v>45257</v>
      </c>
      <c r="I337" s="1">
        <v>183</v>
      </c>
      <c r="J337" s="1">
        <v>240.07</v>
      </c>
      <c r="K337" s="1">
        <v>283</v>
      </c>
    </row>
    <row r="338" spans="2:11" ht="15.75" thickBot="1" x14ac:dyDescent="0.3">
      <c r="B338" s="1" t="s">
        <v>360</v>
      </c>
      <c r="C338" s="5" t="s">
        <v>22</v>
      </c>
      <c r="D338" s="1" t="s">
        <v>18</v>
      </c>
      <c r="E338" s="1" t="s">
        <v>42</v>
      </c>
      <c r="F338" s="1" t="s">
        <v>24</v>
      </c>
      <c r="G338" s="1" t="s">
        <v>20</v>
      </c>
      <c r="H338" s="2">
        <v>45258</v>
      </c>
      <c r="I338" s="1">
        <v>131</v>
      </c>
      <c r="J338" s="1">
        <v>194.35</v>
      </c>
      <c r="K338" s="1">
        <v>253.21</v>
      </c>
    </row>
    <row r="339" spans="2:11" x14ac:dyDescent="0.25">
      <c r="B339" s="1" t="s">
        <v>361</v>
      </c>
      <c r="C339" s="1" t="s">
        <v>17</v>
      </c>
      <c r="D339" s="1" t="s">
        <v>26</v>
      </c>
      <c r="E339" s="1" t="s">
        <v>23</v>
      </c>
      <c r="F339" s="1" t="s">
        <v>24</v>
      </c>
      <c r="G339" s="1" t="s">
        <v>20</v>
      </c>
      <c r="H339" s="2">
        <v>45259</v>
      </c>
      <c r="I339" s="1">
        <v>152</v>
      </c>
      <c r="J339" s="1">
        <v>64.319999999999993</v>
      </c>
      <c r="K339" s="1">
        <v>21.84</v>
      </c>
    </row>
    <row r="340" spans="2:11" x14ac:dyDescent="0.25">
      <c r="B340" s="1" t="s">
        <v>362</v>
      </c>
      <c r="C340" s="1" t="s">
        <v>11</v>
      </c>
      <c r="D340" s="1" t="s">
        <v>31</v>
      </c>
      <c r="E340" s="1" t="s">
        <v>23</v>
      </c>
      <c r="F340" s="1" t="s">
        <v>24</v>
      </c>
      <c r="G340" s="1" t="s">
        <v>28</v>
      </c>
      <c r="H340" s="2">
        <v>45260</v>
      </c>
      <c r="I340" s="1">
        <v>491</v>
      </c>
      <c r="J340" s="1">
        <v>487.21</v>
      </c>
      <c r="K340" s="1">
        <v>361.76</v>
      </c>
    </row>
    <row r="341" spans="2:11" x14ac:dyDescent="0.25">
      <c r="B341" s="1" t="s">
        <v>363</v>
      </c>
      <c r="C341" s="1" t="s">
        <v>48</v>
      </c>
      <c r="D341" s="1" t="s">
        <v>26</v>
      </c>
      <c r="E341" s="1" t="s">
        <v>42</v>
      </c>
      <c r="F341" s="1" t="s">
        <v>14</v>
      </c>
      <c r="G341" s="1" t="s">
        <v>15</v>
      </c>
      <c r="H341" s="2">
        <v>45261</v>
      </c>
      <c r="I341" s="1">
        <v>115</v>
      </c>
      <c r="J341" s="1">
        <v>14.91</v>
      </c>
      <c r="K341" s="1">
        <v>363.94</v>
      </c>
    </row>
    <row r="342" spans="2:11" x14ac:dyDescent="0.25">
      <c r="B342" s="1" t="s">
        <v>364</v>
      </c>
      <c r="C342" s="1" t="s">
        <v>17</v>
      </c>
      <c r="D342" s="1" t="s">
        <v>26</v>
      </c>
      <c r="E342" s="1" t="s">
        <v>13</v>
      </c>
      <c r="F342" s="1" t="s">
        <v>24</v>
      </c>
      <c r="G342" s="1" t="s">
        <v>15</v>
      </c>
      <c r="H342" s="2">
        <v>45262</v>
      </c>
      <c r="I342" s="1">
        <v>384</v>
      </c>
      <c r="J342" s="1">
        <v>369.9</v>
      </c>
      <c r="K342" s="1">
        <v>312.52</v>
      </c>
    </row>
    <row r="343" spans="2:11" x14ac:dyDescent="0.25">
      <c r="B343" s="1" t="s">
        <v>365</v>
      </c>
      <c r="C343" s="1" t="s">
        <v>22</v>
      </c>
      <c r="D343" s="1" t="s">
        <v>50</v>
      </c>
      <c r="E343" s="1" t="s">
        <v>19</v>
      </c>
      <c r="F343" s="1" t="s">
        <v>14</v>
      </c>
      <c r="G343" s="1" t="s">
        <v>20</v>
      </c>
      <c r="H343" s="2">
        <v>45263</v>
      </c>
      <c r="I343" s="1">
        <v>437</v>
      </c>
      <c r="J343" s="1">
        <v>385.46</v>
      </c>
      <c r="K343" s="1">
        <v>4.8</v>
      </c>
    </row>
    <row r="344" spans="2:11" x14ac:dyDescent="0.25">
      <c r="B344" s="1" t="s">
        <v>366</v>
      </c>
      <c r="C344" s="1" t="s">
        <v>11</v>
      </c>
      <c r="D344" s="1" t="s">
        <v>50</v>
      </c>
      <c r="E344" s="1" t="s">
        <v>19</v>
      </c>
      <c r="F344" s="1" t="s">
        <v>24</v>
      </c>
      <c r="G344" s="1" t="s">
        <v>15</v>
      </c>
      <c r="H344" s="2">
        <v>45264</v>
      </c>
      <c r="I344" s="1">
        <v>314</v>
      </c>
      <c r="J344" s="1">
        <v>125.61</v>
      </c>
      <c r="K344" s="1">
        <v>24.8</v>
      </c>
    </row>
    <row r="345" spans="2:11" x14ac:dyDescent="0.25">
      <c r="B345" s="1" t="s">
        <v>367</v>
      </c>
      <c r="C345" s="1" t="s">
        <v>17</v>
      </c>
      <c r="D345" s="1" t="s">
        <v>50</v>
      </c>
      <c r="E345" s="1" t="s">
        <v>27</v>
      </c>
      <c r="F345" s="1" t="s">
        <v>14</v>
      </c>
      <c r="G345" s="1" t="s">
        <v>15</v>
      </c>
      <c r="H345" s="2">
        <v>45265</v>
      </c>
      <c r="I345" s="1">
        <v>369</v>
      </c>
      <c r="J345" s="1">
        <v>337.42</v>
      </c>
      <c r="K345" s="1">
        <v>91.64</v>
      </c>
    </row>
    <row r="346" spans="2:11" x14ac:dyDescent="0.25">
      <c r="B346" s="1" t="s">
        <v>368</v>
      </c>
      <c r="C346" s="1" t="s">
        <v>17</v>
      </c>
      <c r="D346" s="1" t="s">
        <v>31</v>
      </c>
      <c r="E346" s="1" t="s">
        <v>13</v>
      </c>
      <c r="F346" s="1" t="s">
        <v>14</v>
      </c>
      <c r="G346" s="1" t="s">
        <v>28</v>
      </c>
      <c r="H346" s="2">
        <v>45266</v>
      </c>
      <c r="I346" s="1">
        <v>468</v>
      </c>
      <c r="J346" s="1">
        <v>51</v>
      </c>
      <c r="K346" s="1">
        <v>54.28</v>
      </c>
    </row>
    <row r="347" spans="2:11" x14ac:dyDescent="0.25">
      <c r="B347" s="1" t="s">
        <v>369</v>
      </c>
      <c r="C347" s="1" t="s">
        <v>11</v>
      </c>
      <c r="D347" s="1" t="s">
        <v>50</v>
      </c>
      <c r="E347" s="1" t="s">
        <v>23</v>
      </c>
      <c r="F347" s="1" t="s">
        <v>24</v>
      </c>
      <c r="G347" s="1" t="s">
        <v>15</v>
      </c>
      <c r="H347" s="2">
        <v>45267</v>
      </c>
      <c r="I347" s="1">
        <v>326</v>
      </c>
      <c r="J347" s="1">
        <v>132.24</v>
      </c>
      <c r="K347" s="1">
        <v>160.74</v>
      </c>
    </row>
    <row r="348" spans="2:11" x14ac:dyDescent="0.25">
      <c r="B348" s="1" t="s">
        <v>370</v>
      </c>
      <c r="C348" s="1" t="s">
        <v>17</v>
      </c>
      <c r="D348" s="1" t="s">
        <v>18</v>
      </c>
      <c r="E348" s="1" t="s">
        <v>42</v>
      </c>
      <c r="F348" s="1" t="s">
        <v>24</v>
      </c>
      <c r="G348" s="1" t="s">
        <v>28</v>
      </c>
      <c r="H348" s="2">
        <v>45268</v>
      </c>
      <c r="I348" s="1">
        <v>460</v>
      </c>
      <c r="J348" s="1">
        <v>395.01</v>
      </c>
      <c r="K348" s="1">
        <v>369.2</v>
      </c>
    </row>
    <row r="349" spans="2:11" x14ac:dyDescent="0.25">
      <c r="B349" s="1" t="s">
        <v>371</v>
      </c>
      <c r="C349" s="1" t="s">
        <v>11</v>
      </c>
      <c r="D349" s="1" t="s">
        <v>12</v>
      </c>
      <c r="E349" s="1" t="s">
        <v>27</v>
      </c>
      <c r="F349" s="1" t="s">
        <v>14</v>
      </c>
      <c r="G349" s="1" t="s">
        <v>20</v>
      </c>
      <c r="H349" s="2">
        <v>45269</v>
      </c>
      <c r="I349" s="1">
        <v>132</v>
      </c>
      <c r="J349" s="1">
        <v>433.02</v>
      </c>
      <c r="K349" s="1">
        <v>189.88</v>
      </c>
    </row>
    <row r="350" spans="2:11" x14ac:dyDescent="0.25">
      <c r="B350" s="1" t="s">
        <v>372</v>
      </c>
      <c r="C350" s="1" t="s">
        <v>48</v>
      </c>
      <c r="D350" s="1" t="s">
        <v>18</v>
      </c>
      <c r="E350" s="1" t="s">
        <v>19</v>
      </c>
      <c r="F350" s="1" t="s">
        <v>24</v>
      </c>
      <c r="G350" s="1" t="s">
        <v>15</v>
      </c>
      <c r="H350" s="2">
        <v>45270</v>
      </c>
      <c r="I350" s="1">
        <v>399</v>
      </c>
      <c r="J350" s="1">
        <v>306.2</v>
      </c>
      <c r="K350" s="1">
        <v>7.33</v>
      </c>
    </row>
    <row r="351" spans="2:11" x14ac:dyDescent="0.25">
      <c r="B351" s="1" t="s">
        <v>373</v>
      </c>
      <c r="C351" s="1" t="s">
        <v>11</v>
      </c>
      <c r="D351" s="1" t="s">
        <v>18</v>
      </c>
      <c r="E351" s="1" t="s">
        <v>23</v>
      </c>
      <c r="F351" s="1" t="s">
        <v>14</v>
      </c>
      <c r="G351" s="1" t="s">
        <v>20</v>
      </c>
      <c r="H351" s="2">
        <v>45271</v>
      </c>
      <c r="I351" s="1">
        <v>18</v>
      </c>
      <c r="J351" s="1">
        <v>255.89</v>
      </c>
      <c r="K351" s="1">
        <v>114.53</v>
      </c>
    </row>
    <row r="352" spans="2:11" ht="15.75" thickBot="1" x14ac:dyDescent="0.3">
      <c r="B352" s="1" t="s">
        <v>374</v>
      </c>
      <c r="C352" s="1" t="s">
        <v>11</v>
      </c>
      <c r="D352" s="1" t="s">
        <v>50</v>
      </c>
      <c r="E352" s="1" t="s">
        <v>23</v>
      </c>
      <c r="F352" s="1" t="s">
        <v>14</v>
      </c>
      <c r="G352" s="1" t="s">
        <v>20</v>
      </c>
      <c r="H352" s="2">
        <v>45272</v>
      </c>
      <c r="I352" s="1">
        <v>271</v>
      </c>
      <c r="J352" s="1">
        <v>83.86</v>
      </c>
      <c r="K352" s="1">
        <v>19.75</v>
      </c>
    </row>
    <row r="353" spans="2:11" ht="15.75" thickBot="1" x14ac:dyDescent="0.3">
      <c r="B353" s="1" t="s">
        <v>375</v>
      </c>
      <c r="C353" s="5" t="s">
        <v>11</v>
      </c>
      <c r="D353" s="1" t="s">
        <v>12</v>
      </c>
      <c r="E353" s="1" t="s">
        <v>42</v>
      </c>
      <c r="F353" s="1" t="s">
        <v>14</v>
      </c>
      <c r="G353" s="1" t="s">
        <v>15</v>
      </c>
      <c r="H353" s="2">
        <v>45273</v>
      </c>
      <c r="I353" s="1">
        <v>82</v>
      </c>
      <c r="J353" s="1">
        <v>36.24</v>
      </c>
      <c r="K353" s="1">
        <v>16.440000000000001</v>
      </c>
    </row>
    <row r="354" spans="2:11" x14ac:dyDescent="0.25">
      <c r="B354" s="1" t="s">
        <v>376</v>
      </c>
      <c r="C354" s="1" t="s">
        <v>17</v>
      </c>
      <c r="D354" s="1" t="s">
        <v>12</v>
      </c>
      <c r="E354" s="1" t="s">
        <v>19</v>
      </c>
      <c r="F354" s="1" t="s">
        <v>14</v>
      </c>
      <c r="G354" s="1" t="s">
        <v>15</v>
      </c>
      <c r="H354" s="2">
        <v>45274</v>
      </c>
      <c r="I354" s="1">
        <v>368</v>
      </c>
      <c r="J354" s="1">
        <v>63.24</v>
      </c>
      <c r="K354" s="1">
        <v>111.74</v>
      </c>
    </row>
    <row r="355" spans="2:11" x14ac:dyDescent="0.25">
      <c r="B355" s="1" t="s">
        <v>377</v>
      </c>
      <c r="C355" s="1" t="s">
        <v>17</v>
      </c>
      <c r="D355" s="1" t="s">
        <v>12</v>
      </c>
      <c r="E355" s="1" t="s">
        <v>13</v>
      </c>
      <c r="F355" s="1" t="s">
        <v>14</v>
      </c>
      <c r="G355" s="1" t="s">
        <v>20</v>
      </c>
      <c r="H355" s="2">
        <v>45275</v>
      </c>
      <c r="I355" s="1">
        <v>232</v>
      </c>
      <c r="J355" s="1">
        <v>117.54</v>
      </c>
      <c r="K355" s="1">
        <v>111.69</v>
      </c>
    </row>
    <row r="356" spans="2:11" x14ac:dyDescent="0.25">
      <c r="B356" s="1" t="s">
        <v>378</v>
      </c>
      <c r="C356" s="1" t="s">
        <v>11</v>
      </c>
      <c r="D356" s="1" t="s">
        <v>31</v>
      </c>
      <c r="E356" s="1" t="s">
        <v>23</v>
      </c>
      <c r="F356" s="1" t="s">
        <v>24</v>
      </c>
      <c r="G356" s="1" t="s">
        <v>15</v>
      </c>
      <c r="H356" s="2">
        <v>45276</v>
      </c>
      <c r="I356" s="1">
        <v>425</v>
      </c>
      <c r="J356" s="1">
        <v>174.13</v>
      </c>
      <c r="K356" s="1">
        <v>315.27999999999997</v>
      </c>
    </row>
  </sheetData>
  <autoFilter ref="B6:L356" xr:uid="{DBED33C5-2B83-45A3-815E-BC113EB9D687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FEBC7-E222-44CD-A4FB-5E6F9CFC36EB}">
  <dimension ref="A2:O356"/>
  <sheetViews>
    <sheetView workbookViewId="0">
      <selection activeCell="N7" sqref="N7"/>
    </sheetView>
  </sheetViews>
  <sheetFormatPr defaultRowHeight="15" x14ac:dyDescent="0.25"/>
  <cols>
    <col min="8" max="8" width="15.85546875" bestFit="1" customWidth="1"/>
    <col min="14" max="14" width="12.7109375" bestFit="1" customWidth="1"/>
    <col min="15" max="15" width="12.42578125" bestFit="1" customWidth="1"/>
  </cols>
  <sheetData>
    <row r="2" spans="1:15" ht="21" x14ac:dyDescent="0.35">
      <c r="A2" s="4" t="s">
        <v>379</v>
      </c>
      <c r="B2" s="4" t="s">
        <v>383</v>
      </c>
    </row>
    <row r="4" spans="1:15" ht="21" x14ac:dyDescent="0.35">
      <c r="A4" s="4" t="s">
        <v>381</v>
      </c>
    </row>
    <row r="6" spans="1:15" ht="18.75" x14ac:dyDescent="0.3">
      <c r="B6" s="3" t="s">
        <v>0</v>
      </c>
      <c r="C6" s="3" t="s">
        <v>1</v>
      </c>
      <c r="D6" s="3" t="s">
        <v>2</v>
      </c>
      <c r="E6" s="3" t="s">
        <v>3</v>
      </c>
      <c r="F6" s="3" t="s">
        <v>4</v>
      </c>
      <c r="G6" s="3" t="s">
        <v>5</v>
      </c>
      <c r="H6" s="3" t="s">
        <v>6</v>
      </c>
      <c r="I6" s="3" t="s">
        <v>7</v>
      </c>
      <c r="J6" s="3" t="s">
        <v>8</v>
      </c>
      <c r="K6" s="3" t="s">
        <v>9</v>
      </c>
      <c r="N6" s="13" t="s">
        <v>7</v>
      </c>
      <c r="O6" s="13" t="s">
        <v>8</v>
      </c>
    </row>
    <row r="7" spans="1:15" ht="18.75" x14ac:dyDescent="0.3">
      <c r="B7" s="7" t="s">
        <v>10</v>
      </c>
      <c r="C7" s="7" t="s">
        <v>11</v>
      </c>
      <c r="D7" s="7" t="s">
        <v>12</v>
      </c>
      <c r="E7" s="7" t="s">
        <v>13</v>
      </c>
      <c r="F7" s="7" t="s">
        <v>14</v>
      </c>
      <c r="G7" s="7" t="s">
        <v>15</v>
      </c>
      <c r="H7" s="1">
        <v>44927</v>
      </c>
      <c r="I7" s="1">
        <v>235</v>
      </c>
      <c r="J7" s="1">
        <v>152.91999999999999</v>
      </c>
      <c r="K7" s="1">
        <v>153.6</v>
      </c>
      <c r="N7" s="14">
        <f>COUNTBLANK($I$7:$I$356)</f>
        <v>0</v>
      </c>
      <c r="O7" s="14">
        <f>COUNTBLANK($J$7:$J$356)</f>
        <v>0</v>
      </c>
    </row>
    <row r="8" spans="1:15" x14ac:dyDescent="0.25">
      <c r="B8" s="7" t="s">
        <v>16</v>
      </c>
      <c r="C8" s="7" t="s">
        <v>17</v>
      </c>
      <c r="D8" s="7" t="s">
        <v>18</v>
      </c>
      <c r="E8" s="7" t="s">
        <v>19</v>
      </c>
      <c r="F8" s="7" t="s">
        <v>14</v>
      </c>
      <c r="G8" s="7" t="s">
        <v>20</v>
      </c>
      <c r="H8" s="1">
        <v>44928</v>
      </c>
      <c r="I8" s="1">
        <v>341</v>
      </c>
      <c r="J8" s="1">
        <v>467.92</v>
      </c>
      <c r="K8" s="1">
        <v>139.84</v>
      </c>
    </row>
    <row r="9" spans="1:15" x14ac:dyDescent="0.25">
      <c r="B9" s="7" t="s">
        <v>21</v>
      </c>
      <c r="C9" s="7" t="s">
        <v>22</v>
      </c>
      <c r="D9" s="7" t="s">
        <v>18</v>
      </c>
      <c r="E9" s="7" t="s">
        <v>23</v>
      </c>
      <c r="F9" s="7" t="s">
        <v>24</v>
      </c>
      <c r="G9" s="7" t="s">
        <v>15</v>
      </c>
      <c r="H9" s="1">
        <v>44929</v>
      </c>
      <c r="I9" s="1">
        <v>179</v>
      </c>
      <c r="J9" s="1">
        <v>473.94</v>
      </c>
      <c r="K9" s="1">
        <v>97.14</v>
      </c>
    </row>
    <row r="10" spans="1:15" x14ac:dyDescent="0.25">
      <c r="B10" s="7" t="s">
        <v>25</v>
      </c>
      <c r="C10" s="7" t="s">
        <v>11</v>
      </c>
      <c r="D10" s="7" t="s">
        <v>26</v>
      </c>
      <c r="E10" s="7" t="s">
        <v>27</v>
      </c>
      <c r="F10" s="7" t="s">
        <v>24</v>
      </c>
      <c r="G10" s="7" t="s">
        <v>28</v>
      </c>
      <c r="H10" s="1">
        <v>44930</v>
      </c>
      <c r="I10" s="1">
        <v>18</v>
      </c>
      <c r="J10" s="1">
        <v>314.52999999999997</v>
      </c>
      <c r="K10" s="1">
        <v>204.87</v>
      </c>
    </row>
    <row r="11" spans="1:15" x14ac:dyDescent="0.25">
      <c r="B11" s="7" t="s">
        <v>29</v>
      </c>
      <c r="C11" s="7" t="s">
        <v>11</v>
      </c>
      <c r="D11" s="7" t="s">
        <v>18</v>
      </c>
      <c r="E11" s="7" t="s">
        <v>27</v>
      </c>
      <c r="F11" s="7" t="s">
        <v>24</v>
      </c>
      <c r="G11" s="7" t="s">
        <v>28</v>
      </c>
      <c r="H11" s="1">
        <v>44931</v>
      </c>
      <c r="I11" s="1">
        <v>472</v>
      </c>
      <c r="J11" s="1">
        <v>392.79</v>
      </c>
      <c r="K11" s="1">
        <v>330.46</v>
      </c>
    </row>
    <row r="12" spans="1:15" x14ac:dyDescent="0.25">
      <c r="B12" s="7" t="s">
        <v>30</v>
      </c>
      <c r="C12" s="7" t="s">
        <v>17</v>
      </c>
      <c r="D12" s="7" t="s">
        <v>31</v>
      </c>
      <c r="E12" s="7" t="s">
        <v>23</v>
      </c>
      <c r="F12" s="7" t="s">
        <v>14</v>
      </c>
      <c r="G12" s="7" t="s">
        <v>15</v>
      </c>
      <c r="H12" s="1">
        <v>44932</v>
      </c>
      <c r="I12" s="1">
        <v>49</v>
      </c>
      <c r="J12" s="1">
        <v>308.07</v>
      </c>
      <c r="K12" s="1">
        <v>113.32</v>
      </c>
    </row>
    <row r="13" spans="1:15" x14ac:dyDescent="0.25">
      <c r="B13" s="7" t="s">
        <v>32</v>
      </c>
      <c r="C13" s="7" t="s">
        <v>22</v>
      </c>
      <c r="D13" s="7" t="s">
        <v>12</v>
      </c>
      <c r="E13" s="7" t="s">
        <v>23</v>
      </c>
      <c r="F13" s="7" t="s">
        <v>14</v>
      </c>
      <c r="G13" s="7" t="s">
        <v>20</v>
      </c>
      <c r="H13" s="1">
        <v>44933</v>
      </c>
      <c r="I13" s="1">
        <v>34</v>
      </c>
      <c r="J13" s="1">
        <v>244.78</v>
      </c>
      <c r="K13" s="1">
        <v>377.07</v>
      </c>
    </row>
    <row r="14" spans="1:15" x14ac:dyDescent="0.25">
      <c r="B14" s="7" t="s">
        <v>33</v>
      </c>
      <c r="C14" s="7" t="s">
        <v>22</v>
      </c>
      <c r="D14" s="7" t="s">
        <v>18</v>
      </c>
      <c r="E14" s="7" t="s">
        <v>13</v>
      </c>
      <c r="F14" s="7" t="s">
        <v>14</v>
      </c>
      <c r="G14" s="7" t="s">
        <v>15</v>
      </c>
      <c r="H14" s="1">
        <v>44934</v>
      </c>
      <c r="I14" s="1">
        <v>270</v>
      </c>
      <c r="J14" s="1">
        <v>332.11</v>
      </c>
      <c r="K14" s="1">
        <v>349.59</v>
      </c>
    </row>
    <row r="15" spans="1:15" x14ac:dyDescent="0.25">
      <c r="B15" s="7" t="s">
        <v>34</v>
      </c>
      <c r="C15" s="7" t="s">
        <v>11</v>
      </c>
      <c r="D15" s="7" t="s">
        <v>18</v>
      </c>
      <c r="E15" s="7" t="s">
        <v>13</v>
      </c>
      <c r="F15" s="7" t="s">
        <v>14</v>
      </c>
      <c r="G15" s="7" t="s">
        <v>20</v>
      </c>
      <c r="H15" s="1">
        <v>44935</v>
      </c>
      <c r="I15" s="1">
        <v>404</v>
      </c>
      <c r="J15" s="1">
        <v>278.74</v>
      </c>
      <c r="K15" s="1">
        <v>66.38</v>
      </c>
    </row>
    <row r="16" spans="1:15" x14ac:dyDescent="0.25">
      <c r="B16" s="7" t="s">
        <v>35</v>
      </c>
      <c r="C16" s="7" t="s">
        <v>11</v>
      </c>
      <c r="D16" s="7" t="s">
        <v>26</v>
      </c>
      <c r="E16" s="7" t="s">
        <v>27</v>
      </c>
      <c r="F16" s="7" t="s">
        <v>14</v>
      </c>
      <c r="G16" s="7" t="s">
        <v>28</v>
      </c>
      <c r="H16" s="1">
        <v>44936</v>
      </c>
      <c r="I16" s="1">
        <v>452</v>
      </c>
      <c r="J16" s="1">
        <v>300.75</v>
      </c>
      <c r="K16" s="1">
        <v>314.94</v>
      </c>
    </row>
    <row r="17" spans="2:11" x14ac:dyDescent="0.25">
      <c r="B17" s="7" t="s">
        <v>36</v>
      </c>
      <c r="C17" s="7" t="s">
        <v>11</v>
      </c>
      <c r="D17" s="7" t="s">
        <v>26</v>
      </c>
      <c r="E17" s="7" t="s">
        <v>19</v>
      </c>
      <c r="F17" s="7" t="s">
        <v>14</v>
      </c>
      <c r="G17" s="7" t="s">
        <v>20</v>
      </c>
      <c r="H17" s="1">
        <v>44937</v>
      </c>
      <c r="I17" s="1">
        <v>235</v>
      </c>
      <c r="J17" s="1">
        <v>393</v>
      </c>
      <c r="K17" s="1">
        <v>230.69</v>
      </c>
    </row>
    <row r="18" spans="2:11" x14ac:dyDescent="0.25">
      <c r="B18" s="7" t="s">
        <v>37</v>
      </c>
      <c r="C18" s="7" t="s">
        <v>11</v>
      </c>
      <c r="D18" s="7" t="s">
        <v>31</v>
      </c>
      <c r="E18" s="7" t="s">
        <v>27</v>
      </c>
      <c r="F18" s="7" t="s">
        <v>24</v>
      </c>
      <c r="G18" s="7" t="s">
        <v>28</v>
      </c>
      <c r="H18" s="1">
        <v>44938</v>
      </c>
      <c r="I18" s="1">
        <v>481</v>
      </c>
      <c r="J18" s="1">
        <v>243.05</v>
      </c>
      <c r="K18" s="1">
        <v>227.5</v>
      </c>
    </row>
    <row r="19" spans="2:11" x14ac:dyDescent="0.25">
      <c r="B19" s="7" t="s">
        <v>38</v>
      </c>
      <c r="C19" s="7" t="s">
        <v>11</v>
      </c>
      <c r="D19" s="7" t="s">
        <v>12</v>
      </c>
      <c r="E19" s="7" t="s">
        <v>19</v>
      </c>
      <c r="F19" s="7" t="s">
        <v>24</v>
      </c>
      <c r="G19" s="7" t="s">
        <v>20</v>
      </c>
      <c r="H19" s="1">
        <v>44939</v>
      </c>
      <c r="I19" s="1">
        <v>133</v>
      </c>
      <c r="J19" s="1">
        <v>25.17</v>
      </c>
      <c r="K19" s="1">
        <v>157.63999999999999</v>
      </c>
    </row>
    <row r="20" spans="2:11" x14ac:dyDescent="0.25">
      <c r="B20" s="7" t="s">
        <v>39</v>
      </c>
      <c r="C20" s="7" t="s">
        <v>11</v>
      </c>
      <c r="D20" s="7" t="s">
        <v>26</v>
      </c>
      <c r="E20" s="7" t="s">
        <v>19</v>
      </c>
      <c r="F20" s="7" t="s">
        <v>24</v>
      </c>
      <c r="G20" s="7" t="s">
        <v>20</v>
      </c>
      <c r="H20" s="1">
        <v>44940</v>
      </c>
      <c r="I20" s="1">
        <v>472</v>
      </c>
      <c r="J20" s="1">
        <v>86.18</v>
      </c>
      <c r="K20" s="1">
        <v>201.46</v>
      </c>
    </row>
    <row r="21" spans="2:11" x14ac:dyDescent="0.25">
      <c r="B21" s="7" t="s">
        <v>40</v>
      </c>
      <c r="C21" s="7" t="s">
        <v>17</v>
      </c>
      <c r="D21" s="7" t="s">
        <v>18</v>
      </c>
      <c r="E21" s="7" t="s">
        <v>13</v>
      </c>
      <c r="F21" s="7" t="s">
        <v>24</v>
      </c>
      <c r="G21" s="7" t="s">
        <v>20</v>
      </c>
      <c r="H21" s="1">
        <v>44941</v>
      </c>
      <c r="I21" s="1">
        <v>47</v>
      </c>
      <c r="J21" s="1">
        <v>222.11</v>
      </c>
      <c r="K21" s="1">
        <v>160.08000000000001</v>
      </c>
    </row>
    <row r="22" spans="2:11" x14ac:dyDescent="0.25">
      <c r="B22" s="7" t="s">
        <v>41</v>
      </c>
      <c r="C22" s="7" t="s">
        <v>22</v>
      </c>
      <c r="D22" s="7" t="s">
        <v>12</v>
      </c>
      <c r="E22" s="7" t="s">
        <v>42</v>
      </c>
      <c r="F22" s="7" t="s">
        <v>14</v>
      </c>
      <c r="G22" s="7" t="s">
        <v>15</v>
      </c>
      <c r="H22" s="1">
        <v>44942</v>
      </c>
      <c r="I22" s="1">
        <v>337</v>
      </c>
      <c r="J22" s="1">
        <v>363.79</v>
      </c>
      <c r="K22" s="1">
        <v>216.81</v>
      </c>
    </row>
    <row r="23" spans="2:11" x14ac:dyDescent="0.25">
      <c r="B23" s="7" t="s">
        <v>43</v>
      </c>
      <c r="C23" s="7" t="s">
        <v>17</v>
      </c>
      <c r="D23" s="7" t="s">
        <v>12</v>
      </c>
      <c r="E23" s="7" t="s">
        <v>42</v>
      </c>
      <c r="F23" s="7" t="s">
        <v>14</v>
      </c>
      <c r="G23" s="7" t="s">
        <v>15</v>
      </c>
      <c r="H23" s="1">
        <v>44943</v>
      </c>
      <c r="I23" s="1">
        <v>260</v>
      </c>
      <c r="J23" s="1">
        <v>298.67</v>
      </c>
      <c r="K23" s="1">
        <v>251.92</v>
      </c>
    </row>
    <row r="24" spans="2:11" x14ac:dyDescent="0.25">
      <c r="B24" s="7" t="s">
        <v>44</v>
      </c>
      <c r="C24" s="7" t="s">
        <v>17</v>
      </c>
      <c r="D24" s="7" t="s">
        <v>18</v>
      </c>
      <c r="E24" s="7" t="s">
        <v>23</v>
      </c>
      <c r="F24" s="7" t="s">
        <v>24</v>
      </c>
      <c r="G24" s="7" t="s">
        <v>28</v>
      </c>
      <c r="H24" s="1">
        <v>44944</v>
      </c>
      <c r="I24" s="1">
        <v>398</v>
      </c>
      <c r="J24" s="1">
        <v>326.89999999999998</v>
      </c>
      <c r="K24" s="1">
        <v>270.37</v>
      </c>
    </row>
    <row r="25" spans="2:11" x14ac:dyDescent="0.25">
      <c r="B25" s="7" t="s">
        <v>45</v>
      </c>
      <c r="C25" s="7" t="s">
        <v>17</v>
      </c>
      <c r="D25" s="7" t="s">
        <v>26</v>
      </c>
      <c r="E25" s="7" t="s">
        <v>13</v>
      </c>
      <c r="F25" s="7" t="s">
        <v>14</v>
      </c>
      <c r="G25" s="7" t="s">
        <v>28</v>
      </c>
      <c r="H25" s="1">
        <v>44945</v>
      </c>
      <c r="I25" s="1">
        <v>185</v>
      </c>
      <c r="J25" s="1">
        <v>242.24</v>
      </c>
      <c r="K25" s="1">
        <v>213.93</v>
      </c>
    </row>
    <row r="26" spans="2:11" x14ac:dyDescent="0.25">
      <c r="B26" s="7" t="s">
        <v>46</v>
      </c>
      <c r="C26" s="7" t="s">
        <v>11</v>
      </c>
      <c r="D26" s="7" t="s">
        <v>18</v>
      </c>
      <c r="E26" s="7" t="s">
        <v>19</v>
      </c>
      <c r="F26" s="7" t="s">
        <v>24</v>
      </c>
      <c r="G26" s="7" t="s">
        <v>15</v>
      </c>
      <c r="H26" s="1">
        <v>44946</v>
      </c>
      <c r="I26" s="1">
        <v>99</v>
      </c>
      <c r="J26" s="1">
        <v>309.79000000000002</v>
      </c>
      <c r="K26" s="1">
        <v>289.13</v>
      </c>
    </row>
    <row r="27" spans="2:11" x14ac:dyDescent="0.25">
      <c r="B27" s="7" t="s">
        <v>47</v>
      </c>
      <c r="C27" s="7" t="s">
        <v>48</v>
      </c>
      <c r="D27" s="7" t="s">
        <v>12</v>
      </c>
      <c r="E27" s="7" t="s">
        <v>42</v>
      </c>
      <c r="F27" s="7" t="s">
        <v>24</v>
      </c>
      <c r="G27" s="7" t="s">
        <v>28</v>
      </c>
      <c r="H27" s="1">
        <v>44947</v>
      </c>
      <c r="I27" s="1">
        <v>411</v>
      </c>
      <c r="J27" s="1">
        <v>167.86</v>
      </c>
      <c r="K27" s="1">
        <v>58.23</v>
      </c>
    </row>
    <row r="28" spans="2:11" x14ac:dyDescent="0.25">
      <c r="B28" s="7" t="s">
        <v>49</v>
      </c>
      <c r="C28" s="7" t="s">
        <v>22</v>
      </c>
      <c r="D28" s="7" t="s">
        <v>50</v>
      </c>
      <c r="E28" s="7" t="s">
        <v>19</v>
      </c>
      <c r="F28" s="7" t="s">
        <v>24</v>
      </c>
      <c r="G28" s="7" t="s">
        <v>15</v>
      </c>
      <c r="H28" s="1">
        <v>44948</v>
      </c>
      <c r="I28" s="1">
        <v>463</v>
      </c>
      <c r="J28" s="1">
        <v>237.74</v>
      </c>
      <c r="K28" s="1">
        <v>86.37</v>
      </c>
    </row>
    <row r="29" spans="2:11" x14ac:dyDescent="0.25">
      <c r="B29" s="7" t="s">
        <v>51</v>
      </c>
      <c r="C29" s="7" t="s">
        <v>48</v>
      </c>
      <c r="D29" s="7" t="s">
        <v>50</v>
      </c>
      <c r="E29" s="7" t="s">
        <v>42</v>
      </c>
      <c r="F29" s="7" t="s">
        <v>14</v>
      </c>
      <c r="G29" s="7" t="s">
        <v>20</v>
      </c>
      <c r="H29" s="1">
        <v>44949</v>
      </c>
      <c r="I29" s="1">
        <v>46</v>
      </c>
      <c r="J29" s="1">
        <v>373.42</v>
      </c>
      <c r="K29" s="1">
        <v>327.86</v>
      </c>
    </row>
    <row r="30" spans="2:11" x14ac:dyDescent="0.25">
      <c r="B30" s="7" t="s">
        <v>52</v>
      </c>
      <c r="C30" s="7" t="s">
        <v>17</v>
      </c>
      <c r="D30" s="7" t="s">
        <v>31</v>
      </c>
      <c r="E30" s="7" t="s">
        <v>42</v>
      </c>
      <c r="F30" s="7" t="s">
        <v>24</v>
      </c>
      <c r="G30" s="7" t="s">
        <v>28</v>
      </c>
      <c r="H30" s="1">
        <v>44950</v>
      </c>
      <c r="I30" s="1">
        <v>325</v>
      </c>
      <c r="J30" s="1">
        <v>436.56</v>
      </c>
      <c r="K30" s="1">
        <v>130.37</v>
      </c>
    </row>
    <row r="31" spans="2:11" x14ac:dyDescent="0.25">
      <c r="B31" s="7" t="s">
        <v>53</v>
      </c>
      <c r="C31" s="7" t="s">
        <v>17</v>
      </c>
      <c r="D31" s="7" t="s">
        <v>18</v>
      </c>
      <c r="E31" s="7" t="s">
        <v>42</v>
      </c>
      <c r="F31" s="7" t="s">
        <v>24</v>
      </c>
      <c r="G31" s="7" t="s">
        <v>28</v>
      </c>
      <c r="H31" s="1">
        <v>44951</v>
      </c>
      <c r="I31" s="1">
        <v>185</v>
      </c>
      <c r="J31" s="1">
        <v>219.66</v>
      </c>
      <c r="K31" s="1">
        <v>11.11</v>
      </c>
    </row>
    <row r="32" spans="2:11" x14ac:dyDescent="0.25">
      <c r="B32" s="7" t="s">
        <v>54</v>
      </c>
      <c r="C32" s="7" t="s">
        <v>48</v>
      </c>
      <c r="D32" s="7" t="s">
        <v>18</v>
      </c>
      <c r="E32" s="7" t="s">
        <v>13</v>
      </c>
      <c r="F32" s="7" t="s">
        <v>24</v>
      </c>
      <c r="G32" s="7" t="s">
        <v>15</v>
      </c>
      <c r="H32" s="1">
        <v>44952</v>
      </c>
      <c r="I32" s="1">
        <v>470</v>
      </c>
      <c r="J32" s="1">
        <v>26.61</v>
      </c>
      <c r="K32" s="1">
        <v>63.21</v>
      </c>
    </row>
    <row r="33" spans="2:11" x14ac:dyDescent="0.25">
      <c r="B33" s="7" t="s">
        <v>55</v>
      </c>
      <c r="C33" s="7" t="s">
        <v>48</v>
      </c>
      <c r="D33" s="7" t="s">
        <v>31</v>
      </c>
      <c r="E33" s="7" t="s">
        <v>27</v>
      </c>
      <c r="F33" s="7" t="s">
        <v>14</v>
      </c>
      <c r="G33" s="7" t="s">
        <v>28</v>
      </c>
      <c r="H33" s="1">
        <v>44953</v>
      </c>
      <c r="I33" s="1">
        <v>293</v>
      </c>
      <c r="J33" s="1">
        <v>85.03</v>
      </c>
      <c r="K33" s="1">
        <v>91</v>
      </c>
    </row>
    <row r="34" spans="2:11" x14ac:dyDescent="0.25">
      <c r="B34" s="7" t="s">
        <v>56</v>
      </c>
      <c r="C34" s="7" t="s">
        <v>48</v>
      </c>
      <c r="D34" s="7" t="s">
        <v>31</v>
      </c>
      <c r="E34" s="7" t="s">
        <v>19</v>
      </c>
      <c r="F34" s="7" t="s">
        <v>14</v>
      </c>
      <c r="G34" s="7" t="s">
        <v>28</v>
      </c>
      <c r="H34" s="1">
        <v>44954</v>
      </c>
      <c r="I34" s="1">
        <v>462</v>
      </c>
      <c r="J34" s="8">
        <v>249.64</v>
      </c>
      <c r="K34" s="1">
        <v>383.01</v>
      </c>
    </row>
    <row r="35" spans="2:11" x14ac:dyDescent="0.25">
      <c r="B35" s="7" t="s">
        <v>57</v>
      </c>
      <c r="C35" s="7" t="s">
        <v>17</v>
      </c>
      <c r="D35" s="7" t="s">
        <v>31</v>
      </c>
      <c r="E35" s="7" t="s">
        <v>13</v>
      </c>
      <c r="F35" s="7" t="s">
        <v>24</v>
      </c>
      <c r="G35" s="7" t="s">
        <v>20</v>
      </c>
      <c r="H35" s="1">
        <v>44955</v>
      </c>
      <c r="I35" s="1">
        <v>470</v>
      </c>
      <c r="J35" s="1">
        <v>328.37</v>
      </c>
      <c r="K35" s="1">
        <v>230.07</v>
      </c>
    </row>
    <row r="36" spans="2:11" x14ac:dyDescent="0.25">
      <c r="B36" s="7" t="s">
        <v>58</v>
      </c>
      <c r="C36" s="7" t="s">
        <v>17</v>
      </c>
      <c r="D36" s="7" t="s">
        <v>12</v>
      </c>
      <c r="E36" s="7" t="s">
        <v>13</v>
      </c>
      <c r="F36" s="7" t="s">
        <v>14</v>
      </c>
      <c r="G36" s="7" t="s">
        <v>28</v>
      </c>
      <c r="H36" s="1">
        <v>44956</v>
      </c>
      <c r="I36" s="1">
        <v>90</v>
      </c>
      <c r="J36" s="1">
        <v>169.5</v>
      </c>
      <c r="K36" s="1">
        <v>373.23</v>
      </c>
    </row>
    <row r="37" spans="2:11" x14ac:dyDescent="0.25">
      <c r="B37" s="7" t="s">
        <v>59</v>
      </c>
      <c r="C37" s="7" t="s">
        <v>17</v>
      </c>
      <c r="D37" s="7" t="s">
        <v>18</v>
      </c>
      <c r="E37" s="7" t="s">
        <v>13</v>
      </c>
      <c r="F37" s="7" t="s">
        <v>14</v>
      </c>
      <c r="G37" s="7" t="s">
        <v>20</v>
      </c>
      <c r="H37" s="1">
        <v>44957</v>
      </c>
      <c r="I37" s="1">
        <v>123</v>
      </c>
      <c r="J37" s="1">
        <v>273.52999999999997</v>
      </c>
      <c r="K37" s="1">
        <v>230.92</v>
      </c>
    </row>
    <row r="38" spans="2:11" x14ac:dyDescent="0.25">
      <c r="B38" s="7" t="s">
        <v>60</v>
      </c>
      <c r="C38" s="7" t="s">
        <v>22</v>
      </c>
      <c r="D38" s="7" t="s">
        <v>12</v>
      </c>
      <c r="E38" s="7" t="s">
        <v>13</v>
      </c>
      <c r="F38" s="7" t="s">
        <v>14</v>
      </c>
      <c r="G38" s="7" t="s">
        <v>15</v>
      </c>
      <c r="H38" s="1">
        <v>44958</v>
      </c>
      <c r="I38" s="1">
        <v>49</v>
      </c>
      <c r="J38" s="1">
        <v>249.17</v>
      </c>
      <c r="K38" s="1">
        <v>192.78</v>
      </c>
    </row>
    <row r="39" spans="2:11" x14ac:dyDescent="0.25">
      <c r="B39" s="7" t="s">
        <v>61</v>
      </c>
      <c r="C39" s="7" t="s">
        <v>17</v>
      </c>
      <c r="D39" s="7" t="s">
        <v>31</v>
      </c>
      <c r="E39" s="7" t="s">
        <v>13</v>
      </c>
      <c r="F39" s="7" t="s">
        <v>14</v>
      </c>
      <c r="G39" s="7" t="s">
        <v>28</v>
      </c>
      <c r="H39" s="1">
        <v>44959</v>
      </c>
      <c r="I39" s="1">
        <v>310</v>
      </c>
      <c r="J39" s="1">
        <v>45.36</v>
      </c>
      <c r="K39" s="1">
        <v>126.86</v>
      </c>
    </row>
    <row r="40" spans="2:11" x14ac:dyDescent="0.25">
      <c r="B40" s="7" t="s">
        <v>62</v>
      </c>
      <c r="C40" s="7" t="s">
        <v>48</v>
      </c>
      <c r="D40" s="7" t="s">
        <v>18</v>
      </c>
      <c r="E40" s="7" t="s">
        <v>23</v>
      </c>
      <c r="F40" s="7" t="s">
        <v>14</v>
      </c>
      <c r="G40" s="7" t="s">
        <v>20</v>
      </c>
      <c r="H40" s="1">
        <v>44960</v>
      </c>
      <c r="I40" s="1">
        <v>233</v>
      </c>
      <c r="J40" s="1">
        <v>204.61</v>
      </c>
      <c r="K40" s="1">
        <v>243.34</v>
      </c>
    </row>
    <row r="41" spans="2:11" x14ac:dyDescent="0.25">
      <c r="B41" s="7" t="s">
        <v>63</v>
      </c>
      <c r="C41" s="7" t="s">
        <v>48</v>
      </c>
      <c r="D41" s="7" t="s">
        <v>12</v>
      </c>
      <c r="E41" s="7" t="s">
        <v>19</v>
      </c>
      <c r="F41" s="7" t="s">
        <v>14</v>
      </c>
      <c r="G41" s="7" t="s">
        <v>15</v>
      </c>
      <c r="H41" s="1">
        <v>44961</v>
      </c>
      <c r="I41" s="1">
        <v>327</v>
      </c>
      <c r="J41" s="1">
        <v>114.18</v>
      </c>
      <c r="K41" s="1">
        <v>57.4</v>
      </c>
    </row>
    <row r="42" spans="2:11" x14ac:dyDescent="0.25">
      <c r="B42" s="7" t="s">
        <v>64</v>
      </c>
      <c r="C42" s="7" t="s">
        <v>22</v>
      </c>
      <c r="D42" s="7" t="s">
        <v>12</v>
      </c>
      <c r="E42" s="7" t="s">
        <v>13</v>
      </c>
      <c r="F42" s="7" t="s">
        <v>14</v>
      </c>
      <c r="G42" s="7" t="s">
        <v>28</v>
      </c>
      <c r="H42" s="1">
        <v>44962</v>
      </c>
      <c r="I42" s="1">
        <v>358</v>
      </c>
      <c r="J42" s="1">
        <v>212.11</v>
      </c>
      <c r="K42" s="1">
        <v>359.51</v>
      </c>
    </row>
    <row r="43" spans="2:11" x14ac:dyDescent="0.25">
      <c r="B43" s="7" t="s">
        <v>65</v>
      </c>
      <c r="C43" s="7" t="s">
        <v>17</v>
      </c>
      <c r="D43" s="7" t="s">
        <v>31</v>
      </c>
      <c r="E43" s="7" t="s">
        <v>19</v>
      </c>
      <c r="F43" s="7" t="s">
        <v>14</v>
      </c>
      <c r="G43" s="7" t="s">
        <v>15</v>
      </c>
      <c r="H43" s="1">
        <v>44963</v>
      </c>
      <c r="I43" s="1">
        <v>124</v>
      </c>
      <c r="J43" s="8">
        <v>249.64</v>
      </c>
      <c r="K43" s="1">
        <v>332.07</v>
      </c>
    </row>
    <row r="44" spans="2:11" x14ac:dyDescent="0.25">
      <c r="B44" s="7" t="s">
        <v>66</v>
      </c>
      <c r="C44" s="7" t="s">
        <v>22</v>
      </c>
      <c r="D44" s="7" t="s">
        <v>18</v>
      </c>
      <c r="E44" s="7" t="s">
        <v>23</v>
      </c>
      <c r="F44" s="7" t="s">
        <v>14</v>
      </c>
      <c r="G44" s="7" t="s">
        <v>28</v>
      </c>
      <c r="H44" s="1">
        <v>44964</v>
      </c>
      <c r="I44" s="1">
        <v>195</v>
      </c>
      <c r="J44" s="1">
        <v>421.02</v>
      </c>
      <c r="K44" s="1">
        <v>128.38</v>
      </c>
    </row>
    <row r="45" spans="2:11" x14ac:dyDescent="0.25">
      <c r="B45" s="7" t="s">
        <v>67</v>
      </c>
      <c r="C45" s="7" t="s">
        <v>22</v>
      </c>
      <c r="D45" s="7" t="s">
        <v>31</v>
      </c>
      <c r="E45" s="7" t="s">
        <v>23</v>
      </c>
      <c r="F45" s="7" t="s">
        <v>14</v>
      </c>
      <c r="G45" s="7" t="s">
        <v>15</v>
      </c>
      <c r="H45" s="1">
        <v>44965</v>
      </c>
      <c r="I45" s="9">
        <v>255.9</v>
      </c>
      <c r="J45" s="1">
        <v>91.23</v>
      </c>
      <c r="K45" s="1">
        <v>381.21</v>
      </c>
    </row>
    <row r="46" spans="2:11" x14ac:dyDescent="0.25">
      <c r="B46" s="7" t="s">
        <v>68</v>
      </c>
      <c r="C46" s="7" t="s">
        <v>11</v>
      </c>
      <c r="D46" s="7" t="s">
        <v>18</v>
      </c>
      <c r="E46" s="7" t="s">
        <v>19</v>
      </c>
      <c r="F46" s="7" t="s">
        <v>24</v>
      </c>
      <c r="G46" s="7" t="s">
        <v>15</v>
      </c>
      <c r="H46" s="1">
        <v>44966</v>
      </c>
      <c r="I46" s="1">
        <v>65</v>
      </c>
      <c r="J46" s="1">
        <v>480.59</v>
      </c>
      <c r="K46" s="1">
        <v>330.43</v>
      </c>
    </row>
    <row r="47" spans="2:11" x14ac:dyDescent="0.25">
      <c r="B47" s="7" t="s">
        <v>69</v>
      </c>
      <c r="C47" s="7" t="s">
        <v>11</v>
      </c>
      <c r="D47" s="7" t="s">
        <v>50</v>
      </c>
      <c r="E47" s="7" t="s">
        <v>42</v>
      </c>
      <c r="F47" s="7" t="s">
        <v>24</v>
      </c>
      <c r="G47" s="7" t="s">
        <v>20</v>
      </c>
      <c r="H47" s="1">
        <v>44967</v>
      </c>
      <c r="I47" s="1">
        <v>49</v>
      </c>
      <c r="J47" s="1">
        <v>210.87</v>
      </c>
      <c r="K47" s="1">
        <v>267.19</v>
      </c>
    </row>
    <row r="48" spans="2:11" x14ac:dyDescent="0.25">
      <c r="B48" s="7" t="s">
        <v>70</v>
      </c>
      <c r="C48" s="7" t="s">
        <v>11</v>
      </c>
      <c r="D48" s="7" t="s">
        <v>26</v>
      </c>
      <c r="E48" s="7" t="s">
        <v>27</v>
      </c>
      <c r="F48" s="7" t="s">
        <v>14</v>
      </c>
      <c r="G48" s="7" t="s">
        <v>15</v>
      </c>
      <c r="H48" s="1">
        <v>44968</v>
      </c>
      <c r="I48" s="1">
        <v>363</v>
      </c>
      <c r="J48" s="1">
        <v>423.89</v>
      </c>
      <c r="K48" s="1">
        <v>50.46</v>
      </c>
    </row>
    <row r="49" spans="2:11" x14ac:dyDescent="0.25">
      <c r="B49" s="7" t="s">
        <v>71</v>
      </c>
      <c r="C49" s="7" t="s">
        <v>48</v>
      </c>
      <c r="D49" s="7" t="s">
        <v>26</v>
      </c>
      <c r="E49" s="7" t="s">
        <v>42</v>
      </c>
      <c r="F49" s="7" t="s">
        <v>24</v>
      </c>
      <c r="G49" s="7" t="s">
        <v>28</v>
      </c>
      <c r="H49" s="1">
        <v>44969</v>
      </c>
      <c r="I49" s="1">
        <v>49</v>
      </c>
      <c r="J49" s="1">
        <v>316.24</v>
      </c>
      <c r="K49" s="1">
        <v>192.34</v>
      </c>
    </row>
    <row r="50" spans="2:11" x14ac:dyDescent="0.25">
      <c r="B50" s="7" t="s">
        <v>72</v>
      </c>
      <c r="C50" s="7" t="s">
        <v>17</v>
      </c>
      <c r="D50" s="7" t="s">
        <v>26</v>
      </c>
      <c r="E50" s="7" t="s">
        <v>42</v>
      </c>
      <c r="F50" s="7" t="s">
        <v>24</v>
      </c>
      <c r="G50" s="7" t="s">
        <v>28</v>
      </c>
      <c r="H50" s="1">
        <v>44970</v>
      </c>
      <c r="I50" s="1">
        <v>356</v>
      </c>
      <c r="J50" s="1">
        <v>369</v>
      </c>
      <c r="K50" s="1">
        <v>203.43</v>
      </c>
    </row>
    <row r="51" spans="2:11" x14ac:dyDescent="0.25">
      <c r="B51" s="7" t="s">
        <v>73</v>
      </c>
      <c r="C51" s="7" t="s">
        <v>17</v>
      </c>
      <c r="D51" s="7" t="s">
        <v>31</v>
      </c>
      <c r="E51" s="7" t="s">
        <v>42</v>
      </c>
      <c r="F51" s="7" t="s">
        <v>14</v>
      </c>
      <c r="G51" s="7" t="s">
        <v>20</v>
      </c>
      <c r="H51" s="1">
        <v>44971</v>
      </c>
      <c r="I51" s="1">
        <v>470</v>
      </c>
      <c r="J51" s="8">
        <v>249.64</v>
      </c>
      <c r="K51" s="1">
        <v>94.56</v>
      </c>
    </row>
    <row r="52" spans="2:11" x14ac:dyDescent="0.25">
      <c r="B52" s="7" t="s">
        <v>74</v>
      </c>
      <c r="C52" s="7" t="s">
        <v>17</v>
      </c>
      <c r="D52" s="7" t="s">
        <v>50</v>
      </c>
      <c r="E52" s="7" t="s">
        <v>13</v>
      </c>
      <c r="F52" s="7" t="s">
        <v>14</v>
      </c>
      <c r="G52" s="7" t="s">
        <v>28</v>
      </c>
      <c r="H52" s="1">
        <v>44972</v>
      </c>
      <c r="I52" s="1">
        <v>246</v>
      </c>
      <c r="J52" s="1">
        <v>254.9</v>
      </c>
      <c r="K52" s="1">
        <v>33.83</v>
      </c>
    </row>
    <row r="53" spans="2:11" x14ac:dyDescent="0.25">
      <c r="B53" s="7" t="s">
        <v>75</v>
      </c>
      <c r="C53" s="7" t="s">
        <v>17</v>
      </c>
      <c r="D53" s="7" t="s">
        <v>18</v>
      </c>
      <c r="E53" s="7" t="s">
        <v>23</v>
      </c>
      <c r="F53" s="7" t="s">
        <v>14</v>
      </c>
      <c r="G53" s="7" t="s">
        <v>28</v>
      </c>
      <c r="H53" s="1">
        <v>44973</v>
      </c>
      <c r="I53" s="1">
        <v>298</v>
      </c>
      <c r="J53" s="1">
        <v>273.93</v>
      </c>
      <c r="K53" s="1">
        <v>311.14</v>
      </c>
    </row>
    <row r="54" spans="2:11" x14ac:dyDescent="0.25">
      <c r="B54" s="7" t="s">
        <v>76</v>
      </c>
      <c r="C54" s="7" t="s">
        <v>11</v>
      </c>
      <c r="D54" s="7" t="s">
        <v>12</v>
      </c>
      <c r="E54" s="7" t="s">
        <v>42</v>
      </c>
      <c r="F54" s="7" t="s">
        <v>24</v>
      </c>
      <c r="G54" s="7" t="s">
        <v>28</v>
      </c>
      <c r="H54" s="1">
        <v>44974</v>
      </c>
      <c r="I54" s="1">
        <v>271</v>
      </c>
      <c r="J54" s="1">
        <v>259.43</v>
      </c>
      <c r="K54" s="1">
        <v>50.57</v>
      </c>
    </row>
    <row r="55" spans="2:11" x14ac:dyDescent="0.25">
      <c r="B55" s="7" t="s">
        <v>77</v>
      </c>
      <c r="C55" s="7" t="s">
        <v>48</v>
      </c>
      <c r="D55" s="7" t="s">
        <v>18</v>
      </c>
      <c r="E55" s="7" t="s">
        <v>23</v>
      </c>
      <c r="F55" s="7" t="s">
        <v>24</v>
      </c>
      <c r="G55" s="7" t="s">
        <v>15</v>
      </c>
      <c r="H55" s="1">
        <v>44975</v>
      </c>
      <c r="I55" s="1">
        <v>225</v>
      </c>
      <c r="J55" s="1">
        <v>296.08999999999997</v>
      </c>
      <c r="K55" s="1">
        <v>238.53</v>
      </c>
    </row>
    <row r="56" spans="2:11" x14ac:dyDescent="0.25">
      <c r="B56" s="7" t="s">
        <v>78</v>
      </c>
      <c r="C56" s="7" t="s">
        <v>48</v>
      </c>
      <c r="D56" s="7" t="s">
        <v>12</v>
      </c>
      <c r="E56" s="7" t="s">
        <v>19</v>
      </c>
      <c r="F56" s="7" t="s">
        <v>14</v>
      </c>
      <c r="G56" s="7" t="s">
        <v>15</v>
      </c>
      <c r="H56" s="1">
        <v>44976</v>
      </c>
      <c r="I56" s="1">
        <v>156</v>
      </c>
      <c r="J56" s="1">
        <v>19.55</v>
      </c>
      <c r="K56" s="1">
        <v>374.71</v>
      </c>
    </row>
    <row r="57" spans="2:11" x14ac:dyDescent="0.25">
      <c r="B57" s="7" t="s">
        <v>79</v>
      </c>
      <c r="C57" s="7" t="s">
        <v>11</v>
      </c>
      <c r="D57" s="7" t="s">
        <v>18</v>
      </c>
      <c r="E57" s="7" t="s">
        <v>27</v>
      </c>
      <c r="F57" s="7" t="s">
        <v>14</v>
      </c>
      <c r="G57" s="7" t="s">
        <v>28</v>
      </c>
      <c r="H57" s="1">
        <v>44977</v>
      </c>
      <c r="I57" s="1">
        <v>345</v>
      </c>
      <c r="J57" s="1">
        <v>200.78</v>
      </c>
      <c r="K57" s="1">
        <v>350.69</v>
      </c>
    </row>
    <row r="58" spans="2:11" x14ac:dyDescent="0.25">
      <c r="B58" s="7" t="s">
        <v>80</v>
      </c>
      <c r="C58" s="7" t="s">
        <v>48</v>
      </c>
      <c r="D58" s="7" t="s">
        <v>50</v>
      </c>
      <c r="E58" s="7" t="s">
        <v>19</v>
      </c>
      <c r="F58" s="7" t="s">
        <v>14</v>
      </c>
      <c r="G58" s="7" t="s">
        <v>20</v>
      </c>
      <c r="H58" s="1">
        <v>44978</v>
      </c>
      <c r="I58" s="1">
        <v>177</v>
      </c>
      <c r="J58" s="1">
        <v>305.06</v>
      </c>
      <c r="K58" s="1">
        <v>112.55</v>
      </c>
    </row>
    <row r="59" spans="2:11" x14ac:dyDescent="0.25">
      <c r="B59" s="7" t="s">
        <v>81</v>
      </c>
      <c r="C59" s="7" t="s">
        <v>11</v>
      </c>
      <c r="D59" s="7" t="s">
        <v>12</v>
      </c>
      <c r="E59" s="7" t="s">
        <v>19</v>
      </c>
      <c r="F59" s="7" t="s">
        <v>24</v>
      </c>
      <c r="G59" s="7" t="s">
        <v>15</v>
      </c>
      <c r="H59" s="1">
        <v>44979</v>
      </c>
      <c r="I59" s="1">
        <v>101</v>
      </c>
      <c r="J59" s="1">
        <v>300.87</v>
      </c>
      <c r="K59" s="1">
        <v>340.88</v>
      </c>
    </row>
    <row r="60" spans="2:11" x14ac:dyDescent="0.25">
      <c r="B60" s="7" t="s">
        <v>82</v>
      </c>
      <c r="C60" s="7" t="s">
        <v>17</v>
      </c>
      <c r="D60" s="7" t="s">
        <v>31</v>
      </c>
      <c r="E60" s="7" t="s">
        <v>13</v>
      </c>
      <c r="F60" s="7" t="s">
        <v>24</v>
      </c>
      <c r="G60" s="7" t="s">
        <v>20</v>
      </c>
      <c r="H60" s="1">
        <v>44980</v>
      </c>
      <c r="I60" s="1">
        <v>362</v>
      </c>
      <c r="J60" s="1">
        <v>397.51</v>
      </c>
      <c r="K60" s="1">
        <v>2.13</v>
      </c>
    </row>
    <row r="61" spans="2:11" x14ac:dyDescent="0.25">
      <c r="B61" s="7" t="s">
        <v>83</v>
      </c>
      <c r="C61" s="7" t="s">
        <v>11</v>
      </c>
      <c r="D61" s="7" t="s">
        <v>18</v>
      </c>
      <c r="E61" s="7" t="s">
        <v>27</v>
      </c>
      <c r="F61" s="7" t="s">
        <v>24</v>
      </c>
      <c r="G61" s="7" t="s">
        <v>28</v>
      </c>
      <c r="H61" s="1">
        <v>44981</v>
      </c>
      <c r="I61" s="1">
        <v>68</v>
      </c>
      <c r="J61" s="1">
        <v>329.23</v>
      </c>
      <c r="K61" s="1">
        <v>9.0399999999999991</v>
      </c>
    </row>
    <row r="62" spans="2:11" x14ac:dyDescent="0.25">
      <c r="B62" s="7" t="s">
        <v>84</v>
      </c>
      <c r="C62" s="7" t="s">
        <v>17</v>
      </c>
      <c r="D62" s="7" t="s">
        <v>18</v>
      </c>
      <c r="E62" s="7" t="s">
        <v>19</v>
      </c>
      <c r="F62" s="7" t="s">
        <v>24</v>
      </c>
      <c r="G62" s="7" t="s">
        <v>28</v>
      </c>
      <c r="H62" s="1">
        <v>44982</v>
      </c>
      <c r="I62" s="1">
        <v>68</v>
      </c>
      <c r="J62" s="1">
        <v>496.11</v>
      </c>
      <c r="K62" s="1">
        <v>241.82</v>
      </c>
    </row>
    <row r="63" spans="2:11" x14ac:dyDescent="0.25">
      <c r="B63" s="7" t="s">
        <v>85</v>
      </c>
      <c r="C63" s="7" t="s">
        <v>17</v>
      </c>
      <c r="D63" s="7" t="s">
        <v>12</v>
      </c>
      <c r="E63" s="7" t="s">
        <v>19</v>
      </c>
      <c r="F63" s="7" t="s">
        <v>14</v>
      </c>
      <c r="G63" s="7" t="s">
        <v>15</v>
      </c>
      <c r="H63" s="1">
        <v>44983</v>
      </c>
      <c r="I63" s="1">
        <v>313</v>
      </c>
      <c r="J63" s="1">
        <v>145.51</v>
      </c>
      <c r="K63" s="1">
        <v>147.19</v>
      </c>
    </row>
    <row r="64" spans="2:11" x14ac:dyDescent="0.25">
      <c r="B64" s="7" t="s">
        <v>86</v>
      </c>
      <c r="C64" s="7" t="s">
        <v>22</v>
      </c>
      <c r="D64" s="7" t="s">
        <v>31</v>
      </c>
      <c r="E64" s="7" t="s">
        <v>27</v>
      </c>
      <c r="F64" s="7" t="s">
        <v>14</v>
      </c>
      <c r="G64" s="7" t="s">
        <v>28</v>
      </c>
      <c r="H64" s="1">
        <v>44984</v>
      </c>
      <c r="I64" s="1">
        <v>178</v>
      </c>
      <c r="J64" s="1">
        <v>182.78</v>
      </c>
      <c r="K64" s="1">
        <v>155.81</v>
      </c>
    </row>
    <row r="65" spans="2:11" x14ac:dyDescent="0.25">
      <c r="B65" s="7" t="s">
        <v>87</v>
      </c>
      <c r="C65" s="7" t="s">
        <v>11</v>
      </c>
      <c r="D65" s="7" t="s">
        <v>31</v>
      </c>
      <c r="E65" s="7" t="s">
        <v>27</v>
      </c>
      <c r="F65" s="7" t="s">
        <v>14</v>
      </c>
      <c r="G65" s="7" t="s">
        <v>15</v>
      </c>
      <c r="H65" s="1">
        <v>44985</v>
      </c>
      <c r="I65" s="1">
        <v>278</v>
      </c>
      <c r="J65" s="1">
        <v>195</v>
      </c>
      <c r="K65" s="1">
        <v>226.65</v>
      </c>
    </row>
    <row r="66" spans="2:11" x14ac:dyDescent="0.25">
      <c r="B66" s="7" t="s">
        <v>88</v>
      </c>
      <c r="C66" s="7" t="s">
        <v>22</v>
      </c>
      <c r="D66" s="7" t="s">
        <v>50</v>
      </c>
      <c r="E66" s="7" t="s">
        <v>19</v>
      </c>
      <c r="F66" s="7" t="s">
        <v>14</v>
      </c>
      <c r="G66" s="7" t="s">
        <v>28</v>
      </c>
      <c r="H66" s="1">
        <v>44986</v>
      </c>
      <c r="I66" s="1">
        <v>372</v>
      </c>
      <c r="J66" s="1">
        <v>235.58</v>
      </c>
      <c r="K66" s="1">
        <v>78.33</v>
      </c>
    </row>
    <row r="67" spans="2:11" x14ac:dyDescent="0.25">
      <c r="B67" s="7" t="s">
        <v>89</v>
      </c>
      <c r="C67" s="7" t="s">
        <v>11</v>
      </c>
      <c r="D67" s="7" t="s">
        <v>31</v>
      </c>
      <c r="E67" s="7" t="s">
        <v>27</v>
      </c>
      <c r="F67" s="7" t="s">
        <v>24</v>
      </c>
      <c r="G67" s="7" t="s">
        <v>28</v>
      </c>
      <c r="H67" s="1">
        <v>44987</v>
      </c>
      <c r="I67" s="1">
        <v>54</v>
      </c>
      <c r="J67" s="1">
        <v>418.82</v>
      </c>
      <c r="K67" s="1">
        <v>86.28</v>
      </c>
    </row>
    <row r="68" spans="2:11" x14ac:dyDescent="0.25">
      <c r="B68" s="7" t="s">
        <v>90</v>
      </c>
      <c r="C68" s="7" t="s">
        <v>11</v>
      </c>
      <c r="D68" s="7" t="s">
        <v>31</v>
      </c>
      <c r="E68" s="7" t="s">
        <v>19</v>
      </c>
      <c r="F68" s="7" t="s">
        <v>24</v>
      </c>
      <c r="G68" s="7" t="s">
        <v>15</v>
      </c>
      <c r="H68" s="1">
        <v>44988</v>
      </c>
      <c r="I68" s="1">
        <v>354</v>
      </c>
      <c r="J68" s="1">
        <v>121.72</v>
      </c>
      <c r="K68" s="1">
        <v>194.87</v>
      </c>
    </row>
    <row r="69" spans="2:11" x14ac:dyDescent="0.25">
      <c r="B69" s="7" t="s">
        <v>91</v>
      </c>
      <c r="C69" s="7" t="s">
        <v>22</v>
      </c>
      <c r="D69" s="7" t="s">
        <v>31</v>
      </c>
      <c r="E69" s="7" t="s">
        <v>19</v>
      </c>
      <c r="F69" s="7" t="s">
        <v>14</v>
      </c>
      <c r="G69" s="7" t="s">
        <v>15</v>
      </c>
      <c r="H69" s="1">
        <v>44989</v>
      </c>
      <c r="I69" s="1">
        <v>190</v>
      </c>
      <c r="J69" s="1">
        <v>389.12</v>
      </c>
      <c r="K69" s="1">
        <v>302.19</v>
      </c>
    </row>
    <row r="70" spans="2:11" x14ac:dyDescent="0.25">
      <c r="B70" s="7" t="s">
        <v>92</v>
      </c>
      <c r="C70" s="7" t="s">
        <v>22</v>
      </c>
      <c r="D70" s="7" t="s">
        <v>26</v>
      </c>
      <c r="E70" s="7" t="s">
        <v>13</v>
      </c>
      <c r="F70" s="7" t="s">
        <v>14</v>
      </c>
      <c r="G70" s="7" t="s">
        <v>15</v>
      </c>
      <c r="H70" s="1">
        <v>44990</v>
      </c>
      <c r="I70" s="1">
        <v>179</v>
      </c>
      <c r="J70" s="1">
        <v>205.63</v>
      </c>
      <c r="K70" s="1">
        <v>248.56</v>
      </c>
    </row>
    <row r="71" spans="2:11" x14ac:dyDescent="0.25">
      <c r="B71" s="7" t="s">
        <v>93</v>
      </c>
      <c r="C71" s="7" t="s">
        <v>11</v>
      </c>
      <c r="D71" s="7" t="s">
        <v>50</v>
      </c>
      <c r="E71" s="7" t="s">
        <v>42</v>
      </c>
      <c r="F71" s="7" t="s">
        <v>24</v>
      </c>
      <c r="G71" s="7" t="s">
        <v>28</v>
      </c>
      <c r="H71" s="1">
        <v>44991</v>
      </c>
      <c r="I71" s="1">
        <v>365</v>
      </c>
      <c r="J71" s="1">
        <v>302.92</v>
      </c>
      <c r="K71" s="1">
        <v>120.35</v>
      </c>
    </row>
    <row r="72" spans="2:11" x14ac:dyDescent="0.25">
      <c r="B72" s="7" t="s">
        <v>94</v>
      </c>
      <c r="C72" s="7" t="s">
        <v>48</v>
      </c>
      <c r="D72" s="7" t="s">
        <v>18</v>
      </c>
      <c r="E72" s="7" t="s">
        <v>19</v>
      </c>
      <c r="F72" s="7" t="s">
        <v>14</v>
      </c>
      <c r="G72" s="7" t="s">
        <v>28</v>
      </c>
      <c r="H72" s="1">
        <v>44992</v>
      </c>
      <c r="I72" s="1">
        <v>200</v>
      </c>
      <c r="J72" s="1">
        <v>318.11</v>
      </c>
      <c r="K72" s="1">
        <v>173.27</v>
      </c>
    </row>
    <row r="73" spans="2:11" x14ac:dyDescent="0.25">
      <c r="B73" s="7" t="s">
        <v>95</v>
      </c>
      <c r="C73" s="7" t="s">
        <v>17</v>
      </c>
      <c r="D73" s="7" t="s">
        <v>12</v>
      </c>
      <c r="E73" s="7" t="s">
        <v>23</v>
      </c>
      <c r="F73" s="7" t="s">
        <v>24</v>
      </c>
      <c r="G73" s="7" t="s">
        <v>20</v>
      </c>
      <c r="H73" s="1">
        <v>44993</v>
      </c>
      <c r="I73" s="1">
        <v>164</v>
      </c>
      <c r="J73" s="1">
        <v>189.56</v>
      </c>
      <c r="K73" s="1">
        <v>69.92</v>
      </c>
    </row>
    <row r="74" spans="2:11" x14ac:dyDescent="0.25">
      <c r="B74" s="7" t="s">
        <v>96</v>
      </c>
      <c r="C74" s="7" t="s">
        <v>22</v>
      </c>
      <c r="D74" s="7" t="s">
        <v>18</v>
      </c>
      <c r="E74" s="7" t="s">
        <v>42</v>
      </c>
      <c r="F74" s="7" t="s">
        <v>14</v>
      </c>
      <c r="G74" s="7" t="s">
        <v>15</v>
      </c>
      <c r="H74" s="1">
        <v>44994</v>
      </c>
      <c r="I74" s="1">
        <v>431</v>
      </c>
      <c r="J74" s="1">
        <v>258.74</v>
      </c>
      <c r="K74" s="1">
        <v>31.7</v>
      </c>
    </row>
    <row r="75" spans="2:11" x14ac:dyDescent="0.25">
      <c r="B75" s="7" t="s">
        <v>97</v>
      </c>
      <c r="C75" s="7" t="s">
        <v>17</v>
      </c>
      <c r="D75" s="7" t="s">
        <v>50</v>
      </c>
      <c r="E75" s="7" t="s">
        <v>42</v>
      </c>
      <c r="F75" s="7" t="s">
        <v>14</v>
      </c>
      <c r="G75" s="7" t="s">
        <v>28</v>
      </c>
      <c r="H75" s="1">
        <v>44995</v>
      </c>
      <c r="I75" s="1">
        <v>197</v>
      </c>
      <c r="J75" s="1">
        <v>209.45</v>
      </c>
      <c r="K75" s="1">
        <v>313.51</v>
      </c>
    </row>
    <row r="76" spans="2:11" x14ac:dyDescent="0.25">
      <c r="B76" s="7" t="s">
        <v>98</v>
      </c>
      <c r="C76" s="7" t="s">
        <v>48</v>
      </c>
      <c r="D76" s="7" t="s">
        <v>12</v>
      </c>
      <c r="E76" s="7" t="s">
        <v>42</v>
      </c>
      <c r="F76" s="7" t="s">
        <v>14</v>
      </c>
      <c r="G76" s="7" t="s">
        <v>28</v>
      </c>
      <c r="H76" s="1">
        <v>44996</v>
      </c>
      <c r="I76" s="1">
        <v>16</v>
      </c>
      <c r="J76" s="1">
        <v>39.22</v>
      </c>
      <c r="K76" s="1">
        <v>107.62</v>
      </c>
    </row>
    <row r="77" spans="2:11" x14ac:dyDescent="0.25">
      <c r="B77" s="7" t="s">
        <v>99</v>
      </c>
      <c r="C77" s="7" t="s">
        <v>48</v>
      </c>
      <c r="D77" s="7" t="s">
        <v>50</v>
      </c>
      <c r="E77" s="7" t="s">
        <v>13</v>
      </c>
      <c r="F77" s="7" t="s">
        <v>14</v>
      </c>
      <c r="G77" s="7" t="s">
        <v>15</v>
      </c>
      <c r="H77" s="1">
        <v>44997</v>
      </c>
      <c r="I77" s="1">
        <v>142</v>
      </c>
      <c r="J77" s="1">
        <v>221.4</v>
      </c>
      <c r="K77" s="1">
        <v>72.75</v>
      </c>
    </row>
    <row r="78" spans="2:11" x14ac:dyDescent="0.25">
      <c r="B78" s="7" t="s">
        <v>100</v>
      </c>
      <c r="C78" s="7" t="s">
        <v>48</v>
      </c>
      <c r="D78" s="7" t="s">
        <v>31</v>
      </c>
      <c r="E78" s="7" t="s">
        <v>19</v>
      </c>
      <c r="F78" s="7" t="s">
        <v>14</v>
      </c>
      <c r="G78" s="7" t="s">
        <v>20</v>
      </c>
      <c r="H78" s="1">
        <v>44998</v>
      </c>
      <c r="I78" s="1">
        <v>244</v>
      </c>
      <c r="J78" s="1">
        <v>53.21</v>
      </c>
      <c r="K78" s="1">
        <v>277.26</v>
      </c>
    </row>
    <row r="79" spans="2:11" x14ac:dyDescent="0.25">
      <c r="B79" s="7" t="s">
        <v>101</v>
      </c>
      <c r="C79" s="7" t="s">
        <v>22</v>
      </c>
      <c r="D79" s="7" t="s">
        <v>12</v>
      </c>
      <c r="E79" s="7" t="s">
        <v>13</v>
      </c>
      <c r="F79" s="7" t="s">
        <v>14</v>
      </c>
      <c r="G79" s="7" t="s">
        <v>15</v>
      </c>
      <c r="H79" s="1">
        <v>44999</v>
      </c>
      <c r="I79" s="1">
        <v>54</v>
      </c>
      <c r="J79" s="1">
        <v>205.49</v>
      </c>
      <c r="K79" s="1">
        <v>247.98</v>
      </c>
    </row>
    <row r="80" spans="2:11" x14ac:dyDescent="0.25">
      <c r="B80" s="7" t="s">
        <v>102</v>
      </c>
      <c r="C80" s="7" t="s">
        <v>48</v>
      </c>
      <c r="D80" s="7" t="s">
        <v>31</v>
      </c>
      <c r="E80" s="7" t="s">
        <v>19</v>
      </c>
      <c r="F80" s="7" t="s">
        <v>14</v>
      </c>
      <c r="G80" s="7" t="s">
        <v>20</v>
      </c>
      <c r="H80" s="1">
        <v>45000</v>
      </c>
      <c r="I80" s="1">
        <v>323</v>
      </c>
      <c r="J80" s="1">
        <v>298.49</v>
      </c>
      <c r="K80" s="1">
        <v>254.01</v>
      </c>
    </row>
    <row r="81" spans="2:11" x14ac:dyDescent="0.25">
      <c r="B81" s="7" t="s">
        <v>103</v>
      </c>
      <c r="C81" s="7" t="s">
        <v>22</v>
      </c>
      <c r="D81" s="7" t="s">
        <v>18</v>
      </c>
      <c r="E81" s="7" t="s">
        <v>13</v>
      </c>
      <c r="F81" s="7" t="s">
        <v>24</v>
      </c>
      <c r="G81" s="7" t="s">
        <v>28</v>
      </c>
      <c r="H81" s="1">
        <v>45001</v>
      </c>
      <c r="I81" s="1">
        <v>258</v>
      </c>
      <c r="J81" s="1">
        <v>291.81</v>
      </c>
      <c r="K81" s="1">
        <v>93.1</v>
      </c>
    </row>
    <row r="82" spans="2:11" x14ac:dyDescent="0.25">
      <c r="B82" s="7" t="s">
        <v>104</v>
      </c>
      <c r="C82" s="7" t="s">
        <v>48</v>
      </c>
      <c r="D82" s="7" t="s">
        <v>18</v>
      </c>
      <c r="E82" s="7" t="s">
        <v>13</v>
      </c>
      <c r="F82" s="7" t="s">
        <v>24</v>
      </c>
      <c r="G82" s="7" t="s">
        <v>20</v>
      </c>
      <c r="H82" s="1">
        <v>45002</v>
      </c>
      <c r="I82" s="1">
        <v>40</v>
      </c>
      <c r="J82" s="1">
        <v>333</v>
      </c>
      <c r="K82" s="1">
        <v>94.59</v>
      </c>
    </row>
    <row r="83" spans="2:11" x14ac:dyDescent="0.25">
      <c r="B83" s="7" t="s">
        <v>105</v>
      </c>
      <c r="C83" s="7" t="s">
        <v>17</v>
      </c>
      <c r="D83" s="7" t="s">
        <v>12</v>
      </c>
      <c r="E83" s="7" t="s">
        <v>23</v>
      </c>
      <c r="F83" s="7" t="s">
        <v>24</v>
      </c>
      <c r="G83" s="7" t="s">
        <v>28</v>
      </c>
      <c r="H83" s="1">
        <v>45003</v>
      </c>
      <c r="I83" s="1">
        <v>32</v>
      </c>
      <c r="J83" s="1">
        <v>52.15</v>
      </c>
      <c r="K83" s="1">
        <v>89.88</v>
      </c>
    </row>
    <row r="84" spans="2:11" x14ac:dyDescent="0.25">
      <c r="B84" s="7" t="s">
        <v>106</v>
      </c>
      <c r="C84" s="7" t="s">
        <v>17</v>
      </c>
      <c r="D84" s="7" t="s">
        <v>12</v>
      </c>
      <c r="E84" s="7" t="s">
        <v>13</v>
      </c>
      <c r="F84" s="7" t="s">
        <v>24</v>
      </c>
      <c r="G84" s="7" t="s">
        <v>15</v>
      </c>
      <c r="H84" s="1">
        <v>45004</v>
      </c>
      <c r="I84" s="1">
        <v>435</v>
      </c>
      <c r="J84" s="1">
        <v>327.8</v>
      </c>
      <c r="K84" s="1">
        <v>71.150000000000006</v>
      </c>
    </row>
    <row r="85" spans="2:11" x14ac:dyDescent="0.25">
      <c r="B85" s="7" t="s">
        <v>107</v>
      </c>
      <c r="C85" s="7" t="s">
        <v>11</v>
      </c>
      <c r="D85" s="7" t="s">
        <v>50</v>
      </c>
      <c r="E85" s="7" t="s">
        <v>27</v>
      </c>
      <c r="F85" s="7" t="s">
        <v>24</v>
      </c>
      <c r="G85" s="7" t="s">
        <v>15</v>
      </c>
      <c r="H85" s="1">
        <v>45005</v>
      </c>
      <c r="I85" s="1">
        <v>403</v>
      </c>
      <c r="J85" s="1">
        <v>159.51</v>
      </c>
      <c r="K85" s="1">
        <v>262.98</v>
      </c>
    </row>
    <row r="86" spans="2:11" x14ac:dyDescent="0.25">
      <c r="B86" s="7" t="s">
        <v>108</v>
      </c>
      <c r="C86" s="7" t="s">
        <v>17</v>
      </c>
      <c r="D86" s="7" t="s">
        <v>50</v>
      </c>
      <c r="E86" s="7" t="s">
        <v>23</v>
      </c>
      <c r="F86" s="7" t="s">
        <v>14</v>
      </c>
      <c r="G86" s="7" t="s">
        <v>15</v>
      </c>
      <c r="H86" s="1">
        <v>45006</v>
      </c>
      <c r="I86" s="1">
        <v>169</v>
      </c>
      <c r="J86" s="8">
        <v>249.64</v>
      </c>
      <c r="K86" s="1">
        <v>339.51</v>
      </c>
    </row>
    <row r="87" spans="2:11" x14ac:dyDescent="0.25">
      <c r="B87" s="7" t="s">
        <v>109</v>
      </c>
      <c r="C87" s="7" t="s">
        <v>11</v>
      </c>
      <c r="D87" s="7" t="s">
        <v>31</v>
      </c>
      <c r="E87" s="7" t="s">
        <v>13</v>
      </c>
      <c r="F87" s="7" t="s">
        <v>14</v>
      </c>
      <c r="G87" s="7" t="s">
        <v>20</v>
      </c>
      <c r="H87" s="1">
        <v>45007</v>
      </c>
      <c r="I87" s="1">
        <v>372</v>
      </c>
      <c r="J87" s="1">
        <v>429.7</v>
      </c>
      <c r="K87" s="1">
        <v>290.27999999999997</v>
      </c>
    </row>
    <row r="88" spans="2:11" x14ac:dyDescent="0.25">
      <c r="B88" s="7" t="s">
        <v>110</v>
      </c>
      <c r="C88" s="7" t="s">
        <v>17</v>
      </c>
      <c r="D88" s="7" t="s">
        <v>12</v>
      </c>
      <c r="E88" s="7" t="s">
        <v>42</v>
      </c>
      <c r="F88" s="7" t="s">
        <v>24</v>
      </c>
      <c r="G88" s="7" t="s">
        <v>28</v>
      </c>
      <c r="H88" s="1">
        <v>45008</v>
      </c>
      <c r="I88" s="1">
        <v>446</v>
      </c>
      <c r="J88" s="1">
        <v>9.4700000000000006</v>
      </c>
      <c r="K88" s="1">
        <v>317.25</v>
      </c>
    </row>
    <row r="89" spans="2:11" x14ac:dyDescent="0.25">
      <c r="B89" s="7" t="s">
        <v>111</v>
      </c>
      <c r="C89" s="7" t="s">
        <v>22</v>
      </c>
      <c r="D89" s="7" t="s">
        <v>18</v>
      </c>
      <c r="E89" s="7" t="s">
        <v>27</v>
      </c>
      <c r="F89" s="7" t="s">
        <v>14</v>
      </c>
      <c r="G89" s="7" t="s">
        <v>15</v>
      </c>
      <c r="H89" s="1">
        <v>45009</v>
      </c>
      <c r="I89" s="1">
        <v>167</v>
      </c>
      <c r="J89" s="1">
        <v>296.26</v>
      </c>
      <c r="K89" s="1">
        <v>163.11000000000001</v>
      </c>
    </row>
    <row r="90" spans="2:11" x14ac:dyDescent="0.25">
      <c r="B90" s="7" t="s">
        <v>112</v>
      </c>
      <c r="C90" s="7" t="s">
        <v>17</v>
      </c>
      <c r="D90" s="7" t="s">
        <v>50</v>
      </c>
      <c r="E90" s="7" t="s">
        <v>27</v>
      </c>
      <c r="F90" s="7" t="s">
        <v>24</v>
      </c>
      <c r="G90" s="7" t="s">
        <v>15</v>
      </c>
      <c r="H90" s="1">
        <v>45010</v>
      </c>
      <c r="I90" s="1">
        <v>48</v>
      </c>
      <c r="J90" s="1">
        <v>301.36</v>
      </c>
      <c r="K90" s="1">
        <v>262.32</v>
      </c>
    </row>
    <row r="91" spans="2:11" x14ac:dyDescent="0.25">
      <c r="B91" s="7" t="s">
        <v>113</v>
      </c>
      <c r="C91" s="7" t="s">
        <v>11</v>
      </c>
      <c r="D91" s="7" t="s">
        <v>50</v>
      </c>
      <c r="E91" s="7" t="s">
        <v>27</v>
      </c>
      <c r="F91" s="7" t="s">
        <v>24</v>
      </c>
      <c r="G91" s="7" t="s">
        <v>28</v>
      </c>
      <c r="H91" s="1">
        <v>45011</v>
      </c>
      <c r="I91" s="1">
        <v>424</v>
      </c>
      <c r="J91" s="1">
        <v>201.35</v>
      </c>
      <c r="K91" s="1">
        <v>142.99</v>
      </c>
    </row>
    <row r="92" spans="2:11" x14ac:dyDescent="0.25">
      <c r="B92" s="7" t="s">
        <v>114</v>
      </c>
      <c r="C92" s="7" t="s">
        <v>11</v>
      </c>
      <c r="D92" s="7" t="s">
        <v>18</v>
      </c>
      <c r="E92" s="7" t="s">
        <v>23</v>
      </c>
      <c r="F92" s="7" t="s">
        <v>14</v>
      </c>
      <c r="G92" s="7" t="s">
        <v>15</v>
      </c>
      <c r="H92" s="1">
        <v>45012</v>
      </c>
      <c r="I92" s="1">
        <v>91</v>
      </c>
      <c r="J92" s="1">
        <v>122.33</v>
      </c>
      <c r="K92" s="1">
        <v>211.15</v>
      </c>
    </row>
    <row r="93" spans="2:11" x14ac:dyDescent="0.25">
      <c r="B93" s="7" t="s">
        <v>115</v>
      </c>
      <c r="C93" s="7" t="s">
        <v>48</v>
      </c>
      <c r="D93" s="7" t="s">
        <v>50</v>
      </c>
      <c r="E93" s="7" t="s">
        <v>13</v>
      </c>
      <c r="F93" s="7" t="s">
        <v>14</v>
      </c>
      <c r="G93" s="7" t="s">
        <v>28</v>
      </c>
      <c r="H93" s="1">
        <v>45013</v>
      </c>
      <c r="I93" s="1">
        <v>365</v>
      </c>
      <c r="J93" s="1">
        <v>121.16</v>
      </c>
      <c r="K93" s="1">
        <v>193.69</v>
      </c>
    </row>
    <row r="94" spans="2:11" x14ac:dyDescent="0.25">
      <c r="B94" s="7" t="s">
        <v>116</v>
      </c>
      <c r="C94" s="7" t="s">
        <v>22</v>
      </c>
      <c r="D94" s="7" t="s">
        <v>31</v>
      </c>
      <c r="E94" s="7" t="s">
        <v>13</v>
      </c>
      <c r="F94" s="7" t="s">
        <v>14</v>
      </c>
      <c r="G94" s="7" t="s">
        <v>28</v>
      </c>
      <c r="H94" s="1">
        <v>45014</v>
      </c>
      <c r="I94" s="1">
        <v>267</v>
      </c>
      <c r="J94" s="1">
        <v>442.44</v>
      </c>
      <c r="K94" s="1">
        <v>72.400000000000006</v>
      </c>
    </row>
    <row r="95" spans="2:11" x14ac:dyDescent="0.25">
      <c r="B95" s="7" t="s">
        <v>117</v>
      </c>
      <c r="C95" s="7" t="s">
        <v>17</v>
      </c>
      <c r="D95" s="7" t="s">
        <v>12</v>
      </c>
      <c r="E95" s="7" t="s">
        <v>42</v>
      </c>
      <c r="F95" s="7" t="s">
        <v>24</v>
      </c>
      <c r="G95" s="7" t="s">
        <v>28</v>
      </c>
      <c r="H95" s="1">
        <v>45015</v>
      </c>
      <c r="I95" s="1">
        <v>215</v>
      </c>
      <c r="J95" s="1">
        <v>223.8</v>
      </c>
      <c r="K95" s="1">
        <v>156.06</v>
      </c>
    </row>
    <row r="96" spans="2:11" x14ac:dyDescent="0.25">
      <c r="B96" s="7" t="s">
        <v>118</v>
      </c>
      <c r="C96" s="7" t="s">
        <v>48</v>
      </c>
      <c r="D96" s="7" t="s">
        <v>18</v>
      </c>
      <c r="E96" s="7" t="s">
        <v>42</v>
      </c>
      <c r="F96" s="7" t="s">
        <v>14</v>
      </c>
      <c r="G96" s="7" t="s">
        <v>28</v>
      </c>
      <c r="H96" s="1">
        <v>45016</v>
      </c>
      <c r="I96" s="1">
        <v>86</v>
      </c>
      <c r="J96" s="1">
        <v>168.79</v>
      </c>
      <c r="K96" s="1">
        <v>385.6</v>
      </c>
    </row>
    <row r="97" spans="2:11" x14ac:dyDescent="0.25">
      <c r="B97" s="7" t="s">
        <v>119</v>
      </c>
      <c r="C97" s="7" t="s">
        <v>17</v>
      </c>
      <c r="D97" s="7" t="s">
        <v>12</v>
      </c>
      <c r="E97" s="7" t="s">
        <v>27</v>
      </c>
      <c r="F97" s="7" t="s">
        <v>24</v>
      </c>
      <c r="G97" s="7" t="s">
        <v>28</v>
      </c>
      <c r="H97" s="1">
        <v>45017</v>
      </c>
      <c r="I97" s="1">
        <v>486</v>
      </c>
      <c r="J97" s="1">
        <v>227.14</v>
      </c>
      <c r="K97" s="1">
        <v>100.93</v>
      </c>
    </row>
    <row r="98" spans="2:11" x14ac:dyDescent="0.25">
      <c r="B98" s="7" t="s">
        <v>120</v>
      </c>
      <c r="C98" s="7" t="s">
        <v>17</v>
      </c>
      <c r="D98" s="7" t="s">
        <v>50</v>
      </c>
      <c r="E98" s="7" t="s">
        <v>42</v>
      </c>
      <c r="F98" s="7" t="s">
        <v>24</v>
      </c>
      <c r="G98" s="7" t="s">
        <v>20</v>
      </c>
      <c r="H98" s="1">
        <v>45018</v>
      </c>
      <c r="I98" s="1">
        <v>21</v>
      </c>
      <c r="J98" s="8">
        <v>249.64</v>
      </c>
      <c r="K98" s="1">
        <v>55.25</v>
      </c>
    </row>
    <row r="99" spans="2:11" x14ac:dyDescent="0.25">
      <c r="B99" s="7" t="s">
        <v>121</v>
      </c>
      <c r="C99" s="7" t="s">
        <v>48</v>
      </c>
      <c r="D99" s="7" t="s">
        <v>50</v>
      </c>
      <c r="E99" s="7" t="s">
        <v>23</v>
      </c>
      <c r="F99" s="7" t="s">
        <v>24</v>
      </c>
      <c r="G99" s="7" t="s">
        <v>15</v>
      </c>
      <c r="H99" s="1">
        <v>45019</v>
      </c>
      <c r="I99" s="1">
        <v>304</v>
      </c>
      <c r="J99" s="1">
        <v>77.150000000000006</v>
      </c>
      <c r="K99" s="1">
        <v>168.6</v>
      </c>
    </row>
    <row r="100" spans="2:11" x14ac:dyDescent="0.25">
      <c r="B100" s="7" t="s">
        <v>122</v>
      </c>
      <c r="C100" s="7" t="s">
        <v>48</v>
      </c>
      <c r="D100" s="7" t="s">
        <v>18</v>
      </c>
      <c r="E100" s="7" t="s">
        <v>13</v>
      </c>
      <c r="F100" s="7" t="s">
        <v>14</v>
      </c>
      <c r="G100" s="7" t="s">
        <v>20</v>
      </c>
      <c r="H100" s="1">
        <v>45020</v>
      </c>
      <c r="I100" s="1">
        <v>459</v>
      </c>
      <c r="J100" s="1">
        <v>227.47</v>
      </c>
      <c r="K100" s="1">
        <v>316.55</v>
      </c>
    </row>
    <row r="101" spans="2:11" x14ac:dyDescent="0.25">
      <c r="B101" s="7" t="s">
        <v>123</v>
      </c>
      <c r="C101" s="7" t="s">
        <v>48</v>
      </c>
      <c r="D101" s="7" t="s">
        <v>31</v>
      </c>
      <c r="E101" s="7" t="s">
        <v>27</v>
      </c>
      <c r="F101" s="7" t="s">
        <v>14</v>
      </c>
      <c r="G101" s="7" t="s">
        <v>15</v>
      </c>
      <c r="H101" s="1">
        <v>45021</v>
      </c>
      <c r="I101" s="1">
        <v>233</v>
      </c>
      <c r="J101" s="1">
        <v>296</v>
      </c>
      <c r="K101" s="1">
        <v>233.69</v>
      </c>
    </row>
    <row r="102" spans="2:11" x14ac:dyDescent="0.25">
      <c r="B102" s="7" t="s">
        <v>124</v>
      </c>
      <c r="C102" s="7" t="s">
        <v>48</v>
      </c>
      <c r="D102" s="7" t="s">
        <v>26</v>
      </c>
      <c r="E102" s="7" t="s">
        <v>42</v>
      </c>
      <c r="F102" s="7" t="s">
        <v>24</v>
      </c>
      <c r="G102" s="7" t="s">
        <v>20</v>
      </c>
      <c r="H102" s="1">
        <v>45022</v>
      </c>
      <c r="I102" s="1">
        <v>22</v>
      </c>
      <c r="J102" s="1">
        <v>474.55</v>
      </c>
      <c r="K102" s="1">
        <v>273.02999999999997</v>
      </c>
    </row>
    <row r="103" spans="2:11" x14ac:dyDescent="0.25">
      <c r="B103" s="7" t="s">
        <v>125</v>
      </c>
      <c r="C103" s="7" t="s">
        <v>48</v>
      </c>
      <c r="D103" s="7" t="s">
        <v>18</v>
      </c>
      <c r="E103" s="7" t="s">
        <v>23</v>
      </c>
      <c r="F103" s="7" t="s">
        <v>14</v>
      </c>
      <c r="G103" s="7" t="s">
        <v>28</v>
      </c>
      <c r="H103" s="1">
        <v>45023</v>
      </c>
      <c r="I103" s="1">
        <v>55</v>
      </c>
      <c r="J103" s="1">
        <v>130</v>
      </c>
      <c r="K103" s="1">
        <v>77.5</v>
      </c>
    </row>
    <row r="104" spans="2:11" x14ac:dyDescent="0.25">
      <c r="B104" s="7" t="s">
        <v>126</v>
      </c>
      <c r="C104" s="7" t="s">
        <v>17</v>
      </c>
      <c r="D104" s="7" t="s">
        <v>26</v>
      </c>
      <c r="E104" s="7" t="s">
        <v>23</v>
      </c>
      <c r="F104" s="7" t="s">
        <v>14</v>
      </c>
      <c r="G104" s="7" t="s">
        <v>15</v>
      </c>
      <c r="H104" s="1">
        <v>45024</v>
      </c>
      <c r="I104" s="1">
        <v>164</v>
      </c>
      <c r="J104" s="1">
        <v>182.83</v>
      </c>
      <c r="K104" s="1">
        <v>248.34</v>
      </c>
    </row>
    <row r="105" spans="2:11" x14ac:dyDescent="0.25">
      <c r="B105" s="7" t="s">
        <v>127</v>
      </c>
      <c r="C105" s="7" t="s">
        <v>48</v>
      </c>
      <c r="D105" s="7" t="s">
        <v>26</v>
      </c>
      <c r="E105" s="7" t="s">
        <v>42</v>
      </c>
      <c r="F105" s="7" t="s">
        <v>14</v>
      </c>
      <c r="G105" s="7" t="s">
        <v>15</v>
      </c>
      <c r="H105" s="1">
        <v>45025</v>
      </c>
      <c r="I105" s="1">
        <v>122</v>
      </c>
      <c r="J105" s="1">
        <v>192.78</v>
      </c>
      <c r="K105" s="1">
        <v>130.75</v>
      </c>
    </row>
    <row r="106" spans="2:11" x14ac:dyDescent="0.25">
      <c r="B106" s="7" t="s">
        <v>128</v>
      </c>
      <c r="C106" s="7" t="s">
        <v>22</v>
      </c>
      <c r="D106" s="7" t="s">
        <v>31</v>
      </c>
      <c r="E106" s="7" t="s">
        <v>13</v>
      </c>
      <c r="F106" s="7" t="s">
        <v>24</v>
      </c>
      <c r="G106" s="7" t="s">
        <v>20</v>
      </c>
      <c r="H106" s="1">
        <v>45026</v>
      </c>
      <c r="I106" s="1">
        <v>242</v>
      </c>
      <c r="J106" s="1">
        <v>304.74</v>
      </c>
      <c r="K106" s="1">
        <v>334.05</v>
      </c>
    </row>
    <row r="107" spans="2:11" x14ac:dyDescent="0.25">
      <c r="B107" s="7" t="s">
        <v>129</v>
      </c>
      <c r="C107" s="7" t="s">
        <v>11</v>
      </c>
      <c r="D107" s="7" t="s">
        <v>26</v>
      </c>
      <c r="E107" s="7" t="s">
        <v>42</v>
      </c>
      <c r="F107" s="7" t="s">
        <v>24</v>
      </c>
      <c r="G107" s="7" t="s">
        <v>20</v>
      </c>
      <c r="H107" s="1">
        <v>45027</v>
      </c>
      <c r="I107" s="1">
        <v>26</v>
      </c>
      <c r="J107" s="1">
        <v>181.58</v>
      </c>
      <c r="K107" s="1">
        <v>252.46</v>
      </c>
    </row>
    <row r="108" spans="2:11" x14ac:dyDescent="0.25">
      <c r="B108" s="7" t="s">
        <v>130</v>
      </c>
      <c r="C108" s="7" t="s">
        <v>48</v>
      </c>
      <c r="D108" s="7" t="s">
        <v>26</v>
      </c>
      <c r="E108" s="7" t="s">
        <v>27</v>
      </c>
      <c r="F108" s="7" t="s">
        <v>14</v>
      </c>
      <c r="G108" s="7" t="s">
        <v>15</v>
      </c>
      <c r="H108" s="1">
        <v>45028</v>
      </c>
      <c r="I108" s="1">
        <v>369</v>
      </c>
      <c r="J108" s="1">
        <v>269.08999999999997</v>
      </c>
      <c r="K108" s="1">
        <v>81.14</v>
      </c>
    </row>
    <row r="109" spans="2:11" x14ac:dyDescent="0.25">
      <c r="B109" s="7" t="s">
        <v>131</v>
      </c>
      <c r="C109" s="7" t="s">
        <v>48</v>
      </c>
      <c r="D109" s="7" t="s">
        <v>31</v>
      </c>
      <c r="E109" s="7" t="s">
        <v>42</v>
      </c>
      <c r="F109" s="7" t="s">
        <v>24</v>
      </c>
      <c r="G109" s="7" t="s">
        <v>20</v>
      </c>
      <c r="H109" s="1">
        <v>45029</v>
      </c>
      <c r="I109" s="1">
        <v>232</v>
      </c>
      <c r="J109" s="1">
        <v>391.99</v>
      </c>
      <c r="K109" s="1">
        <v>27.72</v>
      </c>
    </row>
    <row r="110" spans="2:11" x14ac:dyDescent="0.25">
      <c r="B110" s="7" t="s">
        <v>132</v>
      </c>
      <c r="C110" s="7" t="s">
        <v>17</v>
      </c>
      <c r="D110" s="7" t="s">
        <v>26</v>
      </c>
      <c r="E110" s="7" t="s">
        <v>23</v>
      </c>
      <c r="F110" s="7" t="s">
        <v>14</v>
      </c>
      <c r="G110" s="7" t="s">
        <v>20</v>
      </c>
      <c r="H110" s="1">
        <v>45030</v>
      </c>
      <c r="I110" s="1">
        <v>363</v>
      </c>
      <c r="J110" s="1">
        <v>354.17</v>
      </c>
      <c r="K110" s="1">
        <v>18.97</v>
      </c>
    </row>
    <row r="111" spans="2:11" x14ac:dyDescent="0.25">
      <c r="B111" s="7" t="s">
        <v>133</v>
      </c>
      <c r="C111" s="7" t="s">
        <v>48</v>
      </c>
      <c r="D111" s="7" t="s">
        <v>26</v>
      </c>
      <c r="E111" s="7" t="s">
        <v>42</v>
      </c>
      <c r="F111" s="7" t="s">
        <v>14</v>
      </c>
      <c r="G111" s="7" t="s">
        <v>20</v>
      </c>
      <c r="H111" s="1">
        <v>45031</v>
      </c>
      <c r="I111" s="1">
        <v>197</v>
      </c>
      <c r="J111" s="1">
        <v>225.95</v>
      </c>
      <c r="K111" s="1">
        <v>149.82</v>
      </c>
    </row>
    <row r="112" spans="2:11" x14ac:dyDescent="0.25">
      <c r="B112" s="7" t="s">
        <v>134</v>
      </c>
      <c r="C112" s="7" t="s">
        <v>48</v>
      </c>
      <c r="D112" s="7" t="s">
        <v>26</v>
      </c>
      <c r="E112" s="7" t="s">
        <v>13</v>
      </c>
      <c r="F112" s="7" t="s">
        <v>14</v>
      </c>
      <c r="G112" s="7" t="s">
        <v>28</v>
      </c>
      <c r="H112" s="1">
        <v>45032</v>
      </c>
      <c r="I112" s="1">
        <v>457</v>
      </c>
      <c r="J112" s="1">
        <v>432.79</v>
      </c>
      <c r="K112" s="1">
        <v>107.81</v>
      </c>
    </row>
    <row r="113" spans="2:11" x14ac:dyDescent="0.25">
      <c r="B113" s="7" t="s">
        <v>135</v>
      </c>
      <c r="C113" s="7" t="s">
        <v>48</v>
      </c>
      <c r="D113" s="7" t="s">
        <v>18</v>
      </c>
      <c r="E113" s="7" t="s">
        <v>19</v>
      </c>
      <c r="F113" s="7" t="s">
        <v>14</v>
      </c>
      <c r="G113" s="7" t="s">
        <v>28</v>
      </c>
      <c r="H113" s="1">
        <v>45033</v>
      </c>
      <c r="I113" s="1">
        <v>353</v>
      </c>
      <c r="J113" s="1">
        <v>281.27999999999997</v>
      </c>
      <c r="K113" s="1">
        <v>259.14</v>
      </c>
    </row>
    <row r="114" spans="2:11" x14ac:dyDescent="0.25">
      <c r="B114" s="7" t="s">
        <v>136</v>
      </c>
      <c r="C114" s="7" t="s">
        <v>17</v>
      </c>
      <c r="D114" s="7" t="s">
        <v>18</v>
      </c>
      <c r="E114" s="7" t="s">
        <v>42</v>
      </c>
      <c r="F114" s="7" t="s">
        <v>24</v>
      </c>
      <c r="G114" s="7" t="s">
        <v>20</v>
      </c>
      <c r="H114" s="1">
        <v>45034</v>
      </c>
      <c r="I114" s="1">
        <v>374</v>
      </c>
      <c r="J114" s="1">
        <v>272.25</v>
      </c>
      <c r="K114" s="1">
        <v>200.73</v>
      </c>
    </row>
    <row r="115" spans="2:11" x14ac:dyDescent="0.25">
      <c r="B115" s="7" t="s">
        <v>137</v>
      </c>
      <c r="C115" s="7" t="s">
        <v>48</v>
      </c>
      <c r="D115" s="7" t="s">
        <v>18</v>
      </c>
      <c r="E115" s="7" t="s">
        <v>13</v>
      </c>
      <c r="F115" s="7" t="s">
        <v>24</v>
      </c>
      <c r="G115" s="7" t="s">
        <v>20</v>
      </c>
      <c r="H115" s="1">
        <v>45035</v>
      </c>
      <c r="I115" s="1">
        <v>172</v>
      </c>
      <c r="J115" s="1">
        <v>21.92</v>
      </c>
      <c r="K115" s="1">
        <v>107.88</v>
      </c>
    </row>
    <row r="116" spans="2:11" x14ac:dyDescent="0.25">
      <c r="B116" s="7" t="s">
        <v>138</v>
      </c>
      <c r="C116" s="7" t="s">
        <v>11</v>
      </c>
      <c r="D116" s="7" t="s">
        <v>31</v>
      </c>
      <c r="E116" s="7" t="s">
        <v>13</v>
      </c>
      <c r="F116" s="7" t="s">
        <v>24</v>
      </c>
      <c r="G116" s="7" t="s">
        <v>28</v>
      </c>
      <c r="H116" s="1">
        <v>45036</v>
      </c>
      <c r="I116" s="1">
        <v>335</v>
      </c>
      <c r="J116" s="1">
        <v>493.41</v>
      </c>
      <c r="K116" s="1">
        <v>61.4</v>
      </c>
    </row>
    <row r="117" spans="2:11" x14ac:dyDescent="0.25">
      <c r="B117" s="7" t="s">
        <v>139</v>
      </c>
      <c r="C117" s="7" t="s">
        <v>17</v>
      </c>
      <c r="D117" s="7" t="s">
        <v>50</v>
      </c>
      <c r="E117" s="7" t="s">
        <v>23</v>
      </c>
      <c r="F117" s="7" t="s">
        <v>14</v>
      </c>
      <c r="G117" s="7" t="s">
        <v>28</v>
      </c>
      <c r="H117" s="1">
        <v>45037</v>
      </c>
      <c r="I117" s="1">
        <v>476</v>
      </c>
      <c r="J117" s="1">
        <v>65.87</v>
      </c>
      <c r="K117" s="1">
        <v>52.63</v>
      </c>
    </row>
    <row r="118" spans="2:11" x14ac:dyDescent="0.25">
      <c r="B118" s="7" t="s">
        <v>140</v>
      </c>
      <c r="C118" s="7" t="s">
        <v>11</v>
      </c>
      <c r="D118" s="7" t="s">
        <v>26</v>
      </c>
      <c r="E118" s="7" t="s">
        <v>13</v>
      </c>
      <c r="F118" s="7" t="s">
        <v>14</v>
      </c>
      <c r="G118" s="7" t="s">
        <v>15</v>
      </c>
      <c r="H118" s="1">
        <v>45038</v>
      </c>
      <c r="I118" s="1">
        <v>423</v>
      </c>
      <c r="J118" s="1">
        <v>119.41</v>
      </c>
      <c r="K118" s="1">
        <v>346.13</v>
      </c>
    </row>
    <row r="119" spans="2:11" x14ac:dyDescent="0.25">
      <c r="B119" s="7" t="s">
        <v>141</v>
      </c>
      <c r="C119" s="7" t="s">
        <v>17</v>
      </c>
      <c r="D119" s="7" t="s">
        <v>26</v>
      </c>
      <c r="E119" s="7" t="s">
        <v>13</v>
      </c>
      <c r="F119" s="7" t="s">
        <v>14</v>
      </c>
      <c r="G119" s="7" t="s">
        <v>15</v>
      </c>
      <c r="H119" s="1">
        <v>45039</v>
      </c>
      <c r="I119" s="1">
        <v>464</v>
      </c>
      <c r="J119" s="1">
        <v>30.59</v>
      </c>
      <c r="K119" s="1">
        <v>98.9</v>
      </c>
    </row>
    <row r="120" spans="2:11" x14ac:dyDescent="0.25">
      <c r="B120" s="7" t="s">
        <v>142</v>
      </c>
      <c r="C120" s="7" t="s">
        <v>48</v>
      </c>
      <c r="D120" s="7" t="s">
        <v>31</v>
      </c>
      <c r="E120" s="7" t="s">
        <v>13</v>
      </c>
      <c r="F120" s="7" t="s">
        <v>24</v>
      </c>
      <c r="G120" s="7" t="s">
        <v>28</v>
      </c>
      <c r="H120" s="1">
        <v>45040</v>
      </c>
      <c r="I120" s="1">
        <v>83</v>
      </c>
      <c r="J120" s="1">
        <v>321.8</v>
      </c>
      <c r="K120" s="1">
        <v>261.38</v>
      </c>
    </row>
    <row r="121" spans="2:11" x14ac:dyDescent="0.25">
      <c r="B121" s="7" t="s">
        <v>143</v>
      </c>
      <c r="C121" s="7" t="s">
        <v>11</v>
      </c>
      <c r="D121" s="7" t="s">
        <v>26</v>
      </c>
      <c r="E121" s="7" t="s">
        <v>13</v>
      </c>
      <c r="F121" s="7" t="s">
        <v>14</v>
      </c>
      <c r="G121" s="7" t="s">
        <v>20</v>
      </c>
      <c r="H121" s="1">
        <v>45041</v>
      </c>
      <c r="I121" s="1">
        <v>242</v>
      </c>
      <c r="J121" s="1">
        <v>116.23</v>
      </c>
      <c r="K121" s="1">
        <v>324.64999999999998</v>
      </c>
    </row>
    <row r="122" spans="2:11" x14ac:dyDescent="0.25">
      <c r="B122" s="7" t="s">
        <v>144</v>
      </c>
      <c r="C122" s="7" t="s">
        <v>17</v>
      </c>
      <c r="D122" s="7" t="s">
        <v>18</v>
      </c>
      <c r="E122" s="7" t="s">
        <v>27</v>
      </c>
      <c r="F122" s="7" t="s">
        <v>24</v>
      </c>
      <c r="G122" s="7" t="s">
        <v>20</v>
      </c>
      <c r="H122" s="1">
        <v>45042</v>
      </c>
      <c r="I122" s="1">
        <v>233</v>
      </c>
      <c r="J122" s="1">
        <v>94.11</v>
      </c>
      <c r="K122" s="1">
        <v>246.4</v>
      </c>
    </row>
    <row r="123" spans="2:11" x14ac:dyDescent="0.25">
      <c r="B123" s="7" t="s">
        <v>145</v>
      </c>
      <c r="C123" s="7" t="s">
        <v>22</v>
      </c>
      <c r="D123" s="7" t="s">
        <v>50</v>
      </c>
      <c r="E123" s="7" t="s">
        <v>27</v>
      </c>
      <c r="F123" s="7" t="s">
        <v>24</v>
      </c>
      <c r="G123" s="7" t="s">
        <v>20</v>
      </c>
      <c r="H123" s="1">
        <v>45043</v>
      </c>
      <c r="I123" s="1">
        <v>491</v>
      </c>
      <c r="J123" s="1">
        <v>48.84</v>
      </c>
      <c r="K123" s="1">
        <v>344.11</v>
      </c>
    </row>
    <row r="124" spans="2:11" x14ac:dyDescent="0.25">
      <c r="B124" s="7" t="s">
        <v>146</v>
      </c>
      <c r="C124" s="7" t="s">
        <v>22</v>
      </c>
      <c r="D124" s="7" t="s">
        <v>12</v>
      </c>
      <c r="E124" s="7" t="s">
        <v>23</v>
      </c>
      <c r="F124" s="7" t="s">
        <v>24</v>
      </c>
      <c r="G124" s="7" t="s">
        <v>20</v>
      </c>
      <c r="H124" s="1">
        <v>45044</v>
      </c>
      <c r="I124" s="1">
        <v>328</v>
      </c>
      <c r="J124" s="1">
        <v>56.14</v>
      </c>
      <c r="K124" s="1">
        <v>158.16999999999999</v>
      </c>
    </row>
    <row r="125" spans="2:11" x14ac:dyDescent="0.25">
      <c r="B125" s="7" t="s">
        <v>147</v>
      </c>
      <c r="C125" s="7" t="s">
        <v>17</v>
      </c>
      <c r="D125" s="7" t="s">
        <v>26</v>
      </c>
      <c r="E125" s="7" t="s">
        <v>42</v>
      </c>
      <c r="F125" s="7" t="s">
        <v>24</v>
      </c>
      <c r="G125" s="7" t="s">
        <v>15</v>
      </c>
      <c r="H125" s="1">
        <v>45045</v>
      </c>
      <c r="I125" s="1">
        <v>421</v>
      </c>
      <c r="J125" s="1">
        <v>294.41000000000003</v>
      </c>
      <c r="K125" s="1">
        <v>382.58</v>
      </c>
    </row>
    <row r="126" spans="2:11" x14ac:dyDescent="0.25">
      <c r="B126" s="7" t="s">
        <v>148</v>
      </c>
      <c r="C126" s="7" t="s">
        <v>22</v>
      </c>
      <c r="D126" s="7" t="s">
        <v>18</v>
      </c>
      <c r="E126" s="7" t="s">
        <v>13</v>
      </c>
      <c r="F126" s="7" t="s">
        <v>24</v>
      </c>
      <c r="G126" s="7" t="s">
        <v>28</v>
      </c>
      <c r="H126" s="1">
        <v>45046</v>
      </c>
      <c r="I126" s="1">
        <v>69</v>
      </c>
      <c r="J126" s="1">
        <v>345.66</v>
      </c>
      <c r="K126" s="1">
        <v>54.99</v>
      </c>
    </row>
    <row r="127" spans="2:11" x14ac:dyDescent="0.25">
      <c r="B127" s="7" t="s">
        <v>149</v>
      </c>
      <c r="C127" s="7" t="s">
        <v>17</v>
      </c>
      <c r="D127" s="7" t="s">
        <v>12</v>
      </c>
      <c r="E127" s="7" t="s">
        <v>42</v>
      </c>
      <c r="F127" s="7" t="s">
        <v>24</v>
      </c>
      <c r="G127" s="7" t="s">
        <v>20</v>
      </c>
      <c r="H127" s="1">
        <v>45047</v>
      </c>
      <c r="I127" s="1">
        <v>344</v>
      </c>
      <c r="J127" s="1">
        <v>201.7</v>
      </c>
      <c r="K127" s="1">
        <v>42.66</v>
      </c>
    </row>
    <row r="128" spans="2:11" x14ac:dyDescent="0.25">
      <c r="B128" s="7" t="s">
        <v>150</v>
      </c>
      <c r="C128" s="7" t="s">
        <v>17</v>
      </c>
      <c r="D128" s="7" t="s">
        <v>50</v>
      </c>
      <c r="E128" s="7" t="s">
        <v>42</v>
      </c>
      <c r="F128" s="7" t="s">
        <v>14</v>
      </c>
      <c r="G128" s="7" t="s">
        <v>15</v>
      </c>
      <c r="H128" s="1">
        <v>45048</v>
      </c>
      <c r="I128" s="1">
        <v>231</v>
      </c>
      <c r="J128" s="1">
        <v>242.55</v>
      </c>
      <c r="K128" s="1">
        <v>264.16000000000003</v>
      </c>
    </row>
    <row r="129" spans="2:11" x14ac:dyDescent="0.25">
      <c r="B129" s="7" t="s">
        <v>151</v>
      </c>
      <c r="C129" s="7" t="s">
        <v>48</v>
      </c>
      <c r="D129" s="7" t="s">
        <v>12</v>
      </c>
      <c r="E129" s="7" t="s">
        <v>23</v>
      </c>
      <c r="F129" s="7" t="s">
        <v>14</v>
      </c>
      <c r="G129" s="7" t="s">
        <v>20</v>
      </c>
      <c r="H129" s="1">
        <v>45049</v>
      </c>
      <c r="I129" s="1">
        <v>46</v>
      </c>
      <c r="J129" s="1">
        <v>344.55</v>
      </c>
      <c r="K129" s="1">
        <v>377.25</v>
      </c>
    </row>
    <row r="130" spans="2:11" x14ac:dyDescent="0.25">
      <c r="B130" s="7" t="s">
        <v>152</v>
      </c>
      <c r="C130" s="7" t="s">
        <v>11</v>
      </c>
      <c r="D130" s="7" t="s">
        <v>18</v>
      </c>
      <c r="E130" s="7" t="s">
        <v>13</v>
      </c>
      <c r="F130" s="7" t="s">
        <v>24</v>
      </c>
      <c r="G130" s="7" t="s">
        <v>28</v>
      </c>
      <c r="H130" s="1">
        <v>45050</v>
      </c>
      <c r="I130" s="1">
        <v>486</v>
      </c>
      <c r="J130" s="1">
        <v>13.6</v>
      </c>
      <c r="K130" s="1">
        <v>323.94</v>
      </c>
    </row>
    <row r="131" spans="2:11" x14ac:dyDescent="0.25">
      <c r="B131" s="7" t="s">
        <v>153</v>
      </c>
      <c r="C131" s="7" t="s">
        <v>22</v>
      </c>
      <c r="D131" s="7" t="s">
        <v>12</v>
      </c>
      <c r="E131" s="7" t="s">
        <v>13</v>
      </c>
      <c r="F131" s="7" t="s">
        <v>24</v>
      </c>
      <c r="G131" s="7" t="s">
        <v>15</v>
      </c>
      <c r="H131" s="1">
        <v>45051</v>
      </c>
      <c r="I131" s="1">
        <v>287</v>
      </c>
      <c r="J131" s="1">
        <v>164.95</v>
      </c>
      <c r="K131" s="1">
        <v>32.409999999999997</v>
      </c>
    </row>
    <row r="132" spans="2:11" x14ac:dyDescent="0.25">
      <c r="B132" s="7" t="s">
        <v>154</v>
      </c>
      <c r="C132" s="7" t="s">
        <v>17</v>
      </c>
      <c r="D132" s="7" t="s">
        <v>31</v>
      </c>
      <c r="E132" s="7" t="s">
        <v>19</v>
      </c>
      <c r="F132" s="7" t="s">
        <v>14</v>
      </c>
      <c r="G132" s="7" t="s">
        <v>28</v>
      </c>
      <c r="H132" s="1">
        <v>45052</v>
      </c>
      <c r="I132" s="1">
        <v>205</v>
      </c>
      <c r="J132" s="1">
        <v>486.68</v>
      </c>
      <c r="K132" s="1">
        <v>113.19</v>
      </c>
    </row>
    <row r="133" spans="2:11" x14ac:dyDescent="0.25">
      <c r="B133" s="7" t="s">
        <v>155</v>
      </c>
      <c r="C133" s="7" t="s">
        <v>48</v>
      </c>
      <c r="D133" s="7" t="s">
        <v>12</v>
      </c>
      <c r="E133" s="7" t="s">
        <v>42</v>
      </c>
      <c r="F133" s="7" t="s">
        <v>24</v>
      </c>
      <c r="G133" s="7" t="s">
        <v>28</v>
      </c>
      <c r="H133" s="1">
        <v>45053</v>
      </c>
      <c r="I133" s="1">
        <v>413</v>
      </c>
      <c r="J133" s="1">
        <v>292.16000000000003</v>
      </c>
      <c r="K133" s="1">
        <v>372.27</v>
      </c>
    </row>
    <row r="134" spans="2:11" x14ac:dyDescent="0.25">
      <c r="B134" s="7" t="s">
        <v>156</v>
      </c>
      <c r="C134" s="7" t="s">
        <v>22</v>
      </c>
      <c r="D134" s="7" t="s">
        <v>26</v>
      </c>
      <c r="E134" s="7" t="s">
        <v>42</v>
      </c>
      <c r="F134" s="7" t="s">
        <v>24</v>
      </c>
      <c r="G134" s="7" t="s">
        <v>15</v>
      </c>
      <c r="H134" s="1">
        <v>45054</v>
      </c>
      <c r="I134" s="1">
        <v>361</v>
      </c>
      <c r="J134" s="1">
        <v>130.84</v>
      </c>
      <c r="K134" s="1">
        <v>102.72</v>
      </c>
    </row>
    <row r="135" spans="2:11" x14ac:dyDescent="0.25">
      <c r="B135" s="7" t="s">
        <v>157</v>
      </c>
      <c r="C135" s="7" t="s">
        <v>17</v>
      </c>
      <c r="D135" s="7" t="s">
        <v>26</v>
      </c>
      <c r="E135" s="7" t="s">
        <v>27</v>
      </c>
      <c r="F135" s="7" t="s">
        <v>14</v>
      </c>
      <c r="G135" s="7" t="s">
        <v>15</v>
      </c>
      <c r="H135" s="1">
        <v>45055</v>
      </c>
      <c r="I135" s="1">
        <v>493</v>
      </c>
      <c r="J135" s="1">
        <v>263.26</v>
      </c>
      <c r="K135" s="1">
        <v>312.91000000000003</v>
      </c>
    </row>
    <row r="136" spans="2:11" x14ac:dyDescent="0.25">
      <c r="B136" s="7" t="s">
        <v>158</v>
      </c>
      <c r="C136" s="7" t="s">
        <v>17</v>
      </c>
      <c r="D136" s="7" t="s">
        <v>31</v>
      </c>
      <c r="E136" s="7" t="s">
        <v>19</v>
      </c>
      <c r="F136" s="7" t="s">
        <v>24</v>
      </c>
      <c r="G136" s="7" t="s">
        <v>15</v>
      </c>
      <c r="H136" s="1">
        <v>45056</v>
      </c>
      <c r="I136" s="1">
        <v>251</v>
      </c>
      <c r="J136" s="1">
        <v>174.61</v>
      </c>
      <c r="K136" s="1">
        <v>330.4</v>
      </c>
    </row>
    <row r="137" spans="2:11" x14ac:dyDescent="0.25">
      <c r="B137" s="7" t="s">
        <v>159</v>
      </c>
      <c r="C137" s="7" t="s">
        <v>17</v>
      </c>
      <c r="D137" s="7" t="s">
        <v>18</v>
      </c>
      <c r="E137" s="7" t="s">
        <v>27</v>
      </c>
      <c r="F137" s="7" t="s">
        <v>24</v>
      </c>
      <c r="G137" s="7" t="s">
        <v>15</v>
      </c>
      <c r="H137" s="1">
        <v>45057</v>
      </c>
      <c r="I137" s="9">
        <v>255.9</v>
      </c>
      <c r="J137" s="1">
        <v>268.45999999999998</v>
      </c>
      <c r="K137" s="1">
        <v>199.19</v>
      </c>
    </row>
    <row r="138" spans="2:11" x14ac:dyDescent="0.25">
      <c r="B138" s="7" t="s">
        <v>160</v>
      </c>
      <c r="C138" s="7" t="s">
        <v>22</v>
      </c>
      <c r="D138" s="7" t="s">
        <v>26</v>
      </c>
      <c r="E138" s="7" t="s">
        <v>27</v>
      </c>
      <c r="F138" s="7" t="s">
        <v>24</v>
      </c>
      <c r="G138" s="7" t="s">
        <v>15</v>
      </c>
      <c r="H138" s="1">
        <v>45058</v>
      </c>
      <c r="I138" s="1">
        <v>228</v>
      </c>
      <c r="J138" s="1">
        <v>67.239999999999995</v>
      </c>
      <c r="K138" s="1">
        <v>155.77000000000001</v>
      </c>
    </row>
    <row r="139" spans="2:11" x14ac:dyDescent="0.25">
      <c r="B139" s="7" t="s">
        <v>161</v>
      </c>
      <c r="C139" s="7" t="s">
        <v>22</v>
      </c>
      <c r="D139" s="7" t="s">
        <v>50</v>
      </c>
      <c r="E139" s="7" t="s">
        <v>27</v>
      </c>
      <c r="F139" s="7" t="s">
        <v>14</v>
      </c>
      <c r="G139" s="7" t="s">
        <v>15</v>
      </c>
      <c r="H139" s="1">
        <v>45059</v>
      </c>
      <c r="I139" s="1">
        <v>201</v>
      </c>
      <c r="J139" s="1">
        <v>70.69</v>
      </c>
      <c r="K139" s="1">
        <v>181.15</v>
      </c>
    </row>
    <row r="140" spans="2:11" x14ac:dyDescent="0.25">
      <c r="B140" s="7" t="s">
        <v>162</v>
      </c>
      <c r="C140" s="7" t="s">
        <v>22</v>
      </c>
      <c r="D140" s="7" t="s">
        <v>26</v>
      </c>
      <c r="E140" s="7" t="s">
        <v>23</v>
      </c>
      <c r="F140" s="7" t="s">
        <v>14</v>
      </c>
      <c r="G140" s="7" t="s">
        <v>15</v>
      </c>
      <c r="H140" s="1">
        <v>45060</v>
      </c>
      <c r="I140" s="1">
        <v>26</v>
      </c>
      <c r="J140" s="1">
        <v>76.05</v>
      </c>
      <c r="K140" s="1">
        <v>92.33</v>
      </c>
    </row>
    <row r="141" spans="2:11" x14ac:dyDescent="0.25">
      <c r="B141" s="7" t="s">
        <v>163</v>
      </c>
      <c r="C141" s="7" t="s">
        <v>11</v>
      </c>
      <c r="D141" s="7" t="s">
        <v>26</v>
      </c>
      <c r="E141" s="7" t="s">
        <v>23</v>
      </c>
      <c r="F141" s="7" t="s">
        <v>14</v>
      </c>
      <c r="G141" s="7" t="s">
        <v>20</v>
      </c>
      <c r="H141" s="1">
        <v>45061</v>
      </c>
      <c r="I141" s="1">
        <v>21</v>
      </c>
      <c r="J141" s="1">
        <v>470.21</v>
      </c>
      <c r="K141" s="1">
        <v>355.98</v>
      </c>
    </row>
    <row r="142" spans="2:11" x14ac:dyDescent="0.25">
      <c r="B142" s="7" t="s">
        <v>164</v>
      </c>
      <c r="C142" s="7" t="s">
        <v>22</v>
      </c>
      <c r="D142" s="7" t="s">
        <v>18</v>
      </c>
      <c r="E142" s="7" t="s">
        <v>27</v>
      </c>
      <c r="F142" s="7" t="s">
        <v>24</v>
      </c>
      <c r="G142" s="7" t="s">
        <v>28</v>
      </c>
      <c r="H142" s="1">
        <v>45062</v>
      </c>
      <c r="I142" s="1">
        <v>415</v>
      </c>
      <c r="J142" s="1">
        <v>367.78</v>
      </c>
      <c r="K142" s="1">
        <v>181.35</v>
      </c>
    </row>
    <row r="143" spans="2:11" x14ac:dyDescent="0.25">
      <c r="B143" s="7" t="s">
        <v>165</v>
      </c>
      <c r="C143" s="7" t="s">
        <v>22</v>
      </c>
      <c r="D143" s="7" t="s">
        <v>12</v>
      </c>
      <c r="E143" s="7" t="s">
        <v>19</v>
      </c>
      <c r="F143" s="7" t="s">
        <v>24</v>
      </c>
      <c r="G143" s="7" t="s">
        <v>15</v>
      </c>
      <c r="H143" s="1">
        <v>45063</v>
      </c>
      <c r="I143" s="1">
        <v>410</v>
      </c>
      <c r="J143" s="1">
        <v>85.38</v>
      </c>
      <c r="K143" s="1">
        <v>353.22</v>
      </c>
    </row>
    <row r="144" spans="2:11" x14ac:dyDescent="0.25">
      <c r="B144" s="7" t="s">
        <v>166</v>
      </c>
      <c r="C144" s="7" t="s">
        <v>22</v>
      </c>
      <c r="D144" s="7" t="s">
        <v>26</v>
      </c>
      <c r="E144" s="7" t="s">
        <v>42</v>
      </c>
      <c r="F144" s="7" t="s">
        <v>14</v>
      </c>
      <c r="G144" s="7" t="s">
        <v>20</v>
      </c>
      <c r="H144" s="1">
        <v>45064</v>
      </c>
      <c r="I144" s="1">
        <v>403</v>
      </c>
      <c r="J144" s="1">
        <v>98.23</v>
      </c>
      <c r="K144" s="1">
        <v>44.07</v>
      </c>
    </row>
    <row r="145" spans="2:11" x14ac:dyDescent="0.25">
      <c r="B145" s="7" t="s">
        <v>167</v>
      </c>
      <c r="C145" s="7" t="s">
        <v>11</v>
      </c>
      <c r="D145" s="7" t="s">
        <v>31</v>
      </c>
      <c r="E145" s="7" t="s">
        <v>19</v>
      </c>
      <c r="F145" s="7" t="s">
        <v>24</v>
      </c>
      <c r="G145" s="7" t="s">
        <v>20</v>
      </c>
      <c r="H145" s="1">
        <v>45065</v>
      </c>
      <c r="I145" s="1">
        <v>383</v>
      </c>
      <c r="J145" s="1">
        <v>366.76</v>
      </c>
      <c r="K145" s="1">
        <v>395.33</v>
      </c>
    </row>
    <row r="146" spans="2:11" x14ac:dyDescent="0.25">
      <c r="B146" s="7" t="s">
        <v>168</v>
      </c>
      <c r="C146" s="7" t="s">
        <v>22</v>
      </c>
      <c r="D146" s="7" t="s">
        <v>12</v>
      </c>
      <c r="E146" s="7" t="s">
        <v>13</v>
      </c>
      <c r="F146" s="7" t="s">
        <v>24</v>
      </c>
      <c r="G146" s="7" t="s">
        <v>20</v>
      </c>
      <c r="H146" s="1">
        <v>45066</v>
      </c>
      <c r="I146" s="1">
        <v>202</v>
      </c>
      <c r="J146" s="1">
        <v>82.3</v>
      </c>
      <c r="K146" s="1">
        <v>178.42</v>
      </c>
    </row>
    <row r="147" spans="2:11" x14ac:dyDescent="0.25">
      <c r="B147" s="7" t="s">
        <v>169</v>
      </c>
      <c r="C147" s="7" t="s">
        <v>17</v>
      </c>
      <c r="D147" s="7" t="s">
        <v>50</v>
      </c>
      <c r="E147" s="7" t="s">
        <v>23</v>
      </c>
      <c r="F147" s="7" t="s">
        <v>24</v>
      </c>
      <c r="G147" s="7" t="s">
        <v>28</v>
      </c>
      <c r="H147" s="1">
        <v>45067</v>
      </c>
      <c r="I147" s="1">
        <v>31</v>
      </c>
      <c r="J147" s="1">
        <v>121.11</v>
      </c>
      <c r="K147" s="1">
        <v>21.04</v>
      </c>
    </row>
    <row r="148" spans="2:11" x14ac:dyDescent="0.25">
      <c r="B148" s="7" t="s">
        <v>170</v>
      </c>
      <c r="C148" s="7" t="s">
        <v>22</v>
      </c>
      <c r="D148" s="7" t="s">
        <v>18</v>
      </c>
      <c r="E148" s="7" t="s">
        <v>42</v>
      </c>
      <c r="F148" s="7" t="s">
        <v>24</v>
      </c>
      <c r="G148" s="7" t="s">
        <v>15</v>
      </c>
      <c r="H148" s="1">
        <v>45068</v>
      </c>
      <c r="I148" s="1">
        <v>483</v>
      </c>
      <c r="J148" s="1">
        <v>481.86</v>
      </c>
      <c r="K148" s="1">
        <v>17.13</v>
      </c>
    </row>
    <row r="149" spans="2:11" x14ac:dyDescent="0.25">
      <c r="B149" s="7" t="s">
        <v>171</v>
      </c>
      <c r="C149" s="7" t="s">
        <v>17</v>
      </c>
      <c r="D149" s="7" t="s">
        <v>50</v>
      </c>
      <c r="E149" s="7" t="s">
        <v>42</v>
      </c>
      <c r="F149" s="7" t="s">
        <v>24</v>
      </c>
      <c r="G149" s="7" t="s">
        <v>20</v>
      </c>
      <c r="H149" s="1">
        <v>45069</v>
      </c>
      <c r="I149" s="1">
        <v>129</v>
      </c>
      <c r="J149" s="1">
        <v>131.38</v>
      </c>
      <c r="K149" s="1">
        <v>298.99</v>
      </c>
    </row>
    <row r="150" spans="2:11" x14ac:dyDescent="0.25">
      <c r="B150" s="7" t="s">
        <v>172</v>
      </c>
      <c r="C150" s="7" t="s">
        <v>17</v>
      </c>
      <c r="D150" s="7" t="s">
        <v>12</v>
      </c>
      <c r="E150" s="7" t="s">
        <v>13</v>
      </c>
      <c r="F150" s="7" t="s">
        <v>14</v>
      </c>
      <c r="G150" s="7" t="s">
        <v>28</v>
      </c>
      <c r="H150" s="1">
        <v>45070</v>
      </c>
      <c r="I150" s="1">
        <v>219</v>
      </c>
      <c r="J150" s="1">
        <v>332.51</v>
      </c>
      <c r="K150" s="1">
        <v>264.3</v>
      </c>
    </row>
    <row r="151" spans="2:11" x14ac:dyDescent="0.25">
      <c r="B151" s="7" t="s">
        <v>173</v>
      </c>
      <c r="C151" s="7" t="s">
        <v>17</v>
      </c>
      <c r="D151" s="7" t="s">
        <v>12</v>
      </c>
      <c r="E151" s="7" t="s">
        <v>13</v>
      </c>
      <c r="F151" s="7" t="s">
        <v>24</v>
      </c>
      <c r="G151" s="7" t="s">
        <v>28</v>
      </c>
      <c r="H151" s="1">
        <v>45071</v>
      </c>
      <c r="I151" s="1">
        <v>315</v>
      </c>
      <c r="J151" s="1">
        <v>489.42</v>
      </c>
      <c r="K151" s="1">
        <v>321.25</v>
      </c>
    </row>
    <row r="152" spans="2:11" x14ac:dyDescent="0.25">
      <c r="B152" s="7" t="s">
        <v>174</v>
      </c>
      <c r="C152" s="7" t="s">
        <v>11</v>
      </c>
      <c r="D152" s="7" t="s">
        <v>12</v>
      </c>
      <c r="E152" s="7" t="s">
        <v>27</v>
      </c>
      <c r="F152" s="7" t="s">
        <v>14</v>
      </c>
      <c r="G152" s="7" t="s">
        <v>28</v>
      </c>
      <c r="H152" s="1">
        <v>45072</v>
      </c>
      <c r="I152" s="1">
        <v>279</v>
      </c>
      <c r="J152" s="1">
        <v>190.28</v>
      </c>
      <c r="K152" s="1">
        <v>43.94</v>
      </c>
    </row>
    <row r="153" spans="2:11" x14ac:dyDescent="0.25">
      <c r="B153" s="7" t="s">
        <v>175</v>
      </c>
      <c r="C153" s="7" t="s">
        <v>11</v>
      </c>
      <c r="D153" s="7" t="s">
        <v>50</v>
      </c>
      <c r="E153" s="7" t="s">
        <v>23</v>
      </c>
      <c r="F153" s="7" t="s">
        <v>24</v>
      </c>
      <c r="G153" s="7" t="s">
        <v>20</v>
      </c>
      <c r="H153" s="1">
        <v>45073</v>
      </c>
      <c r="I153" s="1">
        <v>201</v>
      </c>
      <c r="J153" s="1">
        <v>13.67</v>
      </c>
      <c r="K153" s="1">
        <v>16.16</v>
      </c>
    </row>
    <row r="154" spans="2:11" x14ac:dyDescent="0.25">
      <c r="B154" s="7" t="s">
        <v>176</v>
      </c>
      <c r="C154" s="7" t="s">
        <v>11</v>
      </c>
      <c r="D154" s="7" t="s">
        <v>12</v>
      </c>
      <c r="E154" s="7" t="s">
        <v>23</v>
      </c>
      <c r="F154" s="7" t="s">
        <v>14</v>
      </c>
      <c r="G154" s="7" t="s">
        <v>15</v>
      </c>
      <c r="H154" s="1">
        <v>45074</v>
      </c>
      <c r="I154" s="1">
        <v>184</v>
      </c>
      <c r="J154" s="1">
        <v>125.85</v>
      </c>
      <c r="K154" s="1">
        <v>204.41</v>
      </c>
    </row>
    <row r="155" spans="2:11" x14ac:dyDescent="0.25">
      <c r="B155" s="7" t="s">
        <v>177</v>
      </c>
      <c r="C155" s="7" t="s">
        <v>22</v>
      </c>
      <c r="D155" s="7" t="s">
        <v>50</v>
      </c>
      <c r="E155" s="7" t="s">
        <v>19</v>
      </c>
      <c r="F155" s="7" t="s">
        <v>24</v>
      </c>
      <c r="G155" s="7" t="s">
        <v>20</v>
      </c>
      <c r="H155" s="1">
        <v>45075</v>
      </c>
      <c r="I155" s="1">
        <v>294</v>
      </c>
      <c r="J155" s="1">
        <v>416.28</v>
      </c>
      <c r="K155" s="1">
        <v>156.26</v>
      </c>
    </row>
    <row r="156" spans="2:11" x14ac:dyDescent="0.25">
      <c r="B156" s="7" t="s">
        <v>178</v>
      </c>
      <c r="C156" s="7" t="s">
        <v>17</v>
      </c>
      <c r="D156" s="7" t="s">
        <v>12</v>
      </c>
      <c r="E156" s="7" t="s">
        <v>27</v>
      </c>
      <c r="F156" s="7" t="s">
        <v>14</v>
      </c>
      <c r="G156" s="7" t="s">
        <v>20</v>
      </c>
      <c r="H156" s="1">
        <v>45076</v>
      </c>
      <c r="I156" s="1">
        <v>213</v>
      </c>
      <c r="J156" s="1">
        <v>432.98</v>
      </c>
      <c r="K156" s="1">
        <v>185.85</v>
      </c>
    </row>
    <row r="157" spans="2:11" x14ac:dyDescent="0.25">
      <c r="B157" s="7" t="s">
        <v>179</v>
      </c>
      <c r="C157" s="7" t="s">
        <v>11</v>
      </c>
      <c r="D157" s="7" t="s">
        <v>31</v>
      </c>
      <c r="E157" s="7" t="s">
        <v>27</v>
      </c>
      <c r="F157" s="7" t="s">
        <v>24</v>
      </c>
      <c r="G157" s="7" t="s">
        <v>15</v>
      </c>
      <c r="H157" s="1">
        <v>45077</v>
      </c>
      <c r="I157" s="1">
        <v>173</v>
      </c>
      <c r="J157" s="1">
        <v>385.42</v>
      </c>
      <c r="K157" s="1">
        <v>396.65</v>
      </c>
    </row>
    <row r="158" spans="2:11" x14ac:dyDescent="0.25">
      <c r="B158" s="7" t="s">
        <v>180</v>
      </c>
      <c r="C158" s="7" t="s">
        <v>11</v>
      </c>
      <c r="D158" s="7" t="s">
        <v>12</v>
      </c>
      <c r="E158" s="7" t="s">
        <v>27</v>
      </c>
      <c r="F158" s="7" t="s">
        <v>14</v>
      </c>
      <c r="G158" s="7" t="s">
        <v>15</v>
      </c>
      <c r="H158" s="1">
        <v>45078</v>
      </c>
      <c r="I158" s="1">
        <v>260</v>
      </c>
      <c r="J158" s="1">
        <v>60.99</v>
      </c>
      <c r="K158" s="1">
        <v>388.36</v>
      </c>
    </row>
    <row r="159" spans="2:11" x14ac:dyDescent="0.25">
      <c r="B159" s="7" t="s">
        <v>181</v>
      </c>
      <c r="C159" s="7" t="s">
        <v>22</v>
      </c>
      <c r="D159" s="7" t="s">
        <v>50</v>
      </c>
      <c r="E159" s="7" t="s">
        <v>27</v>
      </c>
      <c r="F159" s="7" t="s">
        <v>24</v>
      </c>
      <c r="G159" s="7" t="s">
        <v>15</v>
      </c>
      <c r="H159" s="1">
        <v>45079</v>
      </c>
      <c r="I159" s="1">
        <v>236</v>
      </c>
      <c r="J159" s="1">
        <v>398.78</v>
      </c>
      <c r="K159" s="1">
        <v>377.04</v>
      </c>
    </row>
    <row r="160" spans="2:11" x14ac:dyDescent="0.25">
      <c r="B160" s="7" t="s">
        <v>182</v>
      </c>
      <c r="C160" s="7" t="s">
        <v>11</v>
      </c>
      <c r="D160" s="7" t="s">
        <v>26</v>
      </c>
      <c r="E160" s="7" t="s">
        <v>23</v>
      </c>
      <c r="F160" s="7" t="s">
        <v>14</v>
      </c>
      <c r="G160" s="7" t="s">
        <v>28</v>
      </c>
      <c r="H160" s="1">
        <v>45080</v>
      </c>
      <c r="I160" s="1">
        <v>445</v>
      </c>
      <c r="J160" s="1">
        <v>459.75</v>
      </c>
      <c r="K160" s="1">
        <v>313.97000000000003</v>
      </c>
    </row>
    <row r="161" spans="2:11" x14ac:dyDescent="0.25">
      <c r="B161" s="7" t="s">
        <v>183</v>
      </c>
      <c r="C161" s="7" t="s">
        <v>22</v>
      </c>
      <c r="D161" s="7" t="s">
        <v>12</v>
      </c>
      <c r="E161" s="7" t="s">
        <v>23</v>
      </c>
      <c r="F161" s="7" t="s">
        <v>24</v>
      </c>
      <c r="G161" s="7" t="s">
        <v>15</v>
      </c>
      <c r="H161" s="1">
        <v>45081</v>
      </c>
      <c r="I161" s="1">
        <v>390</v>
      </c>
      <c r="J161" s="1">
        <v>302.3</v>
      </c>
      <c r="K161" s="1">
        <v>143.22999999999999</v>
      </c>
    </row>
    <row r="162" spans="2:11" x14ac:dyDescent="0.25">
      <c r="B162" s="7" t="s">
        <v>184</v>
      </c>
      <c r="C162" s="7" t="s">
        <v>48</v>
      </c>
      <c r="D162" s="7" t="s">
        <v>26</v>
      </c>
      <c r="E162" s="7" t="s">
        <v>27</v>
      </c>
      <c r="F162" s="7" t="s">
        <v>14</v>
      </c>
      <c r="G162" s="7" t="s">
        <v>20</v>
      </c>
      <c r="H162" s="1">
        <v>45082</v>
      </c>
      <c r="I162" s="1">
        <v>469</v>
      </c>
      <c r="J162" s="1">
        <v>470.73</v>
      </c>
      <c r="K162" s="1">
        <v>166.03</v>
      </c>
    </row>
    <row r="163" spans="2:11" x14ac:dyDescent="0.25">
      <c r="B163" s="7" t="s">
        <v>185</v>
      </c>
      <c r="C163" s="7" t="s">
        <v>11</v>
      </c>
      <c r="D163" s="7" t="s">
        <v>31</v>
      </c>
      <c r="E163" s="7" t="s">
        <v>19</v>
      </c>
      <c r="F163" s="7" t="s">
        <v>14</v>
      </c>
      <c r="G163" s="7" t="s">
        <v>15</v>
      </c>
      <c r="H163" s="1">
        <v>45083</v>
      </c>
      <c r="I163" s="1">
        <v>16</v>
      </c>
      <c r="J163" s="8">
        <v>249.64</v>
      </c>
      <c r="K163" s="1">
        <v>220.75</v>
      </c>
    </row>
    <row r="164" spans="2:11" x14ac:dyDescent="0.25">
      <c r="B164" s="7" t="s">
        <v>186</v>
      </c>
      <c r="C164" s="7" t="s">
        <v>48</v>
      </c>
      <c r="D164" s="7" t="s">
        <v>18</v>
      </c>
      <c r="E164" s="7" t="s">
        <v>42</v>
      </c>
      <c r="F164" s="7" t="s">
        <v>24</v>
      </c>
      <c r="G164" s="7" t="s">
        <v>20</v>
      </c>
      <c r="H164" s="1">
        <v>45084</v>
      </c>
      <c r="I164" s="1">
        <v>38</v>
      </c>
      <c r="J164" s="1">
        <v>335.15</v>
      </c>
      <c r="K164" s="1">
        <v>332.55</v>
      </c>
    </row>
    <row r="165" spans="2:11" x14ac:dyDescent="0.25">
      <c r="B165" s="7" t="s">
        <v>187</v>
      </c>
      <c r="C165" s="7" t="s">
        <v>22</v>
      </c>
      <c r="D165" s="7" t="s">
        <v>31</v>
      </c>
      <c r="E165" s="7" t="s">
        <v>42</v>
      </c>
      <c r="F165" s="7" t="s">
        <v>24</v>
      </c>
      <c r="G165" s="7" t="s">
        <v>28</v>
      </c>
      <c r="H165" s="1">
        <v>45085</v>
      </c>
      <c r="I165" s="1">
        <v>404</v>
      </c>
      <c r="J165" s="1">
        <v>290.70999999999998</v>
      </c>
      <c r="K165" s="1">
        <v>29.35</v>
      </c>
    </row>
    <row r="166" spans="2:11" x14ac:dyDescent="0.25">
      <c r="B166" s="7" t="s">
        <v>188</v>
      </c>
      <c r="C166" s="7" t="s">
        <v>17</v>
      </c>
      <c r="D166" s="7" t="s">
        <v>12</v>
      </c>
      <c r="E166" s="7" t="s">
        <v>19</v>
      </c>
      <c r="F166" s="7" t="s">
        <v>14</v>
      </c>
      <c r="G166" s="7" t="s">
        <v>20</v>
      </c>
      <c r="H166" s="1">
        <v>45086</v>
      </c>
      <c r="I166" s="1">
        <v>42</v>
      </c>
      <c r="J166" s="1">
        <v>177.54</v>
      </c>
      <c r="K166" s="1">
        <v>170.87</v>
      </c>
    </row>
    <row r="167" spans="2:11" x14ac:dyDescent="0.25">
      <c r="B167" s="7" t="s">
        <v>189</v>
      </c>
      <c r="C167" s="7" t="s">
        <v>11</v>
      </c>
      <c r="D167" s="7" t="s">
        <v>26</v>
      </c>
      <c r="E167" s="7" t="s">
        <v>27</v>
      </c>
      <c r="F167" s="7" t="s">
        <v>24</v>
      </c>
      <c r="G167" s="7" t="s">
        <v>20</v>
      </c>
      <c r="H167" s="1">
        <v>45087</v>
      </c>
      <c r="I167" s="1">
        <v>143</v>
      </c>
      <c r="J167" s="1">
        <v>83.85</v>
      </c>
      <c r="K167" s="1">
        <v>34.880000000000003</v>
      </c>
    </row>
    <row r="168" spans="2:11" x14ac:dyDescent="0.25">
      <c r="B168" s="7" t="s">
        <v>190</v>
      </c>
      <c r="C168" s="7" t="s">
        <v>22</v>
      </c>
      <c r="D168" s="7" t="s">
        <v>26</v>
      </c>
      <c r="E168" s="7" t="s">
        <v>23</v>
      </c>
      <c r="F168" s="7" t="s">
        <v>14</v>
      </c>
      <c r="G168" s="7" t="s">
        <v>15</v>
      </c>
      <c r="H168" s="1">
        <v>45088</v>
      </c>
      <c r="I168" s="1">
        <v>376</v>
      </c>
      <c r="J168" s="1">
        <v>304.45</v>
      </c>
      <c r="K168" s="1">
        <v>206.83</v>
      </c>
    </row>
    <row r="169" spans="2:11" x14ac:dyDescent="0.25">
      <c r="B169" s="7" t="s">
        <v>191</v>
      </c>
      <c r="C169" s="7" t="s">
        <v>17</v>
      </c>
      <c r="D169" s="7" t="s">
        <v>50</v>
      </c>
      <c r="E169" s="7" t="s">
        <v>42</v>
      </c>
      <c r="F169" s="7" t="s">
        <v>14</v>
      </c>
      <c r="G169" s="7" t="s">
        <v>15</v>
      </c>
      <c r="H169" s="1">
        <v>45089</v>
      </c>
      <c r="I169" s="1">
        <v>88</v>
      </c>
      <c r="J169" s="1">
        <v>162.47</v>
      </c>
      <c r="K169" s="1">
        <v>359.76</v>
      </c>
    </row>
    <row r="170" spans="2:11" x14ac:dyDescent="0.25">
      <c r="B170" s="7" t="s">
        <v>192</v>
      </c>
      <c r="C170" s="7" t="s">
        <v>17</v>
      </c>
      <c r="D170" s="7" t="s">
        <v>26</v>
      </c>
      <c r="E170" s="7" t="s">
        <v>13</v>
      </c>
      <c r="F170" s="7" t="s">
        <v>14</v>
      </c>
      <c r="G170" s="7" t="s">
        <v>20</v>
      </c>
      <c r="H170" s="1">
        <v>45090</v>
      </c>
      <c r="I170" s="1">
        <v>425</v>
      </c>
      <c r="J170" s="1">
        <v>433.89</v>
      </c>
      <c r="K170" s="1">
        <v>313.43</v>
      </c>
    </row>
    <row r="171" spans="2:11" x14ac:dyDescent="0.25">
      <c r="B171" s="7" t="s">
        <v>193</v>
      </c>
      <c r="C171" s="7" t="s">
        <v>48</v>
      </c>
      <c r="D171" s="7" t="s">
        <v>50</v>
      </c>
      <c r="E171" s="7" t="s">
        <v>13</v>
      </c>
      <c r="F171" s="7" t="s">
        <v>24</v>
      </c>
      <c r="G171" s="7" t="s">
        <v>15</v>
      </c>
      <c r="H171" s="1">
        <v>45091</v>
      </c>
      <c r="I171" s="1">
        <v>444</v>
      </c>
      <c r="J171" s="1">
        <v>496.7</v>
      </c>
      <c r="K171" s="1">
        <v>92.68</v>
      </c>
    </row>
    <row r="172" spans="2:11" x14ac:dyDescent="0.25">
      <c r="B172" s="7" t="s">
        <v>194</v>
      </c>
      <c r="C172" s="7" t="s">
        <v>22</v>
      </c>
      <c r="D172" s="7" t="s">
        <v>18</v>
      </c>
      <c r="E172" s="7" t="s">
        <v>19</v>
      </c>
      <c r="F172" s="7" t="s">
        <v>14</v>
      </c>
      <c r="G172" s="7" t="s">
        <v>28</v>
      </c>
      <c r="H172" s="1">
        <v>45092</v>
      </c>
      <c r="I172" s="1">
        <v>468</v>
      </c>
      <c r="J172" s="1">
        <v>377.45</v>
      </c>
      <c r="K172" s="1">
        <v>390.44</v>
      </c>
    </row>
    <row r="173" spans="2:11" x14ac:dyDescent="0.25">
      <c r="B173" s="7" t="s">
        <v>195</v>
      </c>
      <c r="C173" s="7" t="s">
        <v>17</v>
      </c>
      <c r="D173" s="7" t="s">
        <v>12</v>
      </c>
      <c r="E173" s="7" t="s">
        <v>27</v>
      </c>
      <c r="F173" s="7" t="s">
        <v>14</v>
      </c>
      <c r="G173" s="7" t="s">
        <v>28</v>
      </c>
      <c r="H173" s="1">
        <v>45093</v>
      </c>
      <c r="I173" s="1">
        <v>67</v>
      </c>
      <c r="J173" s="1">
        <v>49.79</v>
      </c>
      <c r="K173" s="1">
        <v>267.61</v>
      </c>
    </row>
    <row r="174" spans="2:11" x14ac:dyDescent="0.25">
      <c r="B174" s="7" t="s">
        <v>196</v>
      </c>
      <c r="C174" s="7" t="s">
        <v>11</v>
      </c>
      <c r="D174" s="7" t="s">
        <v>50</v>
      </c>
      <c r="E174" s="7" t="s">
        <v>42</v>
      </c>
      <c r="F174" s="7" t="s">
        <v>24</v>
      </c>
      <c r="G174" s="7" t="s">
        <v>15</v>
      </c>
      <c r="H174" s="1">
        <v>45094</v>
      </c>
      <c r="I174" s="1">
        <v>480</v>
      </c>
      <c r="J174" s="1">
        <v>147.9</v>
      </c>
      <c r="K174" s="1">
        <v>6.15</v>
      </c>
    </row>
    <row r="175" spans="2:11" x14ac:dyDescent="0.25">
      <c r="B175" s="7" t="s">
        <v>197</v>
      </c>
      <c r="C175" s="7" t="s">
        <v>11</v>
      </c>
      <c r="D175" s="7" t="s">
        <v>18</v>
      </c>
      <c r="E175" s="7" t="s">
        <v>27</v>
      </c>
      <c r="F175" s="7" t="s">
        <v>24</v>
      </c>
      <c r="G175" s="7" t="s">
        <v>28</v>
      </c>
      <c r="H175" s="1">
        <v>45095</v>
      </c>
      <c r="I175" s="1">
        <v>35</v>
      </c>
      <c r="J175" s="1">
        <v>59.01</v>
      </c>
      <c r="K175" s="1">
        <v>103.65</v>
      </c>
    </row>
    <row r="176" spans="2:11" x14ac:dyDescent="0.25">
      <c r="B176" s="7" t="s">
        <v>198</v>
      </c>
      <c r="C176" s="7" t="s">
        <v>48</v>
      </c>
      <c r="D176" s="7" t="s">
        <v>26</v>
      </c>
      <c r="E176" s="7" t="s">
        <v>42</v>
      </c>
      <c r="F176" s="7" t="s">
        <v>24</v>
      </c>
      <c r="G176" s="7" t="s">
        <v>15</v>
      </c>
      <c r="H176" s="1">
        <v>45096</v>
      </c>
      <c r="I176" s="1">
        <v>491</v>
      </c>
      <c r="J176" s="1">
        <v>327</v>
      </c>
      <c r="K176" s="1">
        <v>105.76</v>
      </c>
    </row>
    <row r="177" spans="2:11" x14ac:dyDescent="0.25">
      <c r="B177" s="7" t="s">
        <v>199</v>
      </c>
      <c r="C177" s="7" t="s">
        <v>17</v>
      </c>
      <c r="D177" s="7" t="s">
        <v>26</v>
      </c>
      <c r="E177" s="7" t="s">
        <v>19</v>
      </c>
      <c r="F177" s="7" t="s">
        <v>24</v>
      </c>
      <c r="G177" s="7" t="s">
        <v>20</v>
      </c>
      <c r="H177" s="1">
        <v>45097</v>
      </c>
      <c r="I177" s="1">
        <v>439</v>
      </c>
      <c r="J177" s="1">
        <v>383.77</v>
      </c>
      <c r="K177" s="1">
        <v>29.56</v>
      </c>
    </row>
    <row r="178" spans="2:11" x14ac:dyDescent="0.25">
      <c r="B178" s="7" t="s">
        <v>200</v>
      </c>
      <c r="C178" s="7" t="s">
        <v>22</v>
      </c>
      <c r="D178" s="7" t="s">
        <v>18</v>
      </c>
      <c r="E178" s="7" t="s">
        <v>19</v>
      </c>
      <c r="F178" s="7" t="s">
        <v>14</v>
      </c>
      <c r="G178" s="7" t="s">
        <v>20</v>
      </c>
      <c r="H178" s="1">
        <v>45098</v>
      </c>
      <c r="I178" s="1">
        <v>235</v>
      </c>
      <c r="J178" s="1">
        <v>463.21</v>
      </c>
      <c r="K178" s="1">
        <v>384.01</v>
      </c>
    </row>
    <row r="179" spans="2:11" x14ac:dyDescent="0.25">
      <c r="B179" s="7" t="s">
        <v>201</v>
      </c>
      <c r="C179" s="7" t="s">
        <v>11</v>
      </c>
      <c r="D179" s="7" t="s">
        <v>26</v>
      </c>
      <c r="E179" s="7" t="s">
        <v>13</v>
      </c>
      <c r="F179" s="7" t="s">
        <v>14</v>
      </c>
      <c r="G179" s="7" t="s">
        <v>28</v>
      </c>
      <c r="H179" s="1">
        <v>45099</v>
      </c>
      <c r="I179" s="1">
        <v>294</v>
      </c>
      <c r="J179" s="1">
        <v>221.9</v>
      </c>
      <c r="K179" s="1">
        <v>192.35</v>
      </c>
    </row>
    <row r="180" spans="2:11" x14ac:dyDescent="0.25">
      <c r="B180" s="7" t="s">
        <v>202</v>
      </c>
      <c r="C180" s="7" t="s">
        <v>17</v>
      </c>
      <c r="D180" s="7" t="s">
        <v>18</v>
      </c>
      <c r="E180" s="7" t="s">
        <v>27</v>
      </c>
      <c r="F180" s="7" t="s">
        <v>14</v>
      </c>
      <c r="G180" s="7" t="s">
        <v>15</v>
      </c>
      <c r="H180" s="1">
        <v>45100</v>
      </c>
      <c r="I180" s="1">
        <v>13</v>
      </c>
      <c r="J180" s="1">
        <v>451.18</v>
      </c>
      <c r="K180" s="1">
        <v>358.53</v>
      </c>
    </row>
    <row r="181" spans="2:11" x14ac:dyDescent="0.25">
      <c r="B181" s="7" t="s">
        <v>203</v>
      </c>
      <c r="C181" s="7" t="s">
        <v>17</v>
      </c>
      <c r="D181" s="7" t="s">
        <v>50</v>
      </c>
      <c r="E181" s="7" t="s">
        <v>13</v>
      </c>
      <c r="F181" s="7" t="s">
        <v>14</v>
      </c>
      <c r="G181" s="7" t="s">
        <v>15</v>
      </c>
      <c r="H181" s="1">
        <v>45101</v>
      </c>
      <c r="I181" s="1">
        <v>474</v>
      </c>
      <c r="J181" s="1">
        <v>439.56</v>
      </c>
      <c r="K181" s="1">
        <v>130.24</v>
      </c>
    </row>
    <row r="182" spans="2:11" x14ac:dyDescent="0.25">
      <c r="B182" s="7" t="s">
        <v>204</v>
      </c>
      <c r="C182" s="7" t="s">
        <v>48</v>
      </c>
      <c r="D182" s="7" t="s">
        <v>50</v>
      </c>
      <c r="E182" s="7" t="s">
        <v>27</v>
      </c>
      <c r="F182" s="7" t="s">
        <v>24</v>
      </c>
      <c r="G182" s="7" t="s">
        <v>28</v>
      </c>
      <c r="H182" s="1">
        <v>45102</v>
      </c>
      <c r="I182" s="1">
        <v>108</v>
      </c>
      <c r="J182" s="1">
        <v>162.01</v>
      </c>
      <c r="K182" s="1">
        <v>51.84</v>
      </c>
    </row>
    <row r="183" spans="2:11" x14ac:dyDescent="0.25">
      <c r="B183" s="7" t="s">
        <v>205</v>
      </c>
      <c r="C183" s="7" t="s">
        <v>11</v>
      </c>
      <c r="D183" s="7" t="s">
        <v>18</v>
      </c>
      <c r="E183" s="7" t="s">
        <v>13</v>
      </c>
      <c r="F183" s="7" t="s">
        <v>14</v>
      </c>
      <c r="G183" s="7" t="s">
        <v>20</v>
      </c>
      <c r="H183" s="1">
        <v>45103</v>
      </c>
      <c r="I183" s="1">
        <v>406</v>
      </c>
      <c r="J183" s="1">
        <v>435.11</v>
      </c>
      <c r="K183" s="1">
        <v>190.79</v>
      </c>
    </row>
    <row r="184" spans="2:11" x14ac:dyDescent="0.25">
      <c r="B184" s="7" t="s">
        <v>206</v>
      </c>
      <c r="C184" s="7" t="s">
        <v>11</v>
      </c>
      <c r="D184" s="7" t="s">
        <v>50</v>
      </c>
      <c r="E184" s="7" t="s">
        <v>23</v>
      </c>
      <c r="F184" s="7" t="s">
        <v>14</v>
      </c>
      <c r="G184" s="7" t="s">
        <v>28</v>
      </c>
      <c r="H184" s="1">
        <v>45104</v>
      </c>
      <c r="I184" s="1">
        <v>498</v>
      </c>
      <c r="J184" s="1">
        <v>190.96</v>
      </c>
      <c r="K184" s="1">
        <v>47.35</v>
      </c>
    </row>
    <row r="185" spans="2:11" x14ac:dyDescent="0.25">
      <c r="B185" s="7" t="s">
        <v>207</v>
      </c>
      <c r="C185" s="7" t="s">
        <v>22</v>
      </c>
      <c r="D185" s="7" t="s">
        <v>50</v>
      </c>
      <c r="E185" s="7" t="s">
        <v>23</v>
      </c>
      <c r="F185" s="7" t="s">
        <v>24</v>
      </c>
      <c r="G185" s="7" t="s">
        <v>20</v>
      </c>
      <c r="H185" s="1">
        <v>45105</v>
      </c>
      <c r="I185" s="1">
        <v>48</v>
      </c>
      <c r="J185" s="1">
        <v>151.94999999999999</v>
      </c>
      <c r="K185" s="1">
        <v>195.43</v>
      </c>
    </row>
    <row r="186" spans="2:11" x14ac:dyDescent="0.25">
      <c r="B186" s="7" t="s">
        <v>208</v>
      </c>
      <c r="C186" s="7" t="s">
        <v>11</v>
      </c>
      <c r="D186" s="7" t="s">
        <v>50</v>
      </c>
      <c r="E186" s="7" t="s">
        <v>23</v>
      </c>
      <c r="F186" s="7" t="s">
        <v>14</v>
      </c>
      <c r="G186" s="7" t="s">
        <v>15</v>
      </c>
      <c r="H186" s="1">
        <v>45106</v>
      </c>
      <c r="I186" s="1">
        <v>280</v>
      </c>
      <c r="J186" s="1">
        <v>326.29000000000002</v>
      </c>
      <c r="K186" s="1">
        <v>368.28</v>
      </c>
    </row>
    <row r="187" spans="2:11" x14ac:dyDescent="0.25">
      <c r="B187" s="7" t="s">
        <v>209</v>
      </c>
      <c r="C187" s="7" t="s">
        <v>22</v>
      </c>
      <c r="D187" s="7" t="s">
        <v>31</v>
      </c>
      <c r="E187" s="7" t="s">
        <v>23</v>
      </c>
      <c r="F187" s="7" t="s">
        <v>14</v>
      </c>
      <c r="G187" s="7" t="s">
        <v>20</v>
      </c>
      <c r="H187" s="1">
        <v>45107</v>
      </c>
      <c r="I187" s="1">
        <v>384</v>
      </c>
      <c r="J187" s="1">
        <v>167.55</v>
      </c>
      <c r="K187" s="1">
        <v>209.27</v>
      </c>
    </row>
    <row r="188" spans="2:11" x14ac:dyDescent="0.25">
      <c r="B188" s="7" t="s">
        <v>210</v>
      </c>
      <c r="C188" s="7" t="s">
        <v>11</v>
      </c>
      <c r="D188" s="7" t="s">
        <v>12</v>
      </c>
      <c r="E188" s="7" t="s">
        <v>42</v>
      </c>
      <c r="F188" s="7" t="s">
        <v>14</v>
      </c>
      <c r="G188" s="7" t="s">
        <v>28</v>
      </c>
      <c r="H188" s="1">
        <v>45108</v>
      </c>
      <c r="I188" s="1">
        <v>294</v>
      </c>
      <c r="J188" s="1">
        <v>316.95</v>
      </c>
      <c r="K188" s="1">
        <v>247.37</v>
      </c>
    </row>
    <row r="189" spans="2:11" x14ac:dyDescent="0.25">
      <c r="B189" s="7" t="s">
        <v>211</v>
      </c>
      <c r="C189" s="7" t="s">
        <v>48</v>
      </c>
      <c r="D189" s="7" t="s">
        <v>26</v>
      </c>
      <c r="E189" s="7" t="s">
        <v>23</v>
      </c>
      <c r="F189" s="7" t="s">
        <v>14</v>
      </c>
      <c r="G189" s="7" t="s">
        <v>15</v>
      </c>
      <c r="H189" s="1">
        <v>45109</v>
      </c>
      <c r="I189" s="1">
        <v>166</v>
      </c>
      <c r="J189" s="1">
        <v>306.87</v>
      </c>
      <c r="K189" s="1">
        <v>64.34</v>
      </c>
    </row>
    <row r="190" spans="2:11" x14ac:dyDescent="0.25">
      <c r="B190" s="7" t="s">
        <v>212</v>
      </c>
      <c r="C190" s="7" t="s">
        <v>11</v>
      </c>
      <c r="D190" s="7" t="s">
        <v>31</v>
      </c>
      <c r="E190" s="7" t="s">
        <v>19</v>
      </c>
      <c r="F190" s="7" t="s">
        <v>14</v>
      </c>
      <c r="G190" s="7" t="s">
        <v>28</v>
      </c>
      <c r="H190" s="1">
        <v>45110</v>
      </c>
      <c r="I190" s="1">
        <v>84</v>
      </c>
      <c r="J190" s="1">
        <v>283.89999999999998</v>
      </c>
      <c r="K190" s="1">
        <v>19.41</v>
      </c>
    </row>
    <row r="191" spans="2:11" x14ac:dyDescent="0.25">
      <c r="B191" s="7" t="s">
        <v>213</v>
      </c>
      <c r="C191" s="7" t="s">
        <v>22</v>
      </c>
      <c r="D191" s="7" t="s">
        <v>50</v>
      </c>
      <c r="E191" s="7" t="s">
        <v>19</v>
      </c>
      <c r="F191" s="7" t="s">
        <v>14</v>
      </c>
      <c r="G191" s="7" t="s">
        <v>28</v>
      </c>
      <c r="H191" s="1">
        <v>45111</v>
      </c>
      <c r="I191" s="1">
        <v>381</v>
      </c>
      <c r="J191" s="1">
        <v>193.31</v>
      </c>
      <c r="K191" s="1">
        <v>46.1</v>
      </c>
    </row>
    <row r="192" spans="2:11" x14ac:dyDescent="0.25">
      <c r="B192" s="7" t="s">
        <v>214</v>
      </c>
      <c r="C192" s="7" t="s">
        <v>22</v>
      </c>
      <c r="D192" s="7" t="s">
        <v>18</v>
      </c>
      <c r="E192" s="7" t="s">
        <v>42</v>
      </c>
      <c r="F192" s="7" t="s">
        <v>24</v>
      </c>
      <c r="G192" s="7" t="s">
        <v>20</v>
      </c>
      <c r="H192" s="1">
        <v>45112</v>
      </c>
      <c r="I192" s="1">
        <v>297</v>
      </c>
      <c r="J192" s="1">
        <v>276.51</v>
      </c>
      <c r="K192" s="1">
        <v>240.22</v>
      </c>
    </row>
    <row r="193" spans="2:11" x14ac:dyDescent="0.25">
      <c r="B193" s="7" t="s">
        <v>215</v>
      </c>
      <c r="C193" s="7" t="s">
        <v>48</v>
      </c>
      <c r="D193" s="7" t="s">
        <v>50</v>
      </c>
      <c r="E193" s="7" t="s">
        <v>23</v>
      </c>
      <c r="F193" s="7" t="s">
        <v>24</v>
      </c>
      <c r="G193" s="7" t="s">
        <v>28</v>
      </c>
      <c r="H193" s="1">
        <v>45113</v>
      </c>
      <c r="I193" s="1">
        <v>139</v>
      </c>
      <c r="J193" s="1">
        <v>300.26</v>
      </c>
      <c r="K193" s="1">
        <v>39.81</v>
      </c>
    </row>
    <row r="194" spans="2:11" x14ac:dyDescent="0.25">
      <c r="B194" s="7" t="s">
        <v>216</v>
      </c>
      <c r="C194" s="7" t="s">
        <v>11</v>
      </c>
      <c r="D194" s="7" t="s">
        <v>12</v>
      </c>
      <c r="E194" s="7" t="s">
        <v>23</v>
      </c>
      <c r="F194" s="7" t="s">
        <v>14</v>
      </c>
      <c r="G194" s="7" t="s">
        <v>20</v>
      </c>
      <c r="H194" s="1">
        <v>45114</v>
      </c>
      <c r="I194" s="1">
        <v>184</v>
      </c>
      <c r="J194" s="1">
        <v>275.12</v>
      </c>
      <c r="K194" s="1">
        <v>151.65</v>
      </c>
    </row>
    <row r="195" spans="2:11" x14ac:dyDescent="0.25">
      <c r="B195" s="7" t="s">
        <v>217</v>
      </c>
      <c r="C195" s="7" t="s">
        <v>11</v>
      </c>
      <c r="D195" s="7" t="s">
        <v>50</v>
      </c>
      <c r="E195" s="7" t="s">
        <v>23</v>
      </c>
      <c r="F195" s="7" t="s">
        <v>14</v>
      </c>
      <c r="G195" s="7" t="s">
        <v>15</v>
      </c>
      <c r="H195" s="1">
        <v>45115</v>
      </c>
      <c r="I195" s="1">
        <v>471</v>
      </c>
      <c r="J195" s="1">
        <v>224.99</v>
      </c>
      <c r="K195" s="1">
        <v>220.94</v>
      </c>
    </row>
    <row r="196" spans="2:11" x14ac:dyDescent="0.25">
      <c r="B196" s="7" t="s">
        <v>218</v>
      </c>
      <c r="C196" s="7" t="s">
        <v>48</v>
      </c>
      <c r="D196" s="7" t="s">
        <v>18</v>
      </c>
      <c r="E196" s="7" t="s">
        <v>13</v>
      </c>
      <c r="F196" s="7" t="s">
        <v>24</v>
      </c>
      <c r="G196" s="7" t="s">
        <v>20</v>
      </c>
      <c r="H196" s="1">
        <v>45116</v>
      </c>
      <c r="I196" s="1">
        <v>93</v>
      </c>
      <c r="J196" s="1">
        <v>12.26</v>
      </c>
      <c r="K196" s="1">
        <v>156.68</v>
      </c>
    </row>
    <row r="197" spans="2:11" x14ac:dyDescent="0.25">
      <c r="B197" s="7" t="s">
        <v>219</v>
      </c>
      <c r="C197" s="7" t="s">
        <v>11</v>
      </c>
      <c r="D197" s="7" t="s">
        <v>12</v>
      </c>
      <c r="E197" s="7" t="s">
        <v>27</v>
      </c>
      <c r="F197" s="7" t="s">
        <v>14</v>
      </c>
      <c r="G197" s="7" t="s">
        <v>15</v>
      </c>
      <c r="H197" s="1">
        <v>45117</v>
      </c>
      <c r="I197" s="1">
        <v>31</v>
      </c>
      <c r="J197" s="1">
        <v>295.60000000000002</v>
      </c>
      <c r="K197" s="1">
        <v>67.150000000000006</v>
      </c>
    </row>
    <row r="198" spans="2:11" x14ac:dyDescent="0.25">
      <c r="B198" s="7" t="s">
        <v>220</v>
      </c>
      <c r="C198" s="7" t="s">
        <v>11</v>
      </c>
      <c r="D198" s="7" t="s">
        <v>50</v>
      </c>
      <c r="E198" s="7" t="s">
        <v>13</v>
      </c>
      <c r="F198" s="7" t="s">
        <v>14</v>
      </c>
      <c r="G198" s="7" t="s">
        <v>20</v>
      </c>
      <c r="H198" s="1">
        <v>45118</v>
      </c>
      <c r="I198" s="1">
        <v>468</v>
      </c>
      <c r="J198" s="1">
        <v>88.38</v>
      </c>
      <c r="K198" s="1">
        <v>110.97</v>
      </c>
    </row>
    <row r="199" spans="2:11" x14ac:dyDescent="0.25">
      <c r="B199" s="7" t="s">
        <v>221</v>
      </c>
      <c r="C199" s="7" t="s">
        <v>22</v>
      </c>
      <c r="D199" s="7" t="s">
        <v>12</v>
      </c>
      <c r="E199" s="7" t="s">
        <v>27</v>
      </c>
      <c r="F199" s="7" t="s">
        <v>14</v>
      </c>
      <c r="G199" s="7" t="s">
        <v>28</v>
      </c>
      <c r="H199" s="1">
        <v>45119</v>
      </c>
      <c r="I199" s="1">
        <v>36</v>
      </c>
      <c r="J199" s="1">
        <v>323.08</v>
      </c>
      <c r="K199" s="1">
        <v>371.47</v>
      </c>
    </row>
    <row r="200" spans="2:11" x14ac:dyDescent="0.25">
      <c r="B200" s="7" t="s">
        <v>222</v>
      </c>
      <c r="C200" s="7" t="s">
        <v>11</v>
      </c>
      <c r="D200" s="7" t="s">
        <v>26</v>
      </c>
      <c r="E200" s="7" t="s">
        <v>23</v>
      </c>
      <c r="F200" s="7" t="s">
        <v>24</v>
      </c>
      <c r="G200" s="7" t="s">
        <v>20</v>
      </c>
      <c r="H200" s="1">
        <v>45120</v>
      </c>
      <c r="I200" s="1">
        <v>204</v>
      </c>
      <c r="J200" s="1">
        <v>380.88</v>
      </c>
      <c r="K200" s="1">
        <v>271.04000000000002</v>
      </c>
    </row>
    <row r="201" spans="2:11" x14ac:dyDescent="0.25">
      <c r="B201" s="7" t="s">
        <v>223</v>
      </c>
      <c r="C201" s="7" t="s">
        <v>11</v>
      </c>
      <c r="D201" s="7" t="s">
        <v>26</v>
      </c>
      <c r="E201" s="7" t="s">
        <v>23</v>
      </c>
      <c r="F201" s="7" t="s">
        <v>14</v>
      </c>
      <c r="G201" s="7" t="s">
        <v>20</v>
      </c>
      <c r="H201" s="1">
        <v>45121</v>
      </c>
      <c r="I201" s="1">
        <v>346</v>
      </c>
      <c r="J201" s="1">
        <v>252.72</v>
      </c>
      <c r="K201" s="1">
        <v>199.43</v>
      </c>
    </row>
    <row r="202" spans="2:11" x14ac:dyDescent="0.25">
      <c r="B202" s="7" t="s">
        <v>224</v>
      </c>
      <c r="C202" s="7" t="s">
        <v>48</v>
      </c>
      <c r="D202" s="7" t="s">
        <v>50</v>
      </c>
      <c r="E202" s="7" t="s">
        <v>13</v>
      </c>
      <c r="F202" s="7" t="s">
        <v>24</v>
      </c>
      <c r="G202" s="7" t="s">
        <v>15</v>
      </c>
      <c r="H202" s="1">
        <v>45122</v>
      </c>
      <c r="I202" s="1">
        <v>391</v>
      </c>
      <c r="J202" s="1">
        <v>273.47000000000003</v>
      </c>
      <c r="K202" s="1">
        <v>7.06</v>
      </c>
    </row>
    <row r="203" spans="2:11" x14ac:dyDescent="0.25">
      <c r="B203" s="7" t="s">
        <v>225</v>
      </c>
      <c r="C203" s="7" t="s">
        <v>48</v>
      </c>
      <c r="D203" s="7" t="s">
        <v>12</v>
      </c>
      <c r="E203" s="7" t="s">
        <v>13</v>
      </c>
      <c r="F203" s="7" t="s">
        <v>14</v>
      </c>
      <c r="G203" s="7" t="s">
        <v>28</v>
      </c>
      <c r="H203" s="1">
        <v>45123</v>
      </c>
      <c r="I203" s="1">
        <v>245</v>
      </c>
      <c r="J203" s="1">
        <v>475.98</v>
      </c>
      <c r="K203" s="1">
        <v>396.98</v>
      </c>
    </row>
    <row r="204" spans="2:11" x14ac:dyDescent="0.25">
      <c r="B204" s="7" t="s">
        <v>226</v>
      </c>
      <c r="C204" s="7" t="s">
        <v>17</v>
      </c>
      <c r="D204" s="7" t="s">
        <v>18</v>
      </c>
      <c r="E204" s="7" t="s">
        <v>27</v>
      </c>
      <c r="F204" s="7" t="s">
        <v>24</v>
      </c>
      <c r="G204" s="7" t="s">
        <v>20</v>
      </c>
      <c r="H204" s="1">
        <v>45124</v>
      </c>
      <c r="I204" s="1">
        <v>449</v>
      </c>
      <c r="J204" s="1">
        <v>424.35</v>
      </c>
      <c r="K204" s="1">
        <v>269.24</v>
      </c>
    </row>
    <row r="205" spans="2:11" x14ac:dyDescent="0.25">
      <c r="B205" s="7" t="s">
        <v>227</v>
      </c>
      <c r="C205" s="7" t="s">
        <v>22</v>
      </c>
      <c r="D205" s="7" t="s">
        <v>50</v>
      </c>
      <c r="E205" s="7" t="s">
        <v>19</v>
      </c>
      <c r="F205" s="7" t="s">
        <v>24</v>
      </c>
      <c r="G205" s="7" t="s">
        <v>28</v>
      </c>
      <c r="H205" s="1">
        <v>45125</v>
      </c>
      <c r="I205" s="1">
        <v>101</v>
      </c>
      <c r="J205" s="1">
        <v>457.55</v>
      </c>
      <c r="K205" s="1">
        <v>128.13999999999999</v>
      </c>
    </row>
    <row r="206" spans="2:11" x14ac:dyDescent="0.25">
      <c r="B206" s="7" t="s">
        <v>228</v>
      </c>
      <c r="C206" s="7" t="s">
        <v>11</v>
      </c>
      <c r="D206" s="7" t="s">
        <v>26</v>
      </c>
      <c r="E206" s="7" t="s">
        <v>27</v>
      </c>
      <c r="F206" s="7" t="s">
        <v>14</v>
      </c>
      <c r="G206" s="7" t="s">
        <v>20</v>
      </c>
      <c r="H206" s="1">
        <v>45126</v>
      </c>
      <c r="I206" s="9">
        <v>255.9</v>
      </c>
      <c r="J206" s="1">
        <v>407.81</v>
      </c>
      <c r="K206" s="1">
        <v>351.95</v>
      </c>
    </row>
    <row r="207" spans="2:11" x14ac:dyDescent="0.25">
      <c r="B207" s="7" t="s">
        <v>229</v>
      </c>
      <c r="C207" s="7" t="s">
        <v>11</v>
      </c>
      <c r="D207" s="7" t="s">
        <v>26</v>
      </c>
      <c r="E207" s="7" t="s">
        <v>13</v>
      </c>
      <c r="F207" s="7" t="s">
        <v>24</v>
      </c>
      <c r="G207" s="7" t="s">
        <v>20</v>
      </c>
      <c r="H207" s="1">
        <v>45127</v>
      </c>
      <c r="I207" s="1">
        <v>30</v>
      </c>
      <c r="J207" s="1">
        <v>58.91</v>
      </c>
      <c r="K207" s="1">
        <v>104.86</v>
      </c>
    </row>
    <row r="208" spans="2:11" x14ac:dyDescent="0.25">
      <c r="B208" s="7" t="s">
        <v>230</v>
      </c>
      <c r="C208" s="7" t="s">
        <v>17</v>
      </c>
      <c r="D208" s="7" t="s">
        <v>50</v>
      </c>
      <c r="E208" s="7" t="s">
        <v>13</v>
      </c>
      <c r="F208" s="7" t="s">
        <v>14</v>
      </c>
      <c r="G208" s="7" t="s">
        <v>28</v>
      </c>
      <c r="H208" s="1">
        <v>45128</v>
      </c>
      <c r="I208" s="1">
        <v>312</v>
      </c>
      <c r="J208" s="1">
        <v>78.75</v>
      </c>
      <c r="K208" s="1">
        <v>218.52</v>
      </c>
    </row>
    <row r="209" spans="2:11" x14ac:dyDescent="0.25">
      <c r="B209" s="7" t="s">
        <v>231</v>
      </c>
      <c r="C209" s="7" t="s">
        <v>11</v>
      </c>
      <c r="D209" s="7" t="s">
        <v>12</v>
      </c>
      <c r="E209" s="7" t="s">
        <v>42</v>
      </c>
      <c r="F209" s="7" t="s">
        <v>24</v>
      </c>
      <c r="G209" s="7" t="s">
        <v>20</v>
      </c>
      <c r="H209" s="1">
        <v>45129</v>
      </c>
      <c r="I209" s="1">
        <v>473</v>
      </c>
      <c r="J209" s="1">
        <v>265.68</v>
      </c>
      <c r="K209" s="1">
        <v>255.16</v>
      </c>
    </row>
    <row r="210" spans="2:11" x14ac:dyDescent="0.25">
      <c r="B210" s="7" t="s">
        <v>232</v>
      </c>
      <c r="C210" s="7" t="s">
        <v>22</v>
      </c>
      <c r="D210" s="7" t="s">
        <v>26</v>
      </c>
      <c r="E210" s="7" t="s">
        <v>13</v>
      </c>
      <c r="F210" s="7" t="s">
        <v>14</v>
      </c>
      <c r="G210" s="7" t="s">
        <v>28</v>
      </c>
      <c r="H210" s="1">
        <v>45130</v>
      </c>
      <c r="I210" s="1">
        <v>366</v>
      </c>
      <c r="J210" s="1">
        <v>126.8</v>
      </c>
      <c r="K210" s="1">
        <v>89.98</v>
      </c>
    </row>
    <row r="211" spans="2:11" x14ac:dyDescent="0.25">
      <c r="B211" s="7" t="s">
        <v>233</v>
      </c>
      <c r="C211" s="7" t="s">
        <v>17</v>
      </c>
      <c r="D211" s="7" t="s">
        <v>12</v>
      </c>
      <c r="E211" s="7" t="s">
        <v>42</v>
      </c>
      <c r="F211" s="7" t="s">
        <v>14</v>
      </c>
      <c r="G211" s="7" t="s">
        <v>20</v>
      </c>
      <c r="H211" s="1">
        <v>45131</v>
      </c>
      <c r="I211" s="1">
        <v>452</v>
      </c>
      <c r="J211" s="1">
        <v>240.96</v>
      </c>
      <c r="K211" s="1">
        <v>391.4</v>
      </c>
    </row>
    <row r="212" spans="2:11" x14ac:dyDescent="0.25">
      <c r="B212" s="7" t="s">
        <v>234</v>
      </c>
      <c r="C212" s="7" t="s">
        <v>22</v>
      </c>
      <c r="D212" s="7" t="s">
        <v>26</v>
      </c>
      <c r="E212" s="7" t="s">
        <v>19</v>
      </c>
      <c r="F212" s="7" t="s">
        <v>24</v>
      </c>
      <c r="G212" s="7" t="s">
        <v>15</v>
      </c>
      <c r="H212" s="1">
        <v>45132</v>
      </c>
      <c r="I212" s="1">
        <v>93</v>
      </c>
      <c r="J212" s="1">
        <v>200.21</v>
      </c>
      <c r="K212" s="1">
        <v>299.77999999999997</v>
      </c>
    </row>
    <row r="213" spans="2:11" x14ac:dyDescent="0.25">
      <c r="B213" s="7" t="s">
        <v>235</v>
      </c>
      <c r="C213" s="7" t="s">
        <v>17</v>
      </c>
      <c r="D213" s="7" t="s">
        <v>26</v>
      </c>
      <c r="E213" s="7" t="s">
        <v>27</v>
      </c>
      <c r="F213" s="7" t="s">
        <v>14</v>
      </c>
      <c r="G213" s="7" t="s">
        <v>28</v>
      </c>
      <c r="H213" s="1">
        <v>45133</v>
      </c>
      <c r="I213" s="1">
        <v>271</v>
      </c>
      <c r="J213" s="1">
        <v>276.95999999999998</v>
      </c>
      <c r="K213" s="1">
        <v>224.01</v>
      </c>
    </row>
    <row r="214" spans="2:11" x14ac:dyDescent="0.25">
      <c r="B214" s="7" t="s">
        <v>236</v>
      </c>
      <c r="C214" s="7" t="s">
        <v>17</v>
      </c>
      <c r="D214" s="7" t="s">
        <v>31</v>
      </c>
      <c r="E214" s="7" t="s">
        <v>27</v>
      </c>
      <c r="F214" s="7" t="s">
        <v>14</v>
      </c>
      <c r="G214" s="7" t="s">
        <v>20</v>
      </c>
      <c r="H214" s="1">
        <v>45134</v>
      </c>
      <c r="I214" s="1">
        <v>156</v>
      </c>
      <c r="J214" s="1">
        <v>374.7</v>
      </c>
      <c r="K214" s="1">
        <v>73.88</v>
      </c>
    </row>
    <row r="215" spans="2:11" x14ac:dyDescent="0.25">
      <c r="B215" s="7" t="s">
        <v>237</v>
      </c>
      <c r="C215" s="7" t="s">
        <v>48</v>
      </c>
      <c r="D215" s="7" t="s">
        <v>26</v>
      </c>
      <c r="E215" s="7" t="s">
        <v>42</v>
      </c>
      <c r="F215" s="7" t="s">
        <v>24</v>
      </c>
      <c r="G215" s="7" t="s">
        <v>20</v>
      </c>
      <c r="H215" s="1">
        <v>45135</v>
      </c>
      <c r="I215" s="1">
        <v>450</v>
      </c>
      <c r="J215" s="1">
        <v>359.17</v>
      </c>
      <c r="K215" s="1">
        <v>23.44</v>
      </c>
    </row>
    <row r="216" spans="2:11" x14ac:dyDescent="0.25">
      <c r="B216" s="7" t="s">
        <v>238</v>
      </c>
      <c r="C216" s="7" t="s">
        <v>22</v>
      </c>
      <c r="D216" s="7" t="s">
        <v>18</v>
      </c>
      <c r="E216" s="7" t="s">
        <v>27</v>
      </c>
      <c r="F216" s="7" t="s">
        <v>14</v>
      </c>
      <c r="G216" s="7" t="s">
        <v>15</v>
      </c>
      <c r="H216" s="1">
        <v>45136</v>
      </c>
      <c r="I216" s="1">
        <v>462</v>
      </c>
      <c r="J216" s="1">
        <v>263.01</v>
      </c>
      <c r="K216" s="1">
        <v>129.38</v>
      </c>
    </row>
    <row r="217" spans="2:11" x14ac:dyDescent="0.25">
      <c r="B217" s="7" t="s">
        <v>239</v>
      </c>
      <c r="C217" s="7" t="s">
        <v>11</v>
      </c>
      <c r="D217" s="7" t="s">
        <v>50</v>
      </c>
      <c r="E217" s="7" t="s">
        <v>27</v>
      </c>
      <c r="F217" s="7" t="s">
        <v>14</v>
      </c>
      <c r="G217" s="7" t="s">
        <v>28</v>
      </c>
      <c r="H217" s="1">
        <v>45137</v>
      </c>
      <c r="I217" s="1">
        <v>396</v>
      </c>
      <c r="J217" s="1">
        <v>412.08</v>
      </c>
      <c r="K217" s="1">
        <v>301.77</v>
      </c>
    </row>
    <row r="218" spans="2:11" x14ac:dyDescent="0.25">
      <c r="B218" s="7" t="s">
        <v>240</v>
      </c>
      <c r="C218" s="7" t="s">
        <v>11</v>
      </c>
      <c r="D218" s="7" t="s">
        <v>50</v>
      </c>
      <c r="E218" s="7" t="s">
        <v>23</v>
      </c>
      <c r="F218" s="7" t="s">
        <v>24</v>
      </c>
      <c r="G218" s="7" t="s">
        <v>20</v>
      </c>
      <c r="H218" s="1">
        <v>45138</v>
      </c>
      <c r="I218" s="1">
        <v>266</v>
      </c>
      <c r="J218" s="1">
        <v>218.28</v>
      </c>
      <c r="K218" s="1">
        <v>109.19</v>
      </c>
    </row>
    <row r="219" spans="2:11" x14ac:dyDescent="0.25">
      <c r="B219" s="7" t="s">
        <v>241</v>
      </c>
      <c r="C219" s="7" t="s">
        <v>22</v>
      </c>
      <c r="D219" s="7" t="s">
        <v>12</v>
      </c>
      <c r="E219" s="7" t="s">
        <v>42</v>
      </c>
      <c r="F219" s="7" t="s">
        <v>24</v>
      </c>
      <c r="G219" s="7" t="s">
        <v>15</v>
      </c>
      <c r="H219" s="1">
        <v>45139</v>
      </c>
      <c r="I219" s="1">
        <v>67</v>
      </c>
      <c r="J219" s="1">
        <v>448.87</v>
      </c>
      <c r="K219" s="1">
        <v>216.74</v>
      </c>
    </row>
    <row r="220" spans="2:11" x14ac:dyDescent="0.25">
      <c r="B220" s="7" t="s">
        <v>242</v>
      </c>
      <c r="C220" s="7" t="s">
        <v>11</v>
      </c>
      <c r="D220" s="7" t="s">
        <v>26</v>
      </c>
      <c r="E220" s="7" t="s">
        <v>27</v>
      </c>
      <c r="F220" s="7" t="s">
        <v>14</v>
      </c>
      <c r="G220" s="7" t="s">
        <v>20</v>
      </c>
      <c r="H220" s="1">
        <v>45140</v>
      </c>
      <c r="I220" s="1">
        <v>389</v>
      </c>
      <c r="J220" s="1">
        <v>40.28</v>
      </c>
      <c r="K220" s="1">
        <v>291.72000000000003</v>
      </c>
    </row>
    <row r="221" spans="2:11" x14ac:dyDescent="0.25">
      <c r="B221" s="7" t="s">
        <v>243</v>
      </c>
      <c r="C221" s="7" t="s">
        <v>11</v>
      </c>
      <c r="D221" s="7" t="s">
        <v>18</v>
      </c>
      <c r="E221" s="7" t="s">
        <v>42</v>
      </c>
      <c r="F221" s="7" t="s">
        <v>14</v>
      </c>
      <c r="G221" s="7" t="s">
        <v>28</v>
      </c>
      <c r="H221" s="1">
        <v>45141</v>
      </c>
      <c r="I221" s="1">
        <v>431</v>
      </c>
      <c r="J221" s="1">
        <v>477.56</v>
      </c>
      <c r="K221" s="1">
        <v>44.96</v>
      </c>
    </row>
    <row r="222" spans="2:11" x14ac:dyDescent="0.25">
      <c r="B222" s="7" t="s">
        <v>244</v>
      </c>
      <c r="C222" s="7" t="s">
        <v>22</v>
      </c>
      <c r="D222" s="7" t="s">
        <v>12</v>
      </c>
      <c r="E222" s="7" t="s">
        <v>42</v>
      </c>
      <c r="F222" s="7" t="s">
        <v>24</v>
      </c>
      <c r="G222" s="7" t="s">
        <v>20</v>
      </c>
      <c r="H222" s="1">
        <v>45142</v>
      </c>
      <c r="I222" s="1">
        <v>24</v>
      </c>
      <c r="J222" s="1">
        <v>329.07</v>
      </c>
      <c r="K222" s="1">
        <v>274.75</v>
      </c>
    </row>
    <row r="223" spans="2:11" x14ac:dyDescent="0.25">
      <c r="B223" s="7" t="s">
        <v>245</v>
      </c>
      <c r="C223" s="7" t="s">
        <v>17</v>
      </c>
      <c r="D223" s="7" t="s">
        <v>31</v>
      </c>
      <c r="E223" s="7" t="s">
        <v>23</v>
      </c>
      <c r="F223" s="7" t="s">
        <v>24</v>
      </c>
      <c r="G223" s="7" t="s">
        <v>20</v>
      </c>
      <c r="H223" s="1">
        <v>45143</v>
      </c>
      <c r="I223" s="1">
        <v>171</v>
      </c>
      <c r="J223" s="1">
        <v>193.14</v>
      </c>
      <c r="K223" s="1">
        <v>38.56</v>
      </c>
    </row>
    <row r="224" spans="2:11" x14ac:dyDescent="0.25">
      <c r="B224" s="7" t="s">
        <v>246</v>
      </c>
      <c r="C224" s="7" t="s">
        <v>22</v>
      </c>
      <c r="D224" s="7" t="s">
        <v>12</v>
      </c>
      <c r="E224" s="7" t="s">
        <v>13</v>
      </c>
      <c r="F224" s="7" t="s">
        <v>14</v>
      </c>
      <c r="G224" s="7" t="s">
        <v>20</v>
      </c>
      <c r="H224" s="1">
        <v>45144</v>
      </c>
      <c r="I224" s="1">
        <v>454</v>
      </c>
      <c r="J224" s="1">
        <v>102.59</v>
      </c>
      <c r="K224" s="1">
        <v>386.12</v>
      </c>
    </row>
    <row r="225" spans="2:11" x14ac:dyDescent="0.25">
      <c r="B225" s="7" t="s">
        <v>247</v>
      </c>
      <c r="C225" s="7" t="s">
        <v>17</v>
      </c>
      <c r="D225" s="7" t="s">
        <v>12</v>
      </c>
      <c r="E225" s="7" t="s">
        <v>42</v>
      </c>
      <c r="F225" s="7" t="s">
        <v>24</v>
      </c>
      <c r="G225" s="7" t="s">
        <v>20</v>
      </c>
      <c r="H225" s="1">
        <v>45145</v>
      </c>
      <c r="I225" s="1">
        <v>172</v>
      </c>
      <c r="J225" s="1">
        <v>242.2</v>
      </c>
      <c r="K225" s="1">
        <v>196.38</v>
      </c>
    </row>
    <row r="226" spans="2:11" x14ac:dyDescent="0.25">
      <c r="B226" s="7" t="s">
        <v>248</v>
      </c>
      <c r="C226" s="7" t="s">
        <v>11</v>
      </c>
      <c r="D226" s="7" t="s">
        <v>26</v>
      </c>
      <c r="E226" s="7" t="s">
        <v>27</v>
      </c>
      <c r="F226" s="7" t="s">
        <v>14</v>
      </c>
      <c r="G226" s="7" t="s">
        <v>15</v>
      </c>
      <c r="H226" s="1">
        <v>45146</v>
      </c>
      <c r="I226" s="1">
        <v>329</v>
      </c>
      <c r="J226" s="1">
        <v>101.31</v>
      </c>
      <c r="K226" s="1">
        <v>61.97</v>
      </c>
    </row>
    <row r="227" spans="2:11" x14ac:dyDescent="0.25">
      <c r="B227" s="7" t="s">
        <v>249</v>
      </c>
      <c r="C227" s="7" t="s">
        <v>11</v>
      </c>
      <c r="D227" s="7" t="s">
        <v>31</v>
      </c>
      <c r="E227" s="7" t="s">
        <v>19</v>
      </c>
      <c r="F227" s="7" t="s">
        <v>14</v>
      </c>
      <c r="G227" s="7" t="s">
        <v>15</v>
      </c>
      <c r="H227" s="1">
        <v>45147</v>
      </c>
      <c r="I227" s="1">
        <v>290</v>
      </c>
      <c r="J227" s="1">
        <v>87.33</v>
      </c>
      <c r="K227" s="1">
        <v>138.27000000000001</v>
      </c>
    </row>
    <row r="228" spans="2:11" x14ac:dyDescent="0.25">
      <c r="B228" s="7" t="s">
        <v>250</v>
      </c>
      <c r="C228" s="7" t="s">
        <v>11</v>
      </c>
      <c r="D228" s="7" t="s">
        <v>12</v>
      </c>
      <c r="E228" s="7" t="s">
        <v>42</v>
      </c>
      <c r="F228" s="7" t="s">
        <v>14</v>
      </c>
      <c r="G228" s="7" t="s">
        <v>28</v>
      </c>
      <c r="H228" s="1">
        <v>45148</v>
      </c>
      <c r="I228" s="1">
        <v>289</v>
      </c>
      <c r="J228" s="1">
        <v>310.58999999999997</v>
      </c>
      <c r="K228" s="1">
        <v>166.54</v>
      </c>
    </row>
    <row r="229" spans="2:11" x14ac:dyDescent="0.25">
      <c r="B229" s="7" t="s">
        <v>251</v>
      </c>
      <c r="C229" s="7" t="s">
        <v>48</v>
      </c>
      <c r="D229" s="7" t="s">
        <v>18</v>
      </c>
      <c r="E229" s="7" t="s">
        <v>42</v>
      </c>
      <c r="F229" s="7" t="s">
        <v>14</v>
      </c>
      <c r="G229" s="7" t="s">
        <v>15</v>
      </c>
      <c r="H229" s="1">
        <v>45149</v>
      </c>
      <c r="I229" s="1">
        <v>21</v>
      </c>
      <c r="J229" s="1">
        <v>263.93</v>
      </c>
      <c r="K229" s="1">
        <v>303.76</v>
      </c>
    </row>
    <row r="230" spans="2:11" x14ac:dyDescent="0.25">
      <c r="B230" s="7" t="s">
        <v>252</v>
      </c>
      <c r="C230" s="7" t="s">
        <v>17</v>
      </c>
      <c r="D230" s="7" t="s">
        <v>18</v>
      </c>
      <c r="E230" s="7" t="s">
        <v>23</v>
      </c>
      <c r="F230" s="7" t="s">
        <v>14</v>
      </c>
      <c r="G230" s="7" t="s">
        <v>15</v>
      </c>
      <c r="H230" s="1">
        <v>45150</v>
      </c>
      <c r="I230" s="1">
        <v>283</v>
      </c>
      <c r="J230" s="1">
        <v>336.7</v>
      </c>
      <c r="K230" s="1">
        <v>297.88</v>
      </c>
    </row>
    <row r="231" spans="2:11" x14ac:dyDescent="0.25">
      <c r="B231" s="7" t="s">
        <v>253</v>
      </c>
      <c r="C231" s="7" t="s">
        <v>48</v>
      </c>
      <c r="D231" s="7" t="s">
        <v>50</v>
      </c>
      <c r="E231" s="7" t="s">
        <v>13</v>
      </c>
      <c r="F231" s="7" t="s">
        <v>24</v>
      </c>
      <c r="G231" s="7" t="s">
        <v>28</v>
      </c>
      <c r="H231" s="1">
        <v>45151</v>
      </c>
      <c r="I231" s="1">
        <v>280</v>
      </c>
      <c r="J231" s="1">
        <v>465.15</v>
      </c>
      <c r="K231" s="1">
        <v>245.55</v>
      </c>
    </row>
    <row r="232" spans="2:11" x14ac:dyDescent="0.25">
      <c r="B232" s="7" t="s">
        <v>254</v>
      </c>
      <c r="C232" s="7" t="s">
        <v>48</v>
      </c>
      <c r="D232" s="7" t="s">
        <v>31</v>
      </c>
      <c r="E232" s="7" t="s">
        <v>19</v>
      </c>
      <c r="F232" s="7" t="s">
        <v>24</v>
      </c>
      <c r="G232" s="7" t="s">
        <v>15</v>
      </c>
      <c r="H232" s="1">
        <v>45152</v>
      </c>
      <c r="I232" s="1">
        <v>217</v>
      </c>
      <c r="J232" s="1">
        <v>268.47000000000003</v>
      </c>
      <c r="K232" s="1">
        <v>44.16</v>
      </c>
    </row>
    <row r="233" spans="2:11" x14ac:dyDescent="0.25">
      <c r="B233" s="7" t="s">
        <v>255</v>
      </c>
      <c r="C233" s="7" t="s">
        <v>22</v>
      </c>
      <c r="D233" s="7" t="s">
        <v>31</v>
      </c>
      <c r="E233" s="7" t="s">
        <v>27</v>
      </c>
      <c r="F233" s="7" t="s">
        <v>24</v>
      </c>
      <c r="G233" s="7" t="s">
        <v>15</v>
      </c>
      <c r="H233" s="1">
        <v>45153</v>
      </c>
      <c r="I233" s="1">
        <v>36</v>
      </c>
      <c r="J233" s="1">
        <v>292.56</v>
      </c>
      <c r="K233" s="1">
        <v>62.32</v>
      </c>
    </row>
    <row r="234" spans="2:11" x14ac:dyDescent="0.25">
      <c r="B234" s="7" t="s">
        <v>256</v>
      </c>
      <c r="C234" s="7" t="s">
        <v>48</v>
      </c>
      <c r="D234" s="7" t="s">
        <v>50</v>
      </c>
      <c r="E234" s="7" t="s">
        <v>19</v>
      </c>
      <c r="F234" s="7" t="s">
        <v>24</v>
      </c>
      <c r="G234" s="7" t="s">
        <v>28</v>
      </c>
      <c r="H234" s="1">
        <v>45154</v>
      </c>
      <c r="I234" s="9">
        <v>255.9</v>
      </c>
      <c r="J234" s="1">
        <v>49.37</v>
      </c>
      <c r="K234" s="1">
        <v>39.32</v>
      </c>
    </row>
    <row r="235" spans="2:11" x14ac:dyDescent="0.25">
      <c r="B235" s="7" t="s">
        <v>257</v>
      </c>
      <c r="C235" s="7" t="s">
        <v>22</v>
      </c>
      <c r="D235" s="7" t="s">
        <v>12</v>
      </c>
      <c r="E235" s="7" t="s">
        <v>27</v>
      </c>
      <c r="F235" s="7" t="s">
        <v>14</v>
      </c>
      <c r="G235" s="7" t="s">
        <v>28</v>
      </c>
      <c r="H235" s="1">
        <v>45155</v>
      </c>
      <c r="I235" s="1">
        <v>69</v>
      </c>
      <c r="J235" s="1">
        <v>360.23</v>
      </c>
      <c r="K235" s="1">
        <v>231.71</v>
      </c>
    </row>
    <row r="236" spans="2:11" x14ac:dyDescent="0.25">
      <c r="B236" s="7" t="s">
        <v>258</v>
      </c>
      <c r="C236" s="7" t="s">
        <v>22</v>
      </c>
      <c r="D236" s="7" t="s">
        <v>31</v>
      </c>
      <c r="E236" s="7" t="s">
        <v>13</v>
      </c>
      <c r="F236" s="7" t="s">
        <v>14</v>
      </c>
      <c r="G236" s="7" t="s">
        <v>28</v>
      </c>
      <c r="H236" s="1">
        <v>45156</v>
      </c>
      <c r="I236" s="1">
        <v>439</v>
      </c>
      <c r="J236" s="1">
        <v>202.95</v>
      </c>
      <c r="K236" s="1">
        <v>351.1</v>
      </c>
    </row>
    <row r="237" spans="2:11" x14ac:dyDescent="0.25">
      <c r="B237" s="7" t="s">
        <v>259</v>
      </c>
      <c r="C237" s="7" t="s">
        <v>48</v>
      </c>
      <c r="D237" s="7" t="s">
        <v>18</v>
      </c>
      <c r="E237" s="7" t="s">
        <v>27</v>
      </c>
      <c r="F237" s="7" t="s">
        <v>14</v>
      </c>
      <c r="G237" s="7" t="s">
        <v>20</v>
      </c>
      <c r="H237" s="1">
        <v>45157</v>
      </c>
      <c r="I237" s="1">
        <v>482</v>
      </c>
      <c r="J237" s="1">
        <v>488.48</v>
      </c>
      <c r="K237" s="1">
        <v>174.65</v>
      </c>
    </row>
    <row r="238" spans="2:11" x14ac:dyDescent="0.25">
      <c r="B238" s="7" t="s">
        <v>260</v>
      </c>
      <c r="C238" s="7" t="s">
        <v>17</v>
      </c>
      <c r="D238" s="7" t="s">
        <v>18</v>
      </c>
      <c r="E238" s="7" t="s">
        <v>23</v>
      </c>
      <c r="F238" s="7" t="s">
        <v>14</v>
      </c>
      <c r="G238" s="7" t="s">
        <v>20</v>
      </c>
      <c r="H238" s="1">
        <v>45158</v>
      </c>
      <c r="I238" s="1">
        <v>154</v>
      </c>
      <c r="J238" s="1">
        <v>412.47</v>
      </c>
      <c r="K238" s="1">
        <v>66.02</v>
      </c>
    </row>
    <row r="239" spans="2:11" x14ac:dyDescent="0.25">
      <c r="B239" s="7" t="s">
        <v>261</v>
      </c>
      <c r="C239" s="7" t="s">
        <v>17</v>
      </c>
      <c r="D239" s="7" t="s">
        <v>26</v>
      </c>
      <c r="E239" s="7" t="s">
        <v>23</v>
      </c>
      <c r="F239" s="7" t="s">
        <v>24</v>
      </c>
      <c r="G239" s="7" t="s">
        <v>28</v>
      </c>
      <c r="H239" s="1">
        <v>45159</v>
      </c>
      <c r="I239" s="1">
        <v>102</v>
      </c>
      <c r="J239" s="1">
        <v>263.63</v>
      </c>
      <c r="K239" s="1">
        <v>224.1</v>
      </c>
    </row>
    <row r="240" spans="2:11" x14ac:dyDescent="0.25">
      <c r="B240" s="7" t="s">
        <v>262</v>
      </c>
      <c r="C240" s="7" t="s">
        <v>17</v>
      </c>
      <c r="D240" s="7" t="s">
        <v>31</v>
      </c>
      <c r="E240" s="7" t="s">
        <v>23</v>
      </c>
      <c r="F240" s="7" t="s">
        <v>14</v>
      </c>
      <c r="G240" s="7" t="s">
        <v>28</v>
      </c>
      <c r="H240" s="1">
        <v>45160</v>
      </c>
      <c r="I240" s="1">
        <v>318</v>
      </c>
      <c r="J240" s="1">
        <v>66</v>
      </c>
      <c r="K240" s="1">
        <v>325.08</v>
      </c>
    </row>
    <row r="241" spans="2:11" x14ac:dyDescent="0.25">
      <c r="B241" s="7" t="s">
        <v>263</v>
      </c>
      <c r="C241" s="7" t="s">
        <v>17</v>
      </c>
      <c r="D241" s="7" t="s">
        <v>12</v>
      </c>
      <c r="E241" s="7" t="s">
        <v>23</v>
      </c>
      <c r="F241" s="7" t="s">
        <v>14</v>
      </c>
      <c r="G241" s="7" t="s">
        <v>28</v>
      </c>
      <c r="H241" s="1">
        <v>45161</v>
      </c>
      <c r="I241" s="1">
        <v>17</v>
      </c>
      <c r="J241" s="1">
        <v>430.41</v>
      </c>
      <c r="K241" s="1">
        <v>297.2</v>
      </c>
    </row>
    <row r="242" spans="2:11" x14ac:dyDescent="0.25">
      <c r="B242" s="7" t="s">
        <v>264</v>
      </c>
      <c r="C242" s="7" t="s">
        <v>17</v>
      </c>
      <c r="D242" s="7" t="s">
        <v>50</v>
      </c>
      <c r="E242" s="7" t="s">
        <v>19</v>
      </c>
      <c r="F242" s="7" t="s">
        <v>24</v>
      </c>
      <c r="G242" s="7" t="s">
        <v>20</v>
      </c>
      <c r="H242" s="1">
        <v>45162</v>
      </c>
      <c r="I242" s="1">
        <v>88</v>
      </c>
      <c r="J242" s="1">
        <v>400.89</v>
      </c>
      <c r="K242" s="1">
        <v>352.82</v>
      </c>
    </row>
    <row r="243" spans="2:11" x14ac:dyDescent="0.25">
      <c r="B243" s="7" t="s">
        <v>265</v>
      </c>
      <c r="C243" s="7" t="s">
        <v>48</v>
      </c>
      <c r="D243" s="7" t="s">
        <v>50</v>
      </c>
      <c r="E243" s="7" t="s">
        <v>13</v>
      </c>
      <c r="F243" s="7" t="s">
        <v>24</v>
      </c>
      <c r="G243" s="7" t="s">
        <v>20</v>
      </c>
      <c r="H243" s="1">
        <v>45163</v>
      </c>
      <c r="I243" s="1">
        <v>36</v>
      </c>
      <c r="J243" s="1">
        <v>96.37</v>
      </c>
      <c r="K243" s="1">
        <v>112.61</v>
      </c>
    </row>
    <row r="244" spans="2:11" x14ac:dyDescent="0.25">
      <c r="B244" s="7" t="s">
        <v>266</v>
      </c>
      <c r="C244" s="7" t="s">
        <v>48</v>
      </c>
      <c r="D244" s="7" t="s">
        <v>12</v>
      </c>
      <c r="E244" s="7" t="s">
        <v>27</v>
      </c>
      <c r="F244" s="7" t="s">
        <v>24</v>
      </c>
      <c r="G244" s="7" t="s">
        <v>15</v>
      </c>
      <c r="H244" s="1">
        <v>45164</v>
      </c>
      <c r="I244" s="1">
        <v>183</v>
      </c>
      <c r="J244" s="1">
        <v>151.16</v>
      </c>
      <c r="K244" s="1">
        <v>79.19</v>
      </c>
    </row>
    <row r="245" spans="2:11" x14ac:dyDescent="0.25">
      <c r="B245" s="7" t="s">
        <v>267</v>
      </c>
      <c r="C245" s="7" t="s">
        <v>11</v>
      </c>
      <c r="D245" s="7" t="s">
        <v>26</v>
      </c>
      <c r="E245" s="7" t="s">
        <v>27</v>
      </c>
      <c r="F245" s="7" t="s">
        <v>24</v>
      </c>
      <c r="G245" s="7" t="s">
        <v>15</v>
      </c>
      <c r="H245" s="1">
        <v>45165</v>
      </c>
      <c r="I245" s="1">
        <v>59</v>
      </c>
      <c r="J245" s="1">
        <v>397.74</v>
      </c>
      <c r="K245" s="1">
        <v>352.17</v>
      </c>
    </row>
    <row r="246" spans="2:11" x14ac:dyDescent="0.25">
      <c r="B246" s="7" t="s">
        <v>268</v>
      </c>
      <c r="C246" s="7" t="s">
        <v>17</v>
      </c>
      <c r="D246" s="7" t="s">
        <v>50</v>
      </c>
      <c r="E246" s="7" t="s">
        <v>23</v>
      </c>
      <c r="F246" s="7" t="s">
        <v>14</v>
      </c>
      <c r="G246" s="7" t="s">
        <v>28</v>
      </c>
      <c r="H246" s="1">
        <v>45166</v>
      </c>
      <c r="I246" s="1">
        <v>208</v>
      </c>
      <c r="J246" s="1">
        <v>96.69</v>
      </c>
      <c r="K246" s="1">
        <v>263.70999999999998</v>
      </c>
    </row>
    <row r="247" spans="2:11" x14ac:dyDescent="0.25">
      <c r="B247" s="7" t="s">
        <v>269</v>
      </c>
      <c r="C247" s="7" t="s">
        <v>48</v>
      </c>
      <c r="D247" s="7" t="s">
        <v>31</v>
      </c>
      <c r="E247" s="7" t="s">
        <v>23</v>
      </c>
      <c r="F247" s="7" t="s">
        <v>14</v>
      </c>
      <c r="G247" s="7" t="s">
        <v>20</v>
      </c>
      <c r="H247" s="1">
        <v>45167</v>
      </c>
      <c r="I247" s="1">
        <v>396</v>
      </c>
      <c r="J247" s="1">
        <v>459.29</v>
      </c>
      <c r="K247" s="1">
        <v>125.75</v>
      </c>
    </row>
    <row r="248" spans="2:11" x14ac:dyDescent="0.25">
      <c r="B248" s="7" t="s">
        <v>270</v>
      </c>
      <c r="C248" s="7" t="s">
        <v>11</v>
      </c>
      <c r="D248" s="7" t="s">
        <v>26</v>
      </c>
      <c r="E248" s="7" t="s">
        <v>42</v>
      </c>
      <c r="F248" s="7" t="s">
        <v>24</v>
      </c>
      <c r="G248" s="7" t="s">
        <v>20</v>
      </c>
      <c r="H248" s="1">
        <v>45168</v>
      </c>
      <c r="I248" s="1">
        <v>358</v>
      </c>
      <c r="J248" s="1">
        <v>215.14</v>
      </c>
      <c r="K248" s="1">
        <v>297.45</v>
      </c>
    </row>
    <row r="249" spans="2:11" x14ac:dyDescent="0.25">
      <c r="B249" s="7" t="s">
        <v>271</v>
      </c>
      <c r="C249" s="7" t="s">
        <v>17</v>
      </c>
      <c r="D249" s="7" t="s">
        <v>31</v>
      </c>
      <c r="E249" s="7" t="s">
        <v>13</v>
      </c>
      <c r="F249" s="7" t="s">
        <v>14</v>
      </c>
      <c r="G249" s="7" t="s">
        <v>20</v>
      </c>
      <c r="H249" s="1">
        <v>45169</v>
      </c>
      <c r="I249" s="1">
        <v>457</v>
      </c>
      <c r="J249" s="1">
        <v>48.08</v>
      </c>
      <c r="K249" s="1">
        <v>326.42</v>
      </c>
    </row>
    <row r="250" spans="2:11" x14ac:dyDescent="0.25">
      <c r="B250" s="7" t="s">
        <v>272</v>
      </c>
      <c r="C250" s="7" t="s">
        <v>22</v>
      </c>
      <c r="D250" s="7" t="s">
        <v>18</v>
      </c>
      <c r="E250" s="7" t="s">
        <v>19</v>
      </c>
      <c r="F250" s="7" t="s">
        <v>14</v>
      </c>
      <c r="G250" s="7" t="s">
        <v>28</v>
      </c>
      <c r="H250" s="1">
        <v>45170</v>
      </c>
      <c r="I250" s="1">
        <v>437</v>
      </c>
      <c r="J250" s="1">
        <v>408.8</v>
      </c>
      <c r="K250" s="1">
        <v>246.76</v>
      </c>
    </row>
    <row r="251" spans="2:11" x14ac:dyDescent="0.25">
      <c r="B251" s="7" t="s">
        <v>273</v>
      </c>
      <c r="C251" s="7" t="s">
        <v>11</v>
      </c>
      <c r="D251" s="7" t="s">
        <v>26</v>
      </c>
      <c r="E251" s="7" t="s">
        <v>27</v>
      </c>
      <c r="F251" s="7" t="s">
        <v>14</v>
      </c>
      <c r="G251" s="7" t="s">
        <v>15</v>
      </c>
      <c r="H251" s="1">
        <v>45171</v>
      </c>
      <c r="I251" s="1">
        <v>190</v>
      </c>
      <c r="J251" s="1">
        <v>189.89</v>
      </c>
      <c r="K251" s="1">
        <v>275.77999999999997</v>
      </c>
    </row>
    <row r="252" spans="2:11" x14ac:dyDescent="0.25">
      <c r="B252" s="7" t="s">
        <v>274</v>
      </c>
      <c r="C252" s="7" t="s">
        <v>48</v>
      </c>
      <c r="D252" s="7" t="s">
        <v>50</v>
      </c>
      <c r="E252" s="7" t="s">
        <v>42</v>
      </c>
      <c r="F252" s="7" t="s">
        <v>24</v>
      </c>
      <c r="G252" s="7" t="s">
        <v>28</v>
      </c>
      <c r="H252" s="1">
        <v>45172</v>
      </c>
      <c r="I252" s="1">
        <v>33</v>
      </c>
      <c r="J252" s="1">
        <v>265.62</v>
      </c>
      <c r="K252" s="1">
        <v>151.35</v>
      </c>
    </row>
    <row r="253" spans="2:11" x14ac:dyDescent="0.25">
      <c r="B253" s="7" t="s">
        <v>275</v>
      </c>
      <c r="C253" s="7" t="s">
        <v>22</v>
      </c>
      <c r="D253" s="7" t="s">
        <v>26</v>
      </c>
      <c r="E253" s="7" t="s">
        <v>42</v>
      </c>
      <c r="F253" s="7" t="s">
        <v>14</v>
      </c>
      <c r="G253" s="7" t="s">
        <v>15</v>
      </c>
      <c r="H253" s="1">
        <v>45173</v>
      </c>
      <c r="I253" s="1">
        <v>325</v>
      </c>
      <c r="J253" s="1">
        <v>60.59</v>
      </c>
      <c r="K253" s="1">
        <v>216.4</v>
      </c>
    </row>
    <row r="254" spans="2:11" x14ac:dyDescent="0.25">
      <c r="B254" s="7" t="s">
        <v>276</v>
      </c>
      <c r="C254" s="7" t="s">
        <v>22</v>
      </c>
      <c r="D254" s="7" t="s">
        <v>26</v>
      </c>
      <c r="E254" s="7" t="s">
        <v>27</v>
      </c>
      <c r="F254" s="7" t="s">
        <v>24</v>
      </c>
      <c r="G254" s="7" t="s">
        <v>15</v>
      </c>
      <c r="H254" s="1">
        <v>45174</v>
      </c>
      <c r="I254" s="1">
        <v>387</v>
      </c>
      <c r="J254" s="1">
        <v>6.28</v>
      </c>
      <c r="K254" s="1">
        <v>210.62</v>
      </c>
    </row>
    <row r="255" spans="2:11" x14ac:dyDescent="0.25">
      <c r="B255" s="7" t="s">
        <v>277</v>
      </c>
      <c r="C255" s="7" t="s">
        <v>22</v>
      </c>
      <c r="D255" s="7" t="s">
        <v>26</v>
      </c>
      <c r="E255" s="7" t="s">
        <v>19</v>
      </c>
      <c r="F255" s="7" t="s">
        <v>14</v>
      </c>
      <c r="G255" s="7" t="s">
        <v>28</v>
      </c>
      <c r="H255" s="1">
        <v>45175</v>
      </c>
      <c r="I255" s="1">
        <v>396</v>
      </c>
      <c r="J255" s="1">
        <v>320.8</v>
      </c>
      <c r="K255" s="1">
        <v>339.52</v>
      </c>
    </row>
    <row r="256" spans="2:11" x14ac:dyDescent="0.25">
      <c r="B256" s="7" t="s">
        <v>278</v>
      </c>
      <c r="C256" s="7" t="s">
        <v>11</v>
      </c>
      <c r="D256" s="7" t="s">
        <v>26</v>
      </c>
      <c r="E256" s="7" t="s">
        <v>42</v>
      </c>
      <c r="F256" s="7" t="s">
        <v>14</v>
      </c>
      <c r="G256" s="7" t="s">
        <v>15</v>
      </c>
      <c r="H256" s="1">
        <v>45176</v>
      </c>
      <c r="I256" s="1">
        <v>413</v>
      </c>
      <c r="J256" s="1">
        <v>260.01</v>
      </c>
      <c r="K256" s="1">
        <v>336.31</v>
      </c>
    </row>
    <row r="257" spans="2:11" x14ac:dyDescent="0.25">
      <c r="B257" s="7" t="s">
        <v>279</v>
      </c>
      <c r="C257" s="7" t="s">
        <v>48</v>
      </c>
      <c r="D257" s="7" t="s">
        <v>31</v>
      </c>
      <c r="E257" s="7" t="s">
        <v>42</v>
      </c>
      <c r="F257" s="7" t="s">
        <v>14</v>
      </c>
      <c r="G257" s="7" t="s">
        <v>15</v>
      </c>
      <c r="H257" s="1">
        <v>45177</v>
      </c>
      <c r="I257" s="9">
        <v>255.9</v>
      </c>
      <c r="J257" s="1">
        <v>298.8</v>
      </c>
      <c r="K257" s="1">
        <v>333.41</v>
      </c>
    </row>
    <row r="258" spans="2:11" x14ac:dyDescent="0.25">
      <c r="B258" s="7" t="s">
        <v>280</v>
      </c>
      <c r="C258" s="7" t="s">
        <v>22</v>
      </c>
      <c r="D258" s="7" t="s">
        <v>18</v>
      </c>
      <c r="E258" s="7" t="s">
        <v>13</v>
      </c>
      <c r="F258" s="7" t="s">
        <v>24</v>
      </c>
      <c r="G258" s="7" t="s">
        <v>20</v>
      </c>
      <c r="H258" s="1">
        <v>45178</v>
      </c>
      <c r="I258" s="1">
        <v>24</v>
      </c>
      <c r="J258" s="1">
        <v>397.9</v>
      </c>
      <c r="K258" s="1">
        <v>6.39</v>
      </c>
    </row>
    <row r="259" spans="2:11" x14ac:dyDescent="0.25">
      <c r="B259" s="7" t="s">
        <v>281</v>
      </c>
      <c r="C259" s="7" t="s">
        <v>17</v>
      </c>
      <c r="D259" s="7" t="s">
        <v>12</v>
      </c>
      <c r="E259" s="7" t="s">
        <v>13</v>
      </c>
      <c r="F259" s="7" t="s">
        <v>14</v>
      </c>
      <c r="G259" s="7" t="s">
        <v>15</v>
      </c>
      <c r="H259" s="1">
        <v>45179</v>
      </c>
      <c r="I259" s="1">
        <v>162</v>
      </c>
      <c r="J259" s="1">
        <v>325.07</v>
      </c>
      <c r="K259" s="1">
        <v>300.32</v>
      </c>
    </row>
    <row r="260" spans="2:11" x14ac:dyDescent="0.25">
      <c r="B260" s="7" t="s">
        <v>282</v>
      </c>
      <c r="C260" s="7" t="s">
        <v>22</v>
      </c>
      <c r="D260" s="7" t="s">
        <v>26</v>
      </c>
      <c r="E260" s="7" t="s">
        <v>42</v>
      </c>
      <c r="F260" s="7" t="s">
        <v>24</v>
      </c>
      <c r="G260" s="7" t="s">
        <v>28</v>
      </c>
      <c r="H260" s="1">
        <v>45180</v>
      </c>
      <c r="I260" s="1">
        <v>231</v>
      </c>
      <c r="J260" s="1">
        <v>91.51</v>
      </c>
      <c r="K260" s="1">
        <v>303.95</v>
      </c>
    </row>
    <row r="261" spans="2:11" x14ac:dyDescent="0.25">
      <c r="B261" s="7" t="s">
        <v>283</v>
      </c>
      <c r="C261" s="7" t="s">
        <v>22</v>
      </c>
      <c r="D261" s="7" t="s">
        <v>50</v>
      </c>
      <c r="E261" s="7" t="s">
        <v>19</v>
      </c>
      <c r="F261" s="7" t="s">
        <v>24</v>
      </c>
      <c r="G261" s="7" t="s">
        <v>28</v>
      </c>
      <c r="H261" s="1">
        <v>45181</v>
      </c>
      <c r="I261" s="1">
        <v>215</v>
      </c>
      <c r="J261" s="1">
        <v>183.58</v>
      </c>
      <c r="K261" s="1">
        <v>271.99</v>
      </c>
    </row>
    <row r="262" spans="2:11" x14ac:dyDescent="0.25">
      <c r="B262" s="7" t="s">
        <v>284</v>
      </c>
      <c r="C262" s="7" t="s">
        <v>11</v>
      </c>
      <c r="D262" s="7" t="s">
        <v>26</v>
      </c>
      <c r="E262" s="7" t="s">
        <v>27</v>
      </c>
      <c r="F262" s="7" t="s">
        <v>24</v>
      </c>
      <c r="G262" s="7" t="s">
        <v>15</v>
      </c>
      <c r="H262" s="1">
        <v>45182</v>
      </c>
      <c r="I262" s="1">
        <v>464</v>
      </c>
      <c r="J262" s="1">
        <v>453.42</v>
      </c>
      <c r="K262" s="1">
        <v>302.99</v>
      </c>
    </row>
    <row r="263" spans="2:11" x14ac:dyDescent="0.25">
      <c r="B263" s="7" t="s">
        <v>285</v>
      </c>
      <c r="C263" s="7" t="s">
        <v>11</v>
      </c>
      <c r="D263" s="7" t="s">
        <v>50</v>
      </c>
      <c r="E263" s="7" t="s">
        <v>23</v>
      </c>
      <c r="F263" s="7" t="s">
        <v>14</v>
      </c>
      <c r="G263" s="7" t="s">
        <v>20</v>
      </c>
      <c r="H263" s="1">
        <v>45183</v>
      </c>
      <c r="I263" s="1">
        <v>282</v>
      </c>
      <c r="J263" s="8">
        <v>249.64</v>
      </c>
      <c r="K263" s="1">
        <v>337.1</v>
      </c>
    </row>
    <row r="264" spans="2:11" x14ac:dyDescent="0.25">
      <c r="B264" s="7" t="s">
        <v>286</v>
      </c>
      <c r="C264" s="7" t="s">
        <v>48</v>
      </c>
      <c r="D264" s="7" t="s">
        <v>31</v>
      </c>
      <c r="E264" s="7" t="s">
        <v>42</v>
      </c>
      <c r="F264" s="7" t="s">
        <v>14</v>
      </c>
      <c r="G264" s="7" t="s">
        <v>20</v>
      </c>
      <c r="H264" s="1">
        <v>45184</v>
      </c>
      <c r="I264" s="1">
        <v>391</v>
      </c>
      <c r="J264" s="1">
        <v>280.54000000000002</v>
      </c>
      <c r="K264" s="1">
        <v>189.19</v>
      </c>
    </row>
    <row r="265" spans="2:11" x14ac:dyDescent="0.25">
      <c r="B265" s="7" t="s">
        <v>287</v>
      </c>
      <c r="C265" s="7" t="s">
        <v>17</v>
      </c>
      <c r="D265" s="7" t="s">
        <v>50</v>
      </c>
      <c r="E265" s="7" t="s">
        <v>13</v>
      </c>
      <c r="F265" s="7" t="s">
        <v>14</v>
      </c>
      <c r="G265" s="7" t="s">
        <v>15</v>
      </c>
      <c r="H265" s="1">
        <v>45185</v>
      </c>
      <c r="I265" s="1">
        <v>245</v>
      </c>
      <c r="J265" s="1">
        <v>131.54</v>
      </c>
      <c r="K265" s="1">
        <v>201.82</v>
      </c>
    </row>
    <row r="266" spans="2:11" x14ac:dyDescent="0.25">
      <c r="B266" s="7" t="s">
        <v>288</v>
      </c>
      <c r="C266" s="7" t="s">
        <v>11</v>
      </c>
      <c r="D266" s="7" t="s">
        <v>12</v>
      </c>
      <c r="E266" s="7" t="s">
        <v>27</v>
      </c>
      <c r="F266" s="7" t="s">
        <v>14</v>
      </c>
      <c r="G266" s="7" t="s">
        <v>15</v>
      </c>
      <c r="H266" s="1">
        <v>45186</v>
      </c>
      <c r="I266" s="1">
        <v>349</v>
      </c>
      <c r="J266" s="1">
        <v>154.52000000000001</v>
      </c>
      <c r="K266" s="1">
        <v>51.64</v>
      </c>
    </row>
    <row r="267" spans="2:11" x14ac:dyDescent="0.25">
      <c r="B267" s="7" t="s">
        <v>289</v>
      </c>
      <c r="C267" s="7" t="s">
        <v>22</v>
      </c>
      <c r="D267" s="7" t="s">
        <v>18</v>
      </c>
      <c r="E267" s="7" t="s">
        <v>19</v>
      </c>
      <c r="F267" s="7" t="s">
        <v>24</v>
      </c>
      <c r="G267" s="7" t="s">
        <v>28</v>
      </c>
      <c r="H267" s="1">
        <v>45187</v>
      </c>
      <c r="I267" s="1">
        <v>237</v>
      </c>
      <c r="J267" s="8">
        <v>249.64</v>
      </c>
      <c r="K267" s="1">
        <v>155.38</v>
      </c>
    </row>
    <row r="268" spans="2:11" x14ac:dyDescent="0.25">
      <c r="B268" s="7" t="s">
        <v>290</v>
      </c>
      <c r="C268" s="7" t="s">
        <v>48</v>
      </c>
      <c r="D268" s="7" t="s">
        <v>50</v>
      </c>
      <c r="E268" s="7" t="s">
        <v>27</v>
      </c>
      <c r="F268" s="7" t="s">
        <v>24</v>
      </c>
      <c r="G268" s="7" t="s">
        <v>15</v>
      </c>
      <c r="H268" s="1">
        <v>45188</v>
      </c>
      <c r="I268" s="1">
        <v>18</v>
      </c>
      <c r="J268" s="1">
        <v>426.33</v>
      </c>
      <c r="K268" s="1">
        <v>258.06</v>
      </c>
    </row>
    <row r="269" spans="2:11" x14ac:dyDescent="0.25">
      <c r="B269" s="7" t="s">
        <v>291</v>
      </c>
      <c r="C269" s="7" t="s">
        <v>22</v>
      </c>
      <c r="D269" s="7" t="s">
        <v>50</v>
      </c>
      <c r="E269" s="7" t="s">
        <v>42</v>
      </c>
      <c r="F269" s="7" t="s">
        <v>24</v>
      </c>
      <c r="G269" s="7" t="s">
        <v>20</v>
      </c>
      <c r="H269" s="1">
        <v>45189</v>
      </c>
      <c r="I269" s="1">
        <v>175</v>
      </c>
      <c r="J269" s="1">
        <v>337.36</v>
      </c>
      <c r="K269" s="1">
        <v>312.60000000000002</v>
      </c>
    </row>
    <row r="270" spans="2:11" x14ac:dyDescent="0.25">
      <c r="B270" s="7" t="s">
        <v>292</v>
      </c>
      <c r="C270" s="7" t="s">
        <v>22</v>
      </c>
      <c r="D270" s="7" t="s">
        <v>18</v>
      </c>
      <c r="E270" s="7" t="s">
        <v>42</v>
      </c>
      <c r="F270" s="7" t="s">
        <v>14</v>
      </c>
      <c r="G270" s="7" t="s">
        <v>15</v>
      </c>
      <c r="H270" s="1">
        <v>45190</v>
      </c>
      <c r="I270" s="1">
        <v>441</v>
      </c>
      <c r="J270" s="1">
        <v>405.72</v>
      </c>
      <c r="K270" s="1">
        <v>88.45</v>
      </c>
    </row>
    <row r="271" spans="2:11" x14ac:dyDescent="0.25">
      <c r="B271" s="7" t="s">
        <v>293</v>
      </c>
      <c r="C271" s="7" t="s">
        <v>11</v>
      </c>
      <c r="D271" s="7" t="s">
        <v>12</v>
      </c>
      <c r="E271" s="7" t="s">
        <v>23</v>
      </c>
      <c r="F271" s="7" t="s">
        <v>24</v>
      </c>
      <c r="G271" s="7" t="s">
        <v>28</v>
      </c>
      <c r="H271" s="1">
        <v>45191</v>
      </c>
      <c r="I271" s="1">
        <v>453</v>
      </c>
      <c r="J271" s="1">
        <v>384.49</v>
      </c>
      <c r="K271" s="1">
        <v>56.85</v>
      </c>
    </row>
    <row r="272" spans="2:11" x14ac:dyDescent="0.25">
      <c r="B272" s="7" t="s">
        <v>294</v>
      </c>
      <c r="C272" s="7" t="s">
        <v>48</v>
      </c>
      <c r="D272" s="7" t="s">
        <v>26</v>
      </c>
      <c r="E272" s="7" t="s">
        <v>27</v>
      </c>
      <c r="F272" s="7" t="s">
        <v>14</v>
      </c>
      <c r="G272" s="7" t="s">
        <v>28</v>
      </c>
      <c r="H272" s="1">
        <v>45192</v>
      </c>
      <c r="I272" s="1">
        <v>328</v>
      </c>
      <c r="J272" s="1">
        <v>79.099999999999994</v>
      </c>
      <c r="K272" s="1">
        <v>265.89</v>
      </c>
    </row>
    <row r="273" spans="2:11" x14ac:dyDescent="0.25">
      <c r="B273" s="7" t="s">
        <v>295</v>
      </c>
      <c r="C273" s="7" t="s">
        <v>17</v>
      </c>
      <c r="D273" s="7" t="s">
        <v>50</v>
      </c>
      <c r="E273" s="7" t="s">
        <v>42</v>
      </c>
      <c r="F273" s="7" t="s">
        <v>24</v>
      </c>
      <c r="G273" s="7" t="s">
        <v>28</v>
      </c>
      <c r="H273" s="1">
        <v>45193</v>
      </c>
      <c r="I273" s="1">
        <v>223</v>
      </c>
      <c r="J273" s="1">
        <v>214.85</v>
      </c>
      <c r="K273" s="1">
        <v>2.75</v>
      </c>
    </row>
    <row r="274" spans="2:11" x14ac:dyDescent="0.25">
      <c r="B274" s="7" t="s">
        <v>296</v>
      </c>
      <c r="C274" s="7" t="s">
        <v>17</v>
      </c>
      <c r="D274" s="7" t="s">
        <v>18</v>
      </c>
      <c r="E274" s="7" t="s">
        <v>13</v>
      </c>
      <c r="F274" s="7" t="s">
        <v>14</v>
      </c>
      <c r="G274" s="7" t="s">
        <v>28</v>
      </c>
      <c r="H274" s="1">
        <v>45194</v>
      </c>
      <c r="I274" s="1">
        <v>126</v>
      </c>
      <c r="J274" s="1">
        <v>80.73</v>
      </c>
      <c r="K274" s="1">
        <v>72.989999999999995</v>
      </c>
    </row>
    <row r="275" spans="2:11" x14ac:dyDescent="0.25">
      <c r="B275" s="7" t="s">
        <v>297</v>
      </c>
      <c r="C275" s="7" t="s">
        <v>11</v>
      </c>
      <c r="D275" s="7" t="s">
        <v>31</v>
      </c>
      <c r="E275" s="7" t="s">
        <v>19</v>
      </c>
      <c r="F275" s="7" t="s">
        <v>14</v>
      </c>
      <c r="G275" s="7" t="s">
        <v>28</v>
      </c>
      <c r="H275" s="1">
        <v>45195</v>
      </c>
      <c r="I275" s="1">
        <v>395</v>
      </c>
      <c r="J275" s="1">
        <v>121.44</v>
      </c>
      <c r="K275" s="1">
        <v>13.57</v>
      </c>
    </row>
    <row r="276" spans="2:11" x14ac:dyDescent="0.25">
      <c r="B276" s="7" t="s">
        <v>298</v>
      </c>
      <c r="C276" s="7" t="s">
        <v>11</v>
      </c>
      <c r="D276" s="7" t="s">
        <v>18</v>
      </c>
      <c r="E276" s="7" t="s">
        <v>27</v>
      </c>
      <c r="F276" s="7" t="s">
        <v>24</v>
      </c>
      <c r="G276" s="7" t="s">
        <v>15</v>
      </c>
      <c r="H276" s="1">
        <v>45196</v>
      </c>
      <c r="I276" s="1">
        <v>353</v>
      </c>
      <c r="J276" s="1">
        <v>435.28</v>
      </c>
      <c r="K276" s="1">
        <v>68.42</v>
      </c>
    </row>
    <row r="277" spans="2:11" x14ac:dyDescent="0.25">
      <c r="B277" s="7" t="s">
        <v>299</v>
      </c>
      <c r="C277" s="7" t="s">
        <v>48</v>
      </c>
      <c r="D277" s="7" t="s">
        <v>31</v>
      </c>
      <c r="E277" s="7" t="s">
        <v>27</v>
      </c>
      <c r="F277" s="7" t="s">
        <v>24</v>
      </c>
      <c r="G277" s="7" t="s">
        <v>15</v>
      </c>
      <c r="H277" s="1">
        <v>45197</v>
      </c>
      <c r="I277" s="1">
        <v>81</v>
      </c>
      <c r="J277" s="1">
        <v>239.08</v>
      </c>
      <c r="K277" s="1">
        <v>74.17</v>
      </c>
    </row>
    <row r="278" spans="2:11" x14ac:dyDescent="0.25">
      <c r="B278" s="7" t="s">
        <v>300</v>
      </c>
      <c r="C278" s="7" t="s">
        <v>17</v>
      </c>
      <c r="D278" s="7" t="s">
        <v>12</v>
      </c>
      <c r="E278" s="7" t="s">
        <v>23</v>
      </c>
      <c r="F278" s="7" t="s">
        <v>24</v>
      </c>
      <c r="G278" s="7" t="s">
        <v>15</v>
      </c>
      <c r="H278" s="1">
        <v>45198</v>
      </c>
      <c r="I278" s="1">
        <v>404</v>
      </c>
      <c r="J278" s="1">
        <v>270</v>
      </c>
      <c r="K278" s="1">
        <v>156.29</v>
      </c>
    </row>
    <row r="279" spans="2:11" x14ac:dyDescent="0.25">
      <c r="B279" s="7" t="s">
        <v>301</v>
      </c>
      <c r="C279" s="7" t="s">
        <v>17</v>
      </c>
      <c r="D279" s="7" t="s">
        <v>26</v>
      </c>
      <c r="E279" s="7" t="s">
        <v>23</v>
      </c>
      <c r="F279" s="7" t="s">
        <v>24</v>
      </c>
      <c r="G279" s="7" t="s">
        <v>15</v>
      </c>
      <c r="H279" s="1">
        <v>45199</v>
      </c>
      <c r="I279" s="1">
        <v>73</v>
      </c>
      <c r="J279" s="1">
        <v>93.33</v>
      </c>
      <c r="K279" s="1">
        <v>162.13</v>
      </c>
    </row>
    <row r="280" spans="2:11" x14ac:dyDescent="0.25">
      <c r="B280" s="7" t="s">
        <v>302</v>
      </c>
      <c r="C280" s="7" t="s">
        <v>17</v>
      </c>
      <c r="D280" s="7" t="s">
        <v>18</v>
      </c>
      <c r="E280" s="7" t="s">
        <v>13</v>
      </c>
      <c r="F280" s="7" t="s">
        <v>14</v>
      </c>
      <c r="G280" s="7" t="s">
        <v>28</v>
      </c>
      <c r="H280" s="1">
        <v>45200</v>
      </c>
      <c r="I280" s="1">
        <v>214</v>
      </c>
      <c r="J280" s="1">
        <v>159.57</v>
      </c>
      <c r="K280" s="1">
        <v>349.96</v>
      </c>
    </row>
    <row r="281" spans="2:11" x14ac:dyDescent="0.25">
      <c r="B281" s="7" t="s">
        <v>303</v>
      </c>
      <c r="C281" s="7" t="s">
        <v>22</v>
      </c>
      <c r="D281" s="7" t="s">
        <v>50</v>
      </c>
      <c r="E281" s="7" t="s">
        <v>13</v>
      </c>
      <c r="F281" s="7" t="s">
        <v>24</v>
      </c>
      <c r="G281" s="7" t="s">
        <v>20</v>
      </c>
      <c r="H281" s="1">
        <v>45201</v>
      </c>
      <c r="I281" s="1">
        <v>218</v>
      </c>
      <c r="J281" s="1">
        <v>118.97</v>
      </c>
      <c r="K281" s="1">
        <v>205.02</v>
      </c>
    </row>
    <row r="282" spans="2:11" x14ac:dyDescent="0.25">
      <c r="B282" s="7" t="s">
        <v>304</v>
      </c>
      <c r="C282" s="7" t="s">
        <v>17</v>
      </c>
      <c r="D282" s="7" t="s">
        <v>12</v>
      </c>
      <c r="E282" s="7" t="s">
        <v>42</v>
      </c>
      <c r="F282" s="7" t="s">
        <v>24</v>
      </c>
      <c r="G282" s="7" t="s">
        <v>15</v>
      </c>
      <c r="H282" s="1">
        <v>45202</v>
      </c>
      <c r="I282" s="1">
        <v>81</v>
      </c>
      <c r="J282" s="1">
        <v>107.06</v>
      </c>
      <c r="K282" s="1">
        <v>289.92</v>
      </c>
    </row>
    <row r="283" spans="2:11" x14ac:dyDescent="0.25">
      <c r="B283" s="7" t="s">
        <v>305</v>
      </c>
      <c r="C283" s="7" t="s">
        <v>22</v>
      </c>
      <c r="D283" s="7" t="s">
        <v>18</v>
      </c>
      <c r="E283" s="7" t="s">
        <v>42</v>
      </c>
      <c r="F283" s="7" t="s">
        <v>24</v>
      </c>
      <c r="G283" s="7" t="s">
        <v>20</v>
      </c>
      <c r="H283" s="1">
        <v>45203</v>
      </c>
      <c r="I283" s="1">
        <v>286</v>
      </c>
      <c r="J283" s="1">
        <v>320.79000000000002</v>
      </c>
      <c r="K283" s="1">
        <v>43.45</v>
      </c>
    </row>
    <row r="284" spans="2:11" x14ac:dyDescent="0.25">
      <c r="B284" s="7" t="s">
        <v>306</v>
      </c>
      <c r="C284" s="7" t="s">
        <v>48</v>
      </c>
      <c r="D284" s="7" t="s">
        <v>50</v>
      </c>
      <c r="E284" s="7" t="s">
        <v>13</v>
      </c>
      <c r="F284" s="7" t="s">
        <v>14</v>
      </c>
      <c r="G284" s="7" t="s">
        <v>15</v>
      </c>
      <c r="H284" s="1">
        <v>45204</v>
      </c>
      <c r="I284" s="1">
        <v>283</v>
      </c>
      <c r="J284" s="1">
        <v>132.16</v>
      </c>
      <c r="K284" s="1">
        <v>91.72</v>
      </c>
    </row>
    <row r="285" spans="2:11" x14ac:dyDescent="0.25">
      <c r="B285" s="7" t="s">
        <v>307</v>
      </c>
      <c r="C285" s="7" t="s">
        <v>22</v>
      </c>
      <c r="D285" s="7" t="s">
        <v>18</v>
      </c>
      <c r="E285" s="7" t="s">
        <v>13</v>
      </c>
      <c r="F285" s="7" t="s">
        <v>14</v>
      </c>
      <c r="G285" s="7" t="s">
        <v>15</v>
      </c>
      <c r="H285" s="1">
        <v>45205</v>
      </c>
      <c r="I285" s="1">
        <v>487</v>
      </c>
      <c r="J285" s="1">
        <v>317.85000000000002</v>
      </c>
      <c r="K285" s="1">
        <v>281.77</v>
      </c>
    </row>
    <row r="286" spans="2:11" x14ac:dyDescent="0.25">
      <c r="B286" s="7" t="s">
        <v>308</v>
      </c>
      <c r="C286" s="7" t="s">
        <v>48</v>
      </c>
      <c r="D286" s="7" t="s">
        <v>31</v>
      </c>
      <c r="E286" s="7" t="s">
        <v>19</v>
      </c>
      <c r="F286" s="7" t="s">
        <v>24</v>
      </c>
      <c r="G286" s="7" t="s">
        <v>20</v>
      </c>
      <c r="H286" s="1">
        <v>45206</v>
      </c>
      <c r="I286" s="1">
        <v>329</v>
      </c>
      <c r="J286" s="1">
        <v>33.94</v>
      </c>
      <c r="K286" s="1">
        <v>23.02</v>
      </c>
    </row>
    <row r="287" spans="2:11" x14ac:dyDescent="0.25">
      <c r="B287" s="7" t="s">
        <v>309</v>
      </c>
      <c r="C287" s="7" t="s">
        <v>17</v>
      </c>
      <c r="D287" s="7" t="s">
        <v>18</v>
      </c>
      <c r="E287" s="7" t="s">
        <v>23</v>
      </c>
      <c r="F287" s="7" t="s">
        <v>14</v>
      </c>
      <c r="G287" s="7" t="s">
        <v>28</v>
      </c>
      <c r="H287" s="1">
        <v>45207</v>
      </c>
      <c r="I287" s="1">
        <v>347</v>
      </c>
      <c r="J287" s="1">
        <v>75.180000000000007</v>
      </c>
      <c r="K287" s="1">
        <v>195.67</v>
      </c>
    </row>
    <row r="288" spans="2:11" x14ac:dyDescent="0.25">
      <c r="B288" s="7" t="s">
        <v>310</v>
      </c>
      <c r="C288" s="7" t="s">
        <v>17</v>
      </c>
      <c r="D288" s="7" t="s">
        <v>18</v>
      </c>
      <c r="E288" s="7" t="s">
        <v>42</v>
      </c>
      <c r="F288" s="7" t="s">
        <v>24</v>
      </c>
      <c r="G288" s="7" t="s">
        <v>15</v>
      </c>
      <c r="H288" s="1">
        <v>45208</v>
      </c>
      <c r="I288" s="1">
        <v>375</v>
      </c>
      <c r="J288" s="1">
        <v>140.9</v>
      </c>
      <c r="K288" s="1">
        <v>240.55</v>
      </c>
    </row>
    <row r="289" spans="2:11" x14ac:dyDescent="0.25">
      <c r="B289" s="7" t="s">
        <v>311</v>
      </c>
      <c r="C289" s="7" t="s">
        <v>48</v>
      </c>
      <c r="D289" s="7" t="s">
        <v>18</v>
      </c>
      <c r="E289" s="7" t="s">
        <v>23</v>
      </c>
      <c r="F289" s="7" t="s">
        <v>14</v>
      </c>
      <c r="G289" s="7" t="s">
        <v>15</v>
      </c>
      <c r="H289" s="1">
        <v>45209</v>
      </c>
      <c r="I289" s="1">
        <v>104</v>
      </c>
      <c r="J289" s="1">
        <v>300.54000000000002</v>
      </c>
      <c r="K289" s="1">
        <v>241.65</v>
      </c>
    </row>
    <row r="290" spans="2:11" x14ac:dyDescent="0.25">
      <c r="B290" s="7" t="s">
        <v>312</v>
      </c>
      <c r="C290" s="7" t="s">
        <v>11</v>
      </c>
      <c r="D290" s="7" t="s">
        <v>12</v>
      </c>
      <c r="E290" s="7" t="s">
        <v>23</v>
      </c>
      <c r="F290" s="7" t="s">
        <v>14</v>
      </c>
      <c r="G290" s="7" t="s">
        <v>15</v>
      </c>
      <c r="H290" s="1">
        <v>45210</v>
      </c>
      <c r="I290" s="1">
        <v>175</v>
      </c>
      <c r="J290" s="1">
        <v>339.54</v>
      </c>
      <c r="K290" s="1">
        <v>11.13</v>
      </c>
    </row>
    <row r="291" spans="2:11" x14ac:dyDescent="0.25">
      <c r="B291" s="7" t="s">
        <v>313</v>
      </c>
      <c r="C291" s="7" t="s">
        <v>48</v>
      </c>
      <c r="D291" s="7" t="s">
        <v>18</v>
      </c>
      <c r="E291" s="7" t="s">
        <v>13</v>
      </c>
      <c r="F291" s="7" t="s">
        <v>14</v>
      </c>
      <c r="G291" s="7" t="s">
        <v>20</v>
      </c>
      <c r="H291" s="1">
        <v>45211</v>
      </c>
      <c r="I291" s="1">
        <v>41</v>
      </c>
      <c r="J291" s="1">
        <v>224.14</v>
      </c>
      <c r="K291" s="1">
        <v>130.19999999999999</v>
      </c>
    </row>
    <row r="292" spans="2:11" x14ac:dyDescent="0.25">
      <c r="B292" s="7" t="s">
        <v>314</v>
      </c>
      <c r="C292" s="7" t="s">
        <v>11</v>
      </c>
      <c r="D292" s="7" t="s">
        <v>50</v>
      </c>
      <c r="E292" s="7" t="s">
        <v>19</v>
      </c>
      <c r="F292" s="7" t="s">
        <v>14</v>
      </c>
      <c r="G292" s="7" t="s">
        <v>28</v>
      </c>
      <c r="H292" s="1">
        <v>45212</v>
      </c>
      <c r="I292" s="1">
        <v>20</v>
      </c>
      <c r="J292" s="1">
        <v>225.67</v>
      </c>
      <c r="K292" s="1">
        <v>255.32</v>
      </c>
    </row>
    <row r="293" spans="2:11" x14ac:dyDescent="0.25">
      <c r="B293" s="7" t="s">
        <v>315</v>
      </c>
      <c r="C293" s="7" t="s">
        <v>22</v>
      </c>
      <c r="D293" s="7" t="s">
        <v>31</v>
      </c>
      <c r="E293" s="7" t="s">
        <v>27</v>
      </c>
      <c r="F293" s="7" t="s">
        <v>24</v>
      </c>
      <c r="G293" s="7" t="s">
        <v>20</v>
      </c>
      <c r="H293" s="1">
        <v>45213</v>
      </c>
      <c r="I293" s="1">
        <v>310</v>
      </c>
      <c r="J293" s="1">
        <v>363.64</v>
      </c>
      <c r="K293" s="1">
        <v>61.3</v>
      </c>
    </row>
    <row r="294" spans="2:11" x14ac:dyDescent="0.25">
      <c r="B294" s="7" t="s">
        <v>316</v>
      </c>
      <c r="C294" s="7" t="s">
        <v>22</v>
      </c>
      <c r="D294" s="7" t="s">
        <v>31</v>
      </c>
      <c r="E294" s="7" t="s">
        <v>19</v>
      </c>
      <c r="F294" s="7" t="s">
        <v>24</v>
      </c>
      <c r="G294" s="7" t="s">
        <v>20</v>
      </c>
      <c r="H294" s="1">
        <v>45214</v>
      </c>
      <c r="I294" s="1">
        <v>226</v>
      </c>
      <c r="J294" s="8">
        <v>249.64</v>
      </c>
      <c r="K294" s="1">
        <v>278.77999999999997</v>
      </c>
    </row>
    <row r="295" spans="2:11" x14ac:dyDescent="0.25">
      <c r="B295" s="7" t="s">
        <v>317</v>
      </c>
      <c r="C295" s="7" t="s">
        <v>22</v>
      </c>
      <c r="D295" s="7" t="s">
        <v>18</v>
      </c>
      <c r="E295" s="7" t="s">
        <v>19</v>
      </c>
      <c r="F295" s="7" t="s">
        <v>24</v>
      </c>
      <c r="G295" s="7" t="s">
        <v>28</v>
      </c>
      <c r="H295" s="1">
        <v>45215</v>
      </c>
      <c r="I295" s="9">
        <v>255.9</v>
      </c>
      <c r="J295" s="1">
        <v>173.84</v>
      </c>
      <c r="K295" s="1">
        <v>298.88</v>
      </c>
    </row>
    <row r="296" spans="2:11" x14ac:dyDescent="0.25">
      <c r="B296" s="7" t="s">
        <v>318</v>
      </c>
      <c r="C296" s="7" t="s">
        <v>17</v>
      </c>
      <c r="D296" s="7" t="s">
        <v>12</v>
      </c>
      <c r="E296" s="7" t="s">
        <v>23</v>
      </c>
      <c r="F296" s="7" t="s">
        <v>14</v>
      </c>
      <c r="G296" s="7" t="s">
        <v>20</v>
      </c>
      <c r="H296" s="1">
        <v>45216</v>
      </c>
      <c r="I296" s="1">
        <v>111</v>
      </c>
      <c r="J296" s="1">
        <v>410.26</v>
      </c>
      <c r="K296" s="1">
        <v>392.82</v>
      </c>
    </row>
    <row r="297" spans="2:11" x14ac:dyDescent="0.25">
      <c r="B297" s="7" t="s">
        <v>319</v>
      </c>
      <c r="C297" s="7" t="s">
        <v>22</v>
      </c>
      <c r="D297" s="7" t="s">
        <v>12</v>
      </c>
      <c r="E297" s="7" t="s">
        <v>19</v>
      </c>
      <c r="F297" s="7" t="s">
        <v>24</v>
      </c>
      <c r="G297" s="7" t="s">
        <v>28</v>
      </c>
      <c r="H297" s="1">
        <v>45217</v>
      </c>
      <c r="I297" s="1">
        <v>434</v>
      </c>
      <c r="J297" s="1">
        <v>303.58999999999997</v>
      </c>
      <c r="K297" s="1">
        <v>85.52</v>
      </c>
    </row>
    <row r="298" spans="2:11" x14ac:dyDescent="0.25">
      <c r="B298" s="7" t="s">
        <v>320</v>
      </c>
      <c r="C298" s="7" t="s">
        <v>11</v>
      </c>
      <c r="D298" s="7" t="s">
        <v>50</v>
      </c>
      <c r="E298" s="7" t="s">
        <v>42</v>
      </c>
      <c r="F298" s="7" t="s">
        <v>24</v>
      </c>
      <c r="G298" s="7" t="s">
        <v>15</v>
      </c>
      <c r="H298" s="1">
        <v>45218</v>
      </c>
      <c r="I298" s="1">
        <v>401</v>
      </c>
      <c r="J298" s="1">
        <v>171.93</v>
      </c>
      <c r="K298" s="1">
        <v>330.4</v>
      </c>
    </row>
    <row r="299" spans="2:11" x14ac:dyDescent="0.25">
      <c r="B299" s="7" t="s">
        <v>321</v>
      </c>
      <c r="C299" s="7" t="s">
        <v>22</v>
      </c>
      <c r="D299" s="7" t="s">
        <v>18</v>
      </c>
      <c r="E299" s="7" t="s">
        <v>23</v>
      </c>
      <c r="F299" s="7" t="s">
        <v>24</v>
      </c>
      <c r="G299" s="7" t="s">
        <v>28</v>
      </c>
      <c r="H299" s="1">
        <v>45219</v>
      </c>
      <c r="I299" s="1">
        <v>276</v>
      </c>
      <c r="J299" s="1">
        <v>453.23</v>
      </c>
      <c r="K299" s="1">
        <v>209.08</v>
      </c>
    </row>
    <row r="300" spans="2:11" x14ac:dyDescent="0.25">
      <c r="B300" s="7" t="s">
        <v>322</v>
      </c>
      <c r="C300" s="7" t="s">
        <v>48</v>
      </c>
      <c r="D300" s="7" t="s">
        <v>31</v>
      </c>
      <c r="E300" s="7" t="s">
        <v>42</v>
      </c>
      <c r="F300" s="7" t="s">
        <v>14</v>
      </c>
      <c r="G300" s="7" t="s">
        <v>15</v>
      </c>
      <c r="H300" s="1">
        <v>45220</v>
      </c>
      <c r="I300" s="9">
        <v>255.9</v>
      </c>
      <c r="J300" s="1">
        <v>387.45</v>
      </c>
      <c r="K300" s="1">
        <v>150.63999999999999</v>
      </c>
    </row>
    <row r="301" spans="2:11" x14ac:dyDescent="0.25">
      <c r="B301" s="7" t="s">
        <v>323</v>
      </c>
      <c r="C301" s="7" t="s">
        <v>48</v>
      </c>
      <c r="D301" s="7" t="s">
        <v>12</v>
      </c>
      <c r="E301" s="7" t="s">
        <v>27</v>
      </c>
      <c r="F301" s="7" t="s">
        <v>14</v>
      </c>
      <c r="G301" s="7" t="s">
        <v>20</v>
      </c>
      <c r="H301" s="1">
        <v>45221</v>
      </c>
      <c r="I301" s="1">
        <v>188</v>
      </c>
      <c r="J301" s="1">
        <v>136.12</v>
      </c>
      <c r="K301" s="1">
        <v>50.71</v>
      </c>
    </row>
    <row r="302" spans="2:11" x14ac:dyDescent="0.25">
      <c r="B302" s="7" t="s">
        <v>324</v>
      </c>
      <c r="C302" s="7" t="s">
        <v>17</v>
      </c>
      <c r="D302" s="7" t="s">
        <v>18</v>
      </c>
      <c r="E302" s="7" t="s">
        <v>23</v>
      </c>
      <c r="F302" s="7" t="s">
        <v>14</v>
      </c>
      <c r="G302" s="7" t="s">
        <v>20</v>
      </c>
      <c r="H302" s="1">
        <v>45222</v>
      </c>
      <c r="I302" s="1">
        <v>97</v>
      </c>
      <c r="J302" s="1">
        <v>324.42</v>
      </c>
      <c r="K302" s="1">
        <v>294.73</v>
      </c>
    </row>
    <row r="303" spans="2:11" x14ac:dyDescent="0.25">
      <c r="B303" s="7" t="s">
        <v>325</v>
      </c>
      <c r="C303" s="7" t="s">
        <v>48</v>
      </c>
      <c r="D303" s="7" t="s">
        <v>12</v>
      </c>
      <c r="E303" s="7" t="s">
        <v>27</v>
      </c>
      <c r="F303" s="7" t="s">
        <v>24</v>
      </c>
      <c r="G303" s="7" t="s">
        <v>15</v>
      </c>
      <c r="H303" s="1">
        <v>45223</v>
      </c>
      <c r="I303" s="1">
        <v>50</v>
      </c>
      <c r="J303" s="1">
        <v>299.89999999999998</v>
      </c>
      <c r="K303" s="1">
        <v>95.87</v>
      </c>
    </row>
    <row r="304" spans="2:11" x14ac:dyDescent="0.25">
      <c r="B304" s="7" t="s">
        <v>326</v>
      </c>
      <c r="C304" s="7" t="s">
        <v>11</v>
      </c>
      <c r="D304" s="7" t="s">
        <v>12</v>
      </c>
      <c r="E304" s="7" t="s">
        <v>23</v>
      </c>
      <c r="F304" s="7" t="s">
        <v>24</v>
      </c>
      <c r="G304" s="7" t="s">
        <v>20</v>
      </c>
      <c r="H304" s="1">
        <v>45224</v>
      </c>
      <c r="I304" s="1">
        <v>410</v>
      </c>
      <c r="J304" s="1">
        <v>203.59</v>
      </c>
      <c r="K304" s="1">
        <v>149.83000000000001</v>
      </c>
    </row>
    <row r="305" spans="2:11" x14ac:dyDescent="0.25">
      <c r="B305" s="7" t="s">
        <v>327</v>
      </c>
      <c r="C305" s="7" t="s">
        <v>22</v>
      </c>
      <c r="D305" s="7" t="s">
        <v>31</v>
      </c>
      <c r="E305" s="7" t="s">
        <v>13</v>
      </c>
      <c r="F305" s="7" t="s">
        <v>24</v>
      </c>
      <c r="G305" s="7" t="s">
        <v>28</v>
      </c>
      <c r="H305" s="1">
        <v>45225</v>
      </c>
      <c r="I305" s="1">
        <v>85</v>
      </c>
      <c r="J305" s="1">
        <v>186.64</v>
      </c>
      <c r="K305" s="1">
        <v>26.89</v>
      </c>
    </row>
    <row r="306" spans="2:11" x14ac:dyDescent="0.25">
      <c r="B306" s="7" t="s">
        <v>328</v>
      </c>
      <c r="C306" s="7" t="s">
        <v>17</v>
      </c>
      <c r="D306" s="7" t="s">
        <v>26</v>
      </c>
      <c r="E306" s="7" t="s">
        <v>19</v>
      </c>
      <c r="F306" s="7" t="s">
        <v>14</v>
      </c>
      <c r="G306" s="7" t="s">
        <v>15</v>
      </c>
      <c r="H306" s="1">
        <v>45226</v>
      </c>
      <c r="I306" s="1">
        <v>386</v>
      </c>
      <c r="J306" s="1">
        <v>175.06</v>
      </c>
      <c r="K306" s="1">
        <v>320.94</v>
      </c>
    </row>
    <row r="307" spans="2:11" x14ac:dyDescent="0.25">
      <c r="B307" s="7" t="s">
        <v>329</v>
      </c>
      <c r="C307" s="7" t="s">
        <v>22</v>
      </c>
      <c r="D307" s="7" t="s">
        <v>50</v>
      </c>
      <c r="E307" s="7" t="s">
        <v>13</v>
      </c>
      <c r="F307" s="7" t="s">
        <v>14</v>
      </c>
      <c r="G307" s="7" t="s">
        <v>20</v>
      </c>
      <c r="H307" s="1">
        <v>45227</v>
      </c>
      <c r="I307" s="1">
        <v>55</v>
      </c>
      <c r="J307" s="1">
        <v>310.49</v>
      </c>
      <c r="K307" s="1">
        <v>307.10000000000002</v>
      </c>
    </row>
    <row r="308" spans="2:11" x14ac:dyDescent="0.25">
      <c r="B308" s="7" t="s">
        <v>330</v>
      </c>
      <c r="C308" s="7" t="s">
        <v>22</v>
      </c>
      <c r="D308" s="7" t="s">
        <v>50</v>
      </c>
      <c r="E308" s="7" t="s">
        <v>27</v>
      </c>
      <c r="F308" s="7" t="s">
        <v>24</v>
      </c>
      <c r="G308" s="7" t="s">
        <v>15</v>
      </c>
      <c r="H308" s="1">
        <v>45228</v>
      </c>
      <c r="I308" s="1">
        <v>169</v>
      </c>
      <c r="J308" s="1">
        <v>223.99</v>
      </c>
      <c r="K308" s="1">
        <v>293.98</v>
      </c>
    </row>
    <row r="309" spans="2:11" x14ac:dyDescent="0.25">
      <c r="B309" s="7" t="s">
        <v>331</v>
      </c>
      <c r="C309" s="7" t="s">
        <v>11</v>
      </c>
      <c r="D309" s="7" t="s">
        <v>31</v>
      </c>
      <c r="E309" s="7" t="s">
        <v>19</v>
      </c>
      <c r="F309" s="7" t="s">
        <v>14</v>
      </c>
      <c r="G309" s="7" t="s">
        <v>28</v>
      </c>
      <c r="H309" s="1">
        <v>45229</v>
      </c>
      <c r="I309" s="1">
        <v>472</v>
      </c>
      <c r="J309" s="1">
        <v>416.77</v>
      </c>
      <c r="K309" s="1">
        <v>121.18</v>
      </c>
    </row>
    <row r="310" spans="2:11" x14ac:dyDescent="0.25">
      <c r="B310" s="7" t="s">
        <v>332</v>
      </c>
      <c r="C310" s="7" t="s">
        <v>48</v>
      </c>
      <c r="D310" s="7" t="s">
        <v>12</v>
      </c>
      <c r="E310" s="7" t="s">
        <v>23</v>
      </c>
      <c r="F310" s="7" t="s">
        <v>14</v>
      </c>
      <c r="G310" s="7" t="s">
        <v>28</v>
      </c>
      <c r="H310" s="1">
        <v>45230</v>
      </c>
      <c r="I310" s="1">
        <v>89</v>
      </c>
      <c r="J310" s="1">
        <v>336.45</v>
      </c>
      <c r="K310" s="1">
        <v>71.05</v>
      </c>
    </row>
    <row r="311" spans="2:11" x14ac:dyDescent="0.25">
      <c r="B311" s="7" t="s">
        <v>333</v>
      </c>
      <c r="C311" s="7" t="s">
        <v>48</v>
      </c>
      <c r="D311" s="7" t="s">
        <v>18</v>
      </c>
      <c r="E311" s="7" t="s">
        <v>19</v>
      </c>
      <c r="F311" s="7" t="s">
        <v>14</v>
      </c>
      <c r="G311" s="7" t="s">
        <v>20</v>
      </c>
      <c r="H311" s="1">
        <v>45231</v>
      </c>
      <c r="I311" s="1">
        <v>319</v>
      </c>
      <c r="J311" s="1">
        <v>39.619999999999997</v>
      </c>
      <c r="K311" s="1">
        <v>255.75</v>
      </c>
    </row>
    <row r="312" spans="2:11" x14ac:dyDescent="0.25">
      <c r="B312" s="7" t="s">
        <v>334</v>
      </c>
      <c r="C312" s="7" t="s">
        <v>22</v>
      </c>
      <c r="D312" s="7" t="s">
        <v>12</v>
      </c>
      <c r="E312" s="7" t="s">
        <v>19</v>
      </c>
      <c r="F312" s="7" t="s">
        <v>14</v>
      </c>
      <c r="G312" s="7" t="s">
        <v>28</v>
      </c>
      <c r="H312" s="1">
        <v>45232</v>
      </c>
      <c r="I312" s="1">
        <v>95</v>
      </c>
      <c r="J312" s="1">
        <v>321.88</v>
      </c>
      <c r="K312" s="1">
        <v>199.47</v>
      </c>
    </row>
    <row r="313" spans="2:11" x14ac:dyDescent="0.25">
      <c r="B313" s="7" t="s">
        <v>335</v>
      </c>
      <c r="C313" s="7" t="s">
        <v>17</v>
      </c>
      <c r="D313" s="7" t="s">
        <v>31</v>
      </c>
      <c r="E313" s="7" t="s">
        <v>19</v>
      </c>
      <c r="F313" s="7" t="s">
        <v>24</v>
      </c>
      <c r="G313" s="7" t="s">
        <v>15</v>
      </c>
      <c r="H313" s="1">
        <v>45233</v>
      </c>
      <c r="I313" s="1">
        <v>101</v>
      </c>
      <c r="J313" s="1">
        <v>139.22</v>
      </c>
      <c r="K313" s="1">
        <v>72.94</v>
      </c>
    </row>
    <row r="314" spans="2:11" x14ac:dyDescent="0.25">
      <c r="B314" s="7" t="s">
        <v>336</v>
      </c>
      <c r="C314" s="7" t="s">
        <v>48</v>
      </c>
      <c r="D314" s="7" t="s">
        <v>50</v>
      </c>
      <c r="E314" s="7" t="s">
        <v>19</v>
      </c>
      <c r="F314" s="7" t="s">
        <v>14</v>
      </c>
      <c r="G314" s="7" t="s">
        <v>28</v>
      </c>
      <c r="H314" s="1">
        <v>45234</v>
      </c>
      <c r="I314" s="1">
        <v>157</v>
      </c>
      <c r="J314" s="8">
        <v>249.64</v>
      </c>
      <c r="K314" s="1">
        <v>274.99</v>
      </c>
    </row>
    <row r="315" spans="2:11" x14ac:dyDescent="0.25">
      <c r="B315" s="7" t="s">
        <v>337</v>
      </c>
      <c r="C315" s="7" t="s">
        <v>17</v>
      </c>
      <c r="D315" s="7" t="s">
        <v>12</v>
      </c>
      <c r="E315" s="7" t="s">
        <v>19</v>
      </c>
      <c r="F315" s="7" t="s">
        <v>14</v>
      </c>
      <c r="G315" s="7" t="s">
        <v>15</v>
      </c>
      <c r="H315" s="1">
        <v>45235</v>
      </c>
      <c r="I315" s="1">
        <v>170</v>
      </c>
      <c r="J315" s="1">
        <v>341.67</v>
      </c>
      <c r="K315" s="1">
        <v>396.47</v>
      </c>
    </row>
    <row r="316" spans="2:11" x14ac:dyDescent="0.25">
      <c r="B316" s="7" t="s">
        <v>338</v>
      </c>
      <c r="C316" s="7" t="s">
        <v>48</v>
      </c>
      <c r="D316" s="7" t="s">
        <v>50</v>
      </c>
      <c r="E316" s="7" t="s">
        <v>42</v>
      </c>
      <c r="F316" s="7" t="s">
        <v>14</v>
      </c>
      <c r="G316" s="7" t="s">
        <v>15</v>
      </c>
      <c r="H316" s="1">
        <v>45236</v>
      </c>
      <c r="I316" s="1">
        <v>211</v>
      </c>
      <c r="J316" s="1">
        <v>119.26</v>
      </c>
      <c r="K316" s="1">
        <v>299.39</v>
      </c>
    </row>
    <row r="317" spans="2:11" x14ac:dyDescent="0.25">
      <c r="B317" s="7" t="s">
        <v>339</v>
      </c>
      <c r="C317" s="7" t="s">
        <v>17</v>
      </c>
      <c r="D317" s="7" t="s">
        <v>18</v>
      </c>
      <c r="E317" s="7" t="s">
        <v>27</v>
      </c>
      <c r="F317" s="7" t="s">
        <v>14</v>
      </c>
      <c r="G317" s="7" t="s">
        <v>28</v>
      </c>
      <c r="H317" s="1">
        <v>45237</v>
      </c>
      <c r="I317" s="1">
        <v>433</v>
      </c>
      <c r="J317" s="1">
        <v>231.15</v>
      </c>
      <c r="K317" s="1">
        <v>296.51</v>
      </c>
    </row>
    <row r="318" spans="2:11" x14ac:dyDescent="0.25">
      <c r="B318" s="7" t="s">
        <v>340</v>
      </c>
      <c r="C318" s="7" t="s">
        <v>11</v>
      </c>
      <c r="D318" s="7" t="s">
        <v>50</v>
      </c>
      <c r="E318" s="7" t="s">
        <v>13</v>
      </c>
      <c r="F318" s="7" t="s">
        <v>24</v>
      </c>
      <c r="G318" s="7" t="s">
        <v>20</v>
      </c>
      <c r="H318" s="1">
        <v>45238</v>
      </c>
      <c r="I318" s="1">
        <v>425</v>
      </c>
      <c r="J318" s="1">
        <v>99.21</v>
      </c>
      <c r="K318" s="1">
        <v>380.22</v>
      </c>
    </row>
    <row r="319" spans="2:11" x14ac:dyDescent="0.25">
      <c r="B319" s="7" t="s">
        <v>341</v>
      </c>
      <c r="C319" s="7" t="s">
        <v>17</v>
      </c>
      <c r="D319" s="7" t="s">
        <v>50</v>
      </c>
      <c r="E319" s="7" t="s">
        <v>23</v>
      </c>
      <c r="F319" s="7" t="s">
        <v>24</v>
      </c>
      <c r="G319" s="7" t="s">
        <v>28</v>
      </c>
      <c r="H319" s="1">
        <v>45239</v>
      </c>
      <c r="I319" s="1">
        <v>251</v>
      </c>
      <c r="J319" s="1">
        <v>30.91</v>
      </c>
      <c r="K319" s="1">
        <v>82.77</v>
      </c>
    </row>
    <row r="320" spans="2:11" x14ac:dyDescent="0.25">
      <c r="B320" s="7" t="s">
        <v>342</v>
      </c>
      <c r="C320" s="7" t="s">
        <v>11</v>
      </c>
      <c r="D320" s="7" t="s">
        <v>26</v>
      </c>
      <c r="E320" s="7" t="s">
        <v>19</v>
      </c>
      <c r="F320" s="7" t="s">
        <v>14</v>
      </c>
      <c r="G320" s="7" t="s">
        <v>15</v>
      </c>
      <c r="H320" s="1">
        <v>45240</v>
      </c>
      <c r="I320" s="9">
        <v>255.9</v>
      </c>
      <c r="J320" s="1">
        <v>192.35</v>
      </c>
      <c r="K320" s="1">
        <v>227.09</v>
      </c>
    </row>
    <row r="321" spans="2:11" x14ac:dyDescent="0.25">
      <c r="B321" s="7" t="s">
        <v>343</v>
      </c>
      <c r="C321" s="7" t="s">
        <v>11</v>
      </c>
      <c r="D321" s="7" t="s">
        <v>26</v>
      </c>
      <c r="E321" s="7" t="s">
        <v>13</v>
      </c>
      <c r="F321" s="7" t="s">
        <v>14</v>
      </c>
      <c r="G321" s="7" t="s">
        <v>15</v>
      </c>
      <c r="H321" s="1">
        <v>45241</v>
      </c>
      <c r="I321" s="1">
        <v>11</v>
      </c>
      <c r="J321" s="1">
        <v>184.66</v>
      </c>
      <c r="K321" s="1">
        <v>391.9</v>
      </c>
    </row>
    <row r="322" spans="2:11" x14ac:dyDescent="0.25">
      <c r="B322" s="7" t="s">
        <v>344</v>
      </c>
      <c r="C322" s="7" t="s">
        <v>17</v>
      </c>
      <c r="D322" s="7" t="s">
        <v>26</v>
      </c>
      <c r="E322" s="7" t="s">
        <v>23</v>
      </c>
      <c r="F322" s="7" t="s">
        <v>14</v>
      </c>
      <c r="G322" s="7" t="s">
        <v>28</v>
      </c>
      <c r="H322" s="1">
        <v>45242</v>
      </c>
      <c r="I322" s="1">
        <v>234</v>
      </c>
      <c r="J322" s="1">
        <v>497.76</v>
      </c>
      <c r="K322" s="1">
        <v>67.790000000000006</v>
      </c>
    </row>
    <row r="323" spans="2:11" x14ac:dyDescent="0.25">
      <c r="B323" s="7" t="s">
        <v>345</v>
      </c>
      <c r="C323" s="7" t="s">
        <v>11</v>
      </c>
      <c r="D323" s="7" t="s">
        <v>50</v>
      </c>
      <c r="E323" s="7" t="s">
        <v>23</v>
      </c>
      <c r="F323" s="7" t="s">
        <v>14</v>
      </c>
      <c r="G323" s="7" t="s">
        <v>20</v>
      </c>
      <c r="H323" s="1">
        <v>45243</v>
      </c>
      <c r="I323" s="9">
        <v>255.9</v>
      </c>
      <c r="J323" s="1">
        <v>225.94</v>
      </c>
      <c r="K323" s="1">
        <v>280.7</v>
      </c>
    </row>
    <row r="324" spans="2:11" x14ac:dyDescent="0.25">
      <c r="B324" s="7" t="s">
        <v>346</v>
      </c>
      <c r="C324" s="7" t="s">
        <v>22</v>
      </c>
      <c r="D324" s="7" t="s">
        <v>31</v>
      </c>
      <c r="E324" s="7" t="s">
        <v>42</v>
      </c>
      <c r="F324" s="7" t="s">
        <v>14</v>
      </c>
      <c r="G324" s="7" t="s">
        <v>20</v>
      </c>
      <c r="H324" s="1">
        <v>45244</v>
      </c>
      <c r="I324" s="1">
        <v>242</v>
      </c>
      <c r="J324" s="1">
        <v>170.12</v>
      </c>
      <c r="K324" s="1">
        <v>235.15</v>
      </c>
    </row>
    <row r="325" spans="2:11" x14ac:dyDescent="0.25">
      <c r="B325" s="7" t="s">
        <v>347</v>
      </c>
      <c r="C325" s="7" t="s">
        <v>11</v>
      </c>
      <c r="D325" s="7" t="s">
        <v>50</v>
      </c>
      <c r="E325" s="7" t="s">
        <v>27</v>
      </c>
      <c r="F325" s="7" t="s">
        <v>14</v>
      </c>
      <c r="G325" s="7" t="s">
        <v>15</v>
      </c>
      <c r="H325" s="1">
        <v>45245</v>
      </c>
      <c r="I325" s="1">
        <v>470</v>
      </c>
      <c r="J325" s="1">
        <v>292.33999999999997</v>
      </c>
      <c r="K325" s="1">
        <v>235.42</v>
      </c>
    </row>
    <row r="326" spans="2:11" x14ac:dyDescent="0.25">
      <c r="B326" s="7" t="s">
        <v>348</v>
      </c>
      <c r="C326" s="7" t="s">
        <v>48</v>
      </c>
      <c r="D326" s="7" t="s">
        <v>31</v>
      </c>
      <c r="E326" s="7" t="s">
        <v>27</v>
      </c>
      <c r="F326" s="7" t="s">
        <v>24</v>
      </c>
      <c r="G326" s="7" t="s">
        <v>15</v>
      </c>
      <c r="H326" s="1">
        <v>45246</v>
      </c>
      <c r="I326" s="1">
        <v>423</v>
      </c>
      <c r="J326" s="1">
        <v>48.94</v>
      </c>
      <c r="K326" s="1">
        <v>279.67</v>
      </c>
    </row>
    <row r="327" spans="2:11" x14ac:dyDescent="0.25">
      <c r="B327" s="7" t="s">
        <v>349</v>
      </c>
      <c r="C327" s="7" t="s">
        <v>17</v>
      </c>
      <c r="D327" s="7" t="s">
        <v>31</v>
      </c>
      <c r="E327" s="7" t="s">
        <v>13</v>
      </c>
      <c r="F327" s="7" t="s">
        <v>14</v>
      </c>
      <c r="G327" s="7" t="s">
        <v>20</v>
      </c>
      <c r="H327" s="1">
        <v>45247</v>
      </c>
      <c r="I327" s="1">
        <v>426</v>
      </c>
      <c r="J327" s="1">
        <v>481.02</v>
      </c>
      <c r="K327" s="1">
        <v>371.99</v>
      </c>
    </row>
    <row r="328" spans="2:11" x14ac:dyDescent="0.25">
      <c r="B328" s="7" t="s">
        <v>350</v>
      </c>
      <c r="C328" s="7" t="s">
        <v>22</v>
      </c>
      <c r="D328" s="7" t="s">
        <v>26</v>
      </c>
      <c r="E328" s="7" t="s">
        <v>27</v>
      </c>
      <c r="F328" s="7" t="s">
        <v>24</v>
      </c>
      <c r="G328" s="7" t="s">
        <v>28</v>
      </c>
      <c r="H328" s="1">
        <v>45248</v>
      </c>
      <c r="I328" s="1">
        <v>86</v>
      </c>
      <c r="J328" s="1">
        <v>319.31</v>
      </c>
      <c r="K328" s="1">
        <v>313.47000000000003</v>
      </c>
    </row>
    <row r="329" spans="2:11" x14ac:dyDescent="0.25">
      <c r="B329" s="7" t="s">
        <v>351</v>
      </c>
      <c r="C329" s="7" t="s">
        <v>17</v>
      </c>
      <c r="D329" s="7" t="s">
        <v>12</v>
      </c>
      <c r="E329" s="7" t="s">
        <v>19</v>
      </c>
      <c r="F329" s="7" t="s">
        <v>24</v>
      </c>
      <c r="G329" s="7" t="s">
        <v>15</v>
      </c>
      <c r="H329" s="1">
        <v>45249</v>
      </c>
      <c r="I329" s="1">
        <v>125</v>
      </c>
      <c r="J329" s="1">
        <v>378.64</v>
      </c>
      <c r="K329" s="1">
        <v>24.34</v>
      </c>
    </row>
    <row r="330" spans="2:11" x14ac:dyDescent="0.25">
      <c r="B330" s="7" t="s">
        <v>352</v>
      </c>
      <c r="C330" s="7" t="s">
        <v>48</v>
      </c>
      <c r="D330" s="7" t="s">
        <v>18</v>
      </c>
      <c r="E330" s="7" t="s">
        <v>19</v>
      </c>
      <c r="F330" s="7" t="s">
        <v>14</v>
      </c>
      <c r="G330" s="7" t="s">
        <v>15</v>
      </c>
      <c r="H330" s="1">
        <v>45250</v>
      </c>
      <c r="I330" s="1">
        <v>163</v>
      </c>
      <c r="J330" s="1">
        <v>89.39</v>
      </c>
      <c r="K330" s="1">
        <v>341.39</v>
      </c>
    </row>
    <row r="331" spans="2:11" x14ac:dyDescent="0.25">
      <c r="B331" s="7" t="s">
        <v>353</v>
      </c>
      <c r="C331" s="7" t="s">
        <v>48</v>
      </c>
      <c r="D331" s="7" t="s">
        <v>26</v>
      </c>
      <c r="E331" s="7" t="s">
        <v>13</v>
      </c>
      <c r="F331" s="7" t="s">
        <v>24</v>
      </c>
      <c r="G331" s="7" t="s">
        <v>20</v>
      </c>
      <c r="H331" s="1">
        <v>45251</v>
      </c>
      <c r="I331" s="1">
        <v>415</v>
      </c>
      <c r="J331" s="1">
        <v>207.69</v>
      </c>
      <c r="K331" s="1">
        <v>91.77</v>
      </c>
    </row>
    <row r="332" spans="2:11" x14ac:dyDescent="0.25">
      <c r="B332" s="7" t="s">
        <v>354</v>
      </c>
      <c r="C332" s="7" t="s">
        <v>48</v>
      </c>
      <c r="D332" s="7" t="s">
        <v>26</v>
      </c>
      <c r="E332" s="7" t="s">
        <v>27</v>
      </c>
      <c r="F332" s="7" t="s">
        <v>24</v>
      </c>
      <c r="G332" s="7" t="s">
        <v>28</v>
      </c>
      <c r="H332" s="1">
        <v>45252</v>
      </c>
      <c r="I332" s="1">
        <v>112</v>
      </c>
      <c r="J332" s="1">
        <v>214.23</v>
      </c>
      <c r="K332" s="1">
        <v>152.01</v>
      </c>
    </row>
    <row r="333" spans="2:11" x14ac:dyDescent="0.25">
      <c r="B333" s="7" t="s">
        <v>355</v>
      </c>
      <c r="C333" s="7" t="s">
        <v>11</v>
      </c>
      <c r="D333" s="7" t="s">
        <v>12</v>
      </c>
      <c r="E333" s="7" t="s">
        <v>19</v>
      </c>
      <c r="F333" s="7" t="s">
        <v>24</v>
      </c>
      <c r="G333" s="7" t="s">
        <v>20</v>
      </c>
      <c r="H333" s="1">
        <v>45253</v>
      </c>
      <c r="I333" s="1">
        <v>203</v>
      </c>
      <c r="J333" s="1">
        <v>411.79</v>
      </c>
      <c r="K333" s="1">
        <v>185.77</v>
      </c>
    </row>
    <row r="334" spans="2:11" x14ac:dyDescent="0.25">
      <c r="B334" s="7" t="s">
        <v>356</v>
      </c>
      <c r="C334" s="7" t="s">
        <v>11</v>
      </c>
      <c r="D334" s="7" t="s">
        <v>18</v>
      </c>
      <c r="E334" s="7" t="s">
        <v>42</v>
      </c>
      <c r="F334" s="7" t="s">
        <v>24</v>
      </c>
      <c r="G334" s="7" t="s">
        <v>28</v>
      </c>
      <c r="H334" s="1">
        <v>45254</v>
      </c>
      <c r="I334" s="9">
        <v>255.9</v>
      </c>
      <c r="J334" s="1">
        <v>5.61</v>
      </c>
      <c r="K334" s="1">
        <v>193.4</v>
      </c>
    </row>
    <row r="335" spans="2:11" x14ac:dyDescent="0.25">
      <c r="B335" s="7" t="s">
        <v>357</v>
      </c>
      <c r="C335" s="7" t="s">
        <v>17</v>
      </c>
      <c r="D335" s="7" t="s">
        <v>50</v>
      </c>
      <c r="E335" s="7" t="s">
        <v>13</v>
      </c>
      <c r="F335" s="7" t="s">
        <v>24</v>
      </c>
      <c r="G335" s="7" t="s">
        <v>28</v>
      </c>
      <c r="H335" s="1">
        <v>45255</v>
      </c>
      <c r="I335" s="1">
        <v>368</v>
      </c>
      <c r="J335" s="1">
        <v>153.91999999999999</v>
      </c>
      <c r="K335" s="1">
        <v>175.2</v>
      </c>
    </row>
    <row r="336" spans="2:11" x14ac:dyDescent="0.25">
      <c r="B336" s="7" t="s">
        <v>358</v>
      </c>
      <c r="C336" s="7" t="s">
        <v>17</v>
      </c>
      <c r="D336" s="7" t="s">
        <v>50</v>
      </c>
      <c r="E336" s="7" t="s">
        <v>42</v>
      </c>
      <c r="F336" s="7" t="s">
        <v>24</v>
      </c>
      <c r="G336" s="7" t="s">
        <v>28</v>
      </c>
      <c r="H336" s="1">
        <v>45256</v>
      </c>
      <c r="I336" s="1">
        <v>99</v>
      </c>
      <c r="J336" s="1">
        <v>490.71</v>
      </c>
      <c r="K336" s="1">
        <v>375.07</v>
      </c>
    </row>
    <row r="337" spans="2:11" x14ac:dyDescent="0.25">
      <c r="B337" s="7" t="s">
        <v>359</v>
      </c>
      <c r="C337" s="7" t="s">
        <v>22</v>
      </c>
      <c r="D337" s="7" t="s">
        <v>26</v>
      </c>
      <c r="E337" s="7" t="s">
        <v>42</v>
      </c>
      <c r="F337" s="7" t="s">
        <v>14</v>
      </c>
      <c r="G337" s="7" t="s">
        <v>15</v>
      </c>
      <c r="H337" s="1">
        <v>45257</v>
      </c>
      <c r="I337" s="1">
        <v>183</v>
      </c>
      <c r="J337" s="1">
        <v>240.07</v>
      </c>
      <c r="K337" s="1">
        <v>283</v>
      </c>
    </row>
    <row r="338" spans="2:11" x14ac:dyDescent="0.25">
      <c r="B338" s="7" t="s">
        <v>360</v>
      </c>
      <c r="C338" s="7" t="s">
        <v>22</v>
      </c>
      <c r="D338" s="7" t="s">
        <v>18</v>
      </c>
      <c r="E338" s="7" t="s">
        <v>42</v>
      </c>
      <c r="F338" s="7" t="s">
        <v>24</v>
      </c>
      <c r="G338" s="7" t="s">
        <v>20</v>
      </c>
      <c r="H338" s="1">
        <v>45258</v>
      </c>
      <c r="I338" s="1">
        <v>131</v>
      </c>
      <c r="J338" s="1">
        <v>194.35</v>
      </c>
      <c r="K338" s="1">
        <v>253.21</v>
      </c>
    </row>
    <row r="339" spans="2:11" x14ac:dyDescent="0.25">
      <c r="B339" s="7" t="s">
        <v>361</v>
      </c>
      <c r="C339" s="7" t="s">
        <v>17</v>
      </c>
      <c r="D339" s="7" t="s">
        <v>26</v>
      </c>
      <c r="E339" s="7" t="s">
        <v>23</v>
      </c>
      <c r="F339" s="7" t="s">
        <v>24</v>
      </c>
      <c r="G339" s="7" t="s">
        <v>20</v>
      </c>
      <c r="H339" s="1">
        <v>45259</v>
      </c>
      <c r="I339" s="1">
        <v>152</v>
      </c>
      <c r="J339" s="1">
        <v>64.319999999999993</v>
      </c>
      <c r="K339" s="1">
        <v>21.84</v>
      </c>
    </row>
    <row r="340" spans="2:11" x14ac:dyDescent="0.25">
      <c r="B340" s="7" t="s">
        <v>362</v>
      </c>
      <c r="C340" s="7" t="s">
        <v>11</v>
      </c>
      <c r="D340" s="7" t="s">
        <v>31</v>
      </c>
      <c r="E340" s="7" t="s">
        <v>23</v>
      </c>
      <c r="F340" s="7" t="s">
        <v>24</v>
      </c>
      <c r="G340" s="7" t="s">
        <v>28</v>
      </c>
      <c r="H340" s="1">
        <v>45260</v>
      </c>
      <c r="I340" s="1">
        <v>491</v>
      </c>
      <c r="J340" s="1">
        <v>487.21</v>
      </c>
      <c r="K340" s="1">
        <v>361.76</v>
      </c>
    </row>
    <row r="341" spans="2:11" x14ac:dyDescent="0.25">
      <c r="B341" s="7" t="s">
        <v>363</v>
      </c>
      <c r="C341" s="7" t="s">
        <v>48</v>
      </c>
      <c r="D341" s="7" t="s">
        <v>26</v>
      </c>
      <c r="E341" s="7" t="s">
        <v>42</v>
      </c>
      <c r="F341" s="7" t="s">
        <v>14</v>
      </c>
      <c r="G341" s="7" t="s">
        <v>15</v>
      </c>
      <c r="H341" s="1">
        <v>45261</v>
      </c>
      <c r="I341" s="1">
        <v>115</v>
      </c>
      <c r="J341" s="1">
        <v>14.91</v>
      </c>
      <c r="K341" s="1">
        <v>363.94</v>
      </c>
    </row>
    <row r="342" spans="2:11" x14ac:dyDescent="0.25">
      <c r="B342" s="7" t="s">
        <v>364</v>
      </c>
      <c r="C342" s="7" t="s">
        <v>17</v>
      </c>
      <c r="D342" s="7" t="s">
        <v>26</v>
      </c>
      <c r="E342" s="7" t="s">
        <v>13</v>
      </c>
      <c r="F342" s="7" t="s">
        <v>24</v>
      </c>
      <c r="G342" s="7" t="s">
        <v>15</v>
      </c>
      <c r="H342" s="1">
        <v>45262</v>
      </c>
      <c r="I342" s="1">
        <v>384</v>
      </c>
      <c r="J342" s="1">
        <v>369.9</v>
      </c>
      <c r="K342" s="1">
        <v>312.52</v>
      </c>
    </row>
    <row r="343" spans="2:11" x14ac:dyDescent="0.25">
      <c r="B343" s="7" t="s">
        <v>365</v>
      </c>
      <c r="C343" s="7" t="s">
        <v>22</v>
      </c>
      <c r="D343" s="7" t="s">
        <v>50</v>
      </c>
      <c r="E343" s="7" t="s">
        <v>19</v>
      </c>
      <c r="F343" s="7" t="s">
        <v>14</v>
      </c>
      <c r="G343" s="7" t="s">
        <v>20</v>
      </c>
      <c r="H343" s="1">
        <v>45263</v>
      </c>
      <c r="I343" s="1">
        <v>437</v>
      </c>
      <c r="J343" s="1">
        <v>385.46</v>
      </c>
      <c r="K343" s="1">
        <v>4.8</v>
      </c>
    </row>
    <row r="344" spans="2:11" x14ac:dyDescent="0.25">
      <c r="B344" s="7" t="s">
        <v>366</v>
      </c>
      <c r="C344" s="7" t="s">
        <v>11</v>
      </c>
      <c r="D344" s="7" t="s">
        <v>50</v>
      </c>
      <c r="E344" s="7" t="s">
        <v>19</v>
      </c>
      <c r="F344" s="7" t="s">
        <v>24</v>
      </c>
      <c r="G344" s="7" t="s">
        <v>15</v>
      </c>
      <c r="H344" s="1">
        <v>45264</v>
      </c>
      <c r="I344" s="1">
        <v>314</v>
      </c>
      <c r="J344" s="1">
        <v>125.61</v>
      </c>
      <c r="K344" s="1">
        <v>24.8</v>
      </c>
    </row>
    <row r="345" spans="2:11" x14ac:dyDescent="0.25">
      <c r="B345" s="7" t="s">
        <v>367</v>
      </c>
      <c r="C345" s="7" t="s">
        <v>17</v>
      </c>
      <c r="D345" s="7" t="s">
        <v>50</v>
      </c>
      <c r="E345" s="7" t="s">
        <v>27</v>
      </c>
      <c r="F345" s="7" t="s">
        <v>14</v>
      </c>
      <c r="G345" s="7" t="s">
        <v>15</v>
      </c>
      <c r="H345" s="1">
        <v>45265</v>
      </c>
      <c r="I345" s="1">
        <v>369</v>
      </c>
      <c r="J345" s="1">
        <v>337.42</v>
      </c>
      <c r="K345" s="1">
        <v>91.64</v>
      </c>
    </row>
    <row r="346" spans="2:11" x14ac:dyDescent="0.25">
      <c r="B346" s="7" t="s">
        <v>368</v>
      </c>
      <c r="C346" s="7" t="s">
        <v>17</v>
      </c>
      <c r="D346" s="7" t="s">
        <v>31</v>
      </c>
      <c r="E346" s="7" t="s">
        <v>13</v>
      </c>
      <c r="F346" s="7" t="s">
        <v>14</v>
      </c>
      <c r="G346" s="7" t="s">
        <v>28</v>
      </c>
      <c r="H346" s="1">
        <v>45266</v>
      </c>
      <c r="I346" s="1">
        <v>468</v>
      </c>
      <c r="J346" s="1">
        <v>51</v>
      </c>
      <c r="K346" s="1">
        <v>54.28</v>
      </c>
    </row>
    <row r="347" spans="2:11" x14ac:dyDescent="0.25">
      <c r="B347" s="7" t="s">
        <v>369</v>
      </c>
      <c r="C347" s="7" t="s">
        <v>11</v>
      </c>
      <c r="D347" s="7" t="s">
        <v>50</v>
      </c>
      <c r="E347" s="7" t="s">
        <v>23</v>
      </c>
      <c r="F347" s="7" t="s">
        <v>24</v>
      </c>
      <c r="G347" s="7" t="s">
        <v>15</v>
      </c>
      <c r="H347" s="1">
        <v>45267</v>
      </c>
      <c r="I347" s="1">
        <v>326</v>
      </c>
      <c r="J347" s="1">
        <v>132.24</v>
      </c>
      <c r="K347" s="1">
        <v>160.74</v>
      </c>
    </row>
    <row r="348" spans="2:11" x14ac:dyDescent="0.25">
      <c r="B348" s="7" t="s">
        <v>370</v>
      </c>
      <c r="C348" s="7" t="s">
        <v>17</v>
      </c>
      <c r="D348" s="7" t="s">
        <v>18</v>
      </c>
      <c r="E348" s="7" t="s">
        <v>42</v>
      </c>
      <c r="F348" s="7" t="s">
        <v>24</v>
      </c>
      <c r="G348" s="7" t="s">
        <v>28</v>
      </c>
      <c r="H348" s="1">
        <v>45268</v>
      </c>
      <c r="I348" s="1">
        <v>460</v>
      </c>
      <c r="J348" s="1">
        <v>395.01</v>
      </c>
      <c r="K348" s="1">
        <v>369.2</v>
      </c>
    </row>
    <row r="349" spans="2:11" x14ac:dyDescent="0.25">
      <c r="B349" s="7" t="s">
        <v>371</v>
      </c>
      <c r="C349" s="7" t="s">
        <v>11</v>
      </c>
      <c r="D349" s="7" t="s">
        <v>12</v>
      </c>
      <c r="E349" s="7" t="s">
        <v>27</v>
      </c>
      <c r="F349" s="7" t="s">
        <v>14</v>
      </c>
      <c r="G349" s="7" t="s">
        <v>20</v>
      </c>
      <c r="H349" s="1">
        <v>45269</v>
      </c>
      <c r="I349" s="1">
        <v>132</v>
      </c>
      <c r="J349" s="1">
        <v>433.02</v>
      </c>
      <c r="K349" s="1">
        <v>189.88</v>
      </c>
    </row>
    <row r="350" spans="2:11" x14ac:dyDescent="0.25">
      <c r="B350" s="7" t="s">
        <v>372</v>
      </c>
      <c r="C350" s="7" t="s">
        <v>48</v>
      </c>
      <c r="D350" s="7" t="s">
        <v>18</v>
      </c>
      <c r="E350" s="7" t="s">
        <v>19</v>
      </c>
      <c r="F350" s="7" t="s">
        <v>24</v>
      </c>
      <c r="G350" s="7" t="s">
        <v>15</v>
      </c>
      <c r="H350" s="1">
        <v>45270</v>
      </c>
      <c r="I350" s="1">
        <v>399</v>
      </c>
      <c r="J350" s="1">
        <v>306.2</v>
      </c>
      <c r="K350" s="1">
        <v>7.33</v>
      </c>
    </row>
    <row r="351" spans="2:11" x14ac:dyDescent="0.25">
      <c r="B351" s="7" t="s">
        <v>373</v>
      </c>
      <c r="C351" s="7" t="s">
        <v>11</v>
      </c>
      <c r="D351" s="7" t="s">
        <v>18</v>
      </c>
      <c r="E351" s="7" t="s">
        <v>23</v>
      </c>
      <c r="F351" s="7" t="s">
        <v>14</v>
      </c>
      <c r="G351" s="7" t="s">
        <v>20</v>
      </c>
      <c r="H351" s="1">
        <v>45271</v>
      </c>
      <c r="I351" s="1">
        <v>18</v>
      </c>
      <c r="J351" s="1">
        <v>255.89</v>
      </c>
      <c r="K351" s="1">
        <v>114.53</v>
      </c>
    </row>
    <row r="352" spans="2:11" x14ac:dyDescent="0.25">
      <c r="B352" s="7" t="s">
        <v>374</v>
      </c>
      <c r="C352" s="7" t="s">
        <v>11</v>
      </c>
      <c r="D352" s="7" t="s">
        <v>50</v>
      </c>
      <c r="E352" s="7" t="s">
        <v>23</v>
      </c>
      <c r="F352" s="7" t="s">
        <v>14</v>
      </c>
      <c r="G352" s="7" t="s">
        <v>20</v>
      </c>
      <c r="H352" s="1">
        <v>45272</v>
      </c>
      <c r="I352" s="1">
        <v>271</v>
      </c>
      <c r="J352" s="1">
        <v>83.86</v>
      </c>
      <c r="K352" s="1">
        <v>19.75</v>
      </c>
    </row>
    <row r="353" spans="2:11" x14ac:dyDescent="0.25">
      <c r="B353" s="7" t="s">
        <v>375</v>
      </c>
      <c r="C353" s="7" t="s">
        <v>11</v>
      </c>
      <c r="D353" s="7" t="s">
        <v>12</v>
      </c>
      <c r="E353" s="7" t="s">
        <v>42</v>
      </c>
      <c r="F353" s="7" t="s">
        <v>14</v>
      </c>
      <c r="G353" s="7" t="s">
        <v>15</v>
      </c>
      <c r="H353" s="1">
        <v>45273</v>
      </c>
      <c r="I353" s="1">
        <v>82</v>
      </c>
      <c r="J353" s="1">
        <v>36.24</v>
      </c>
      <c r="K353" s="1">
        <v>16.440000000000001</v>
      </c>
    </row>
    <row r="354" spans="2:11" x14ac:dyDescent="0.25">
      <c r="B354" s="7" t="s">
        <v>376</v>
      </c>
      <c r="C354" s="7" t="s">
        <v>17</v>
      </c>
      <c r="D354" s="7" t="s">
        <v>12</v>
      </c>
      <c r="E354" s="7" t="s">
        <v>19</v>
      </c>
      <c r="F354" s="7" t="s">
        <v>14</v>
      </c>
      <c r="G354" s="7" t="s">
        <v>15</v>
      </c>
      <c r="H354" s="1">
        <v>45274</v>
      </c>
      <c r="I354" s="1">
        <v>368</v>
      </c>
      <c r="J354" s="1">
        <v>63.24</v>
      </c>
      <c r="K354" s="1">
        <v>111.74</v>
      </c>
    </row>
    <row r="355" spans="2:11" x14ac:dyDescent="0.25">
      <c r="B355" s="7" t="s">
        <v>377</v>
      </c>
      <c r="C355" s="7" t="s">
        <v>17</v>
      </c>
      <c r="D355" s="7" t="s">
        <v>12</v>
      </c>
      <c r="E355" s="7" t="s">
        <v>13</v>
      </c>
      <c r="F355" s="7" t="s">
        <v>14</v>
      </c>
      <c r="G355" s="7" t="s">
        <v>20</v>
      </c>
      <c r="H355" s="1">
        <v>45275</v>
      </c>
      <c r="I355" s="1">
        <v>232</v>
      </c>
      <c r="J355" s="1">
        <v>117.54</v>
      </c>
      <c r="K355" s="1">
        <v>111.69</v>
      </c>
    </row>
    <row r="356" spans="2:11" x14ac:dyDescent="0.25">
      <c r="B356" s="7" t="s">
        <v>378</v>
      </c>
      <c r="C356" s="7" t="s">
        <v>11</v>
      </c>
      <c r="D356" s="7" t="s">
        <v>31</v>
      </c>
      <c r="E356" s="7" t="s">
        <v>23</v>
      </c>
      <c r="F356" s="7" t="s">
        <v>24</v>
      </c>
      <c r="G356" s="7" t="s">
        <v>15</v>
      </c>
      <c r="H356" s="1">
        <v>45276</v>
      </c>
      <c r="I356" s="1">
        <v>425</v>
      </c>
      <c r="J356" s="1">
        <v>174.13</v>
      </c>
      <c r="K356" s="1">
        <v>315.27999999999997</v>
      </c>
    </row>
  </sheetData>
  <autoFilter ref="B6:K6" xr:uid="{787FEBC7-E222-44CD-A4FB-5E6F9CFC36EB}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BD7C7-A3D2-470F-BEB5-A2C26DD63253}">
  <dimension ref="A2:M356"/>
  <sheetViews>
    <sheetView workbookViewId="0">
      <selection activeCell="M7" sqref="M7"/>
    </sheetView>
  </sheetViews>
  <sheetFormatPr defaultRowHeight="15" x14ac:dyDescent="0.25"/>
  <cols>
    <col min="12" max="12" width="13.85546875" bestFit="1" customWidth="1"/>
    <col min="13" max="13" width="23.5703125" bestFit="1" customWidth="1"/>
  </cols>
  <sheetData>
    <row r="2" spans="1:13" ht="21" x14ac:dyDescent="0.35">
      <c r="A2" s="4" t="s">
        <v>379</v>
      </c>
      <c r="B2" s="4" t="s">
        <v>384</v>
      </c>
    </row>
    <row r="4" spans="1:13" ht="21" x14ac:dyDescent="0.35">
      <c r="A4" s="4" t="s">
        <v>381</v>
      </c>
    </row>
    <row r="5" spans="1:13" ht="15.75" thickBot="1" x14ac:dyDescent="0.3"/>
    <row r="6" spans="1:13" ht="15.75" thickBot="1" x14ac:dyDescent="0.3">
      <c r="B6" s="3" t="s">
        <v>0</v>
      </c>
      <c r="C6" s="3" t="s">
        <v>1</v>
      </c>
      <c r="D6" s="3" t="s">
        <v>2</v>
      </c>
      <c r="E6" s="3" t="s">
        <v>3</v>
      </c>
      <c r="F6" s="3" t="s">
        <v>4</v>
      </c>
      <c r="G6" s="3" t="s">
        <v>5</v>
      </c>
      <c r="H6" s="3" t="s">
        <v>6</v>
      </c>
      <c r="I6" s="3" t="s">
        <v>7</v>
      </c>
      <c r="J6" s="3" t="s">
        <v>8</v>
      </c>
      <c r="K6" s="3" t="s">
        <v>9</v>
      </c>
      <c r="L6" s="3" t="s">
        <v>390</v>
      </c>
      <c r="M6" s="16" t="s">
        <v>391</v>
      </c>
    </row>
    <row r="7" spans="1:13" x14ac:dyDescent="0.25">
      <c r="B7" s="7" t="s">
        <v>10</v>
      </c>
      <c r="C7" s="7" t="s">
        <v>11</v>
      </c>
      <c r="D7" s="7" t="s">
        <v>12</v>
      </c>
      <c r="E7" s="7" t="s">
        <v>13</v>
      </c>
      <c r="F7" s="7" t="s">
        <v>14</v>
      </c>
      <c r="G7" s="7" t="s">
        <v>15</v>
      </c>
      <c r="H7" s="1">
        <v>44927</v>
      </c>
      <c r="I7" s="1">
        <v>235</v>
      </c>
      <c r="J7" s="1">
        <v>152.91999999999999</v>
      </c>
      <c r="K7" s="1">
        <v>153.6</v>
      </c>
      <c r="L7" s="17">
        <f>$I7*$J7</f>
        <v>35936.199999999997</v>
      </c>
      <c r="M7">
        <f>COUNTBLANK($L$7:$L$356)</f>
        <v>0</v>
      </c>
    </row>
    <row r="8" spans="1:13" x14ac:dyDescent="0.25">
      <c r="B8" s="7" t="s">
        <v>16</v>
      </c>
      <c r="C8" s="7" t="s">
        <v>17</v>
      </c>
      <c r="D8" s="7" t="s">
        <v>18</v>
      </c>
      <c r="E8" s="7" t="s">
        <v>19</v>
      </c>
      <c r="F8" s="7" t="s">
        <v>14</v>
      </c>
      <c r="G8" s="7" t="s">
        <v>20</v>
      </c>
      <c r="H8" s="1">
        <v>44928</v>
      </c>
      <c r="I8" s="1">
        <v>341</v>
      </c>
      <c r="J8" s="1">
        <v>467.92</v>
      </c>
      <c r="K8" s="1">
        <v>139.84</v>
      </c>
      <c r="L8" s="17">
        <f t="shared" ref="L8:L71" si="0">$I8*$J8</f>
        <v>159560.72</v>
      </c>
    </row>
    <row r="9" spans="1:13" x14ac:dyDescent="0.25">
      <c r="B9" s="7" t="s">
        <v>21</v>
      </c>
      <c r="C9" s="7" t="s">
        <v>22</v>
      </c>
      <c r="D9" s="7" t="s">
        <v>18</v>
      </c>
      <c r="E9" s="7" t="s">
        <v>23</v>
      </c>
      <c r="F9" s="7" t="s">
        <v>24</v>
      </c>
      <c r="G9" s="7" t="s">
        <v>15</v>
      </c>
      <c r="H9" s="1">
        <v>44929</v>
      </c>
      <c r="I9" s="1">
        <v>179</v>
      </c>
      <c r="J9" s="1">
        <v>473.94</v>
      </c>
      <c r="K9" s="1">
        <v>97.14</v>
      </c>
      <c r="L9" s="17">
        <f t="shared" si="0"/>
        <v>84835.26</v>
      </c>
    </row>
    <row r="10" spans="1:13" x14ac:dyDescent="0.25">
      <c r="B10" s="7" t="s">
        <v>25</v>
      </c>
      <c r="C10" s="7" t="s">
        <v>11</v>
      </c>
      <c r="D10" s="7" t="s">
        <v>26</v>
      </c>
      <c r="E10" s="7" t="s">
        <v>27</v>
      </c>
      <c r="F10" s="7" t="s">
        <v>24</v>
      </c>
      <c r="G10" s="7" t="s">
        <v>28</v>
      </c>
      <c r="H10" s="1">
        <v>44930</v>
      </c>
      <c r="I10" s="7">
        <v>18</v>
      </c>
      <c r="J10" s="7">
        <v>314.52999999999997</v>
      </c>
      <c r="K10" s="7">
        <v>204.87</v>
      </c>
      <c r="L10" s="17">
        <f t="shared" si="0"/>
        <v>5661.5399999999991</v>
      </c>
    </row>
    <row r="11" spans="1:13" x14ac:dyDescent="0.25">
      <c r="B11" s="7" t="s">
        <v>29</v>
      </c>
      <c r="C11" s="7" t="s">
        <v>11</v>
      </c>
      <c r="D11" s="7" t="s">
        <v>18</v>
      </c>
      <c r="E11" s="7" t="s">
        <v>27</v>
      </c>
      <c r="F11" s="7" t="s">
        <v>24</v>
      </c>
      <c r="G11" s="7" t="s">
        <v>28</v>
      </c>
      <c r="H11" s="1">
        <v>44931</v>
      </c>
      <c r="I11" s="7">
        <v>472</v>
      </c>
      <c r="J11" s="7">
        <v>392.79</v>
      </c>
      <c r="K11" s="7">
        <v>330.46</v>
      </c>
      <c r="L11" s="17">
        <f t="shared" si="0"/>
        <v>185396.88</v>
      </c>
    </row>
    <row r="12" spans="1:13" x14ac:dyDescent="0.25">
      <c r="B12" s="7" t="s">
        <v>30</v>
      </c>
      <c r="C12" s="7" t="s">
        <v>17</v>
      </c>
      <c r="D12" s="7" t="s">
        <v>31</v>
      </c>
      <c r="E12" s="7" t="s">
        <v>23</v>
      </c>
      <c r="F12" s="7" t="s">
        <v>14</v>
      </c>
      <c r="G12" s="7" t="s">
        <v>15</v>
      </c>
      <c r="H12" s="1">
        <v>44932</v>
      </c>
      <c r="I12" s="7">
        <v>49</v>
      </c>
      <c r="J12" s="7">
        <v>308.07</v>
      </c>
      <c r="K12" s="7">
        <v>113.32</v>
      </c>
      <c r="L12" s="17">
        <f t="shared" si="0"/>
        <v>15095.43</v>
      </c>
    </row>
    <row r="13" spans="1:13" x14ac:dyDescent="0.25">
      <c r="B13" s="7" t="s">
        <v>32</v>
      </c>
      <c r="C13" s="7" t="s">
        <v>22</v>
      </c>
      <c r="D13" s="7" t="s">
        <v>12</v>
      </c>
      <c r="E13" s="7" t="s">
        <v>23</v>
      </c>
      <c r="F13" s="7" t="s">
        <v>14</v>
      </c>
      <c r="G13" s="7" t="s">
        <v>20</v>
      </c>
      <c r="H13" s="1">
        <v>44933</v>
      </c>
      <c r="I13" s="7">
        <v>34</v>
      </c>
      <c r="J13" s="7">
        <v>244.78</v>
      </c>
      <c r="K13" s="7">
        <v>377.07</v>
      </c>
      <c r="L13" s="17">
        <f t="shared" si="0"/>
        <v>8322.52</v>
      </c>
    </row>
    <row r="14" spans="1:13" x14ac:dyDescent="0.25">
      <c r="B14" s="7" t="s">
        <v>33</v>
      </c>
      <c r="C14" s="7" t="s">
        <v>22</v>
      </c>
      <c r="D14" s="7" t="s">
        <v>18</v>
      </c>
      <c r="E14" s="7" t="s">
        <v>13</v>
      </c>
      <c r="F14" s="7" t="s">
        <v>14</v>
      </c>
      <c r="G14" s="7" t="s">
        <v>15</v>
      </c>
      <c r="H14" s="1">
        <v>44934</v>
      </c>
      <c r="I14" s="7">
        <v>270</v>
      </c>
      <c r="J14" s="7">
        <v>332.11</v>
      </c>
      <c r="K14" s="7">
        <v>349.59</v>
      </c>
      <c r="L14" s="17">
        <f t="shared" si="0"/>
        <v>89669.7</v>
      </c>
    </row>
    <row r="15" spans="1:13" x14ac:dyDescent="0.25">
      <c r="B15" s="7" t="s">
        <v>34</v>
      </c>
      <c r="C15" s="7" t="s">
        <v>11</v>
      </c>
      <c r="D15" s="7" t="s">
        <v>18</v>
      </c>
      <c r="E15" s="7" t="s">
        <v>13</v>
      </c>
      <c r="F15" s="7" t="s">
        <v>14</v>
      </c>
      <c r="G15" s="7" t="s">
        <v>20</v>
      </c>
      <c r="H15" s="1">
        <v>44935</v>
      </c>
      <c r="I15" s="7">
        <v>404</v>
      </c>
      <c r="J15" s="7">
        <v>278.74</v>
      </c>
      <c r="K15" s="7">
        <v>66.38</v>
      </c>
      <c r="L15" s="17">
        <f t="shared" si="0"/>
        <v>112610.96</v>
      </c>
    </row>
    <row r="16" spans="1:13" x14ac:dyDescent="0.25">
      <c r="B16" s="7" t="s">
        <v>35</v>
      </c>
      <c r="C16" s="7" t="s">
        <v>11</v>
      </c>
      <c r="D16" s="7" t="s">
        <v>26</v>
      </c>
      <c r="E16" s="7" t="s">
        <v>27</v>
      </c>
      <c r="F16" s="7" t="s">
        <v>14</v>
      </c>
      <c r="G16" s="7" t="s">
        <v>28</v>
      </c>
      <c r="H16" s="1">
        <v>44936</v>
      </c>
      <c r="I16" s="7">
        <v>452</v>
      </c>
      <c r="J16" s="7">
        <v>300.75</v>
      </c>
      <c r="K16" s="7">
        <v>314.94</v>
      </c>
      <c r="L16" s="17">
        <f t="shared" si="0"/>
        <v>135939</v>
      </c>
    </row>
    <row r="17" spans="2:12" x14ac:dyDescent="0.25">
      <c r="B17" s="7" t="s">
        <v>36</v>
      </c>
      <c r="C17" s="7" t="s">
        <v>11</v>
      </c>
      <c r="D17" s="7" t="s">
        <v>26</v>
      </c>
      <c r="E17" s="7" t="s">
        <v>19</v>
      </c>
      <c r="F17" s="7" t="s">
        <v>14</v>
      </c>
      <c r="G17" s="7" t="s">
        <v>20</v>
      </c>
      <c r="H17" s="1">
        <v>44937</v>
      </c>
      <c r="I17" s="7">
        <v>235</v>
      </c>
      <c r="J17" s="7">
        <v>393</v>
      </c>
      <c r="K17" s="7">
        <v>230.69</v>
      </c>
      <c r="L17" s="17">
        <f t="shared" si="0"/>
        <v>92355</v>
      </c>
    </row>
    <row r="18" spans="2:12" x14ac:dyDescent="0.25">
      <c r="B18" s="7" t="s">
        <v>37</v>
      </c>
      <c r="C18" s="7" t="s">
        <v>11</v>
      </c>
      <c r="D18" s="7" t="s">
        <v>31</v>
      </c>
      <c r="E18" s="7" t="s">
        <v>27</v>
      </c>
      <c r="F18" s="7" t="s">
        <v>24</v>
      </c>
      <c r="G18" s="7" t="s">
        <v>28</v>
      </c>
      <c r="H18" s="1">
        <v>44938</v>
      </c>
      <c r="I18" s="7">
        <v>481</v>
      </c>
      <c r="J18" s="7">
        <v>243.05</v>
      </c>
      <c r="K18" s="7">
        <v>227.5</v>
      </c>
      <c r="L18" s="17">
        <f t="shared" si="0"/>
        <v>116907.05</v>
      </c>
    </row>
    <row r="19" spans="2:12" x14ac:dyDescent="0.25">
      <c r="B19" s="7" t="s">
        <v>38</v>
      </c>
      <c r="C19" s="7" t="s">
        <v>11</v>
      </c>
      <c r="D19" s="7" t="s">
        <v>12</v>
      </c>
      <c r="E19" s="7" t="s">
        <v>19</v>
      </c>
      <c r="F19" s="7" t="s">
        <v>24</v>
      </c>
      <c r="G19" s="7" t="s">
        <v>20</v>
      </c>
      <c r="H19" s="1">
        <v>44939</v>
      </c>
      <c r="I19" s="7">
        <v>133</v>
      </c>
      <c r="J19" s="7">
        <v>25.17</v>
      </c>
      <c r="K19" s="7">
        <v>157.63999999999999</v>
      </c>
      <c r="L19" s="17">
        <f t="shared" si="0"/>
        <v>3347.61</v>
      </c>
    </row>
    <row r="20" spans="2:12" x14ac:dyDescent="0.25">
      <c r="B20" s="7" t="s">
        <v>39</v>
      </c>
      <c r="C20" s="7" t="s">
        <v>11</v>
      </c>
      <c r="D20" s="7" t="s">
        <v>26</v>
      </c>
      <c r="E20" s="7" t="s">
        <v>19</v>
      </c>
      <c r="F20" s="7" t="s">
        <v>24</v>
      </c>
      <c r="G20" s="7" t="s">
        <v>20</v>
      </c>
      <c r="H20" s="1">
        <v>44940</v>
      </c>
      <c r="I20" s="7">
        <v>472</v>
      </c>
      <c r="J20" s="7">
        <v>86.18</v>
      </c>
      <c r="K20" s="7">
        <v>201.46</v>
      </c>
      <c r="L20" s="17">
        <f t="shared" si="0"/>
        <v>40676.960000000006</v>
      </c>
    </row>
    <row r="21" spans="2:12" x14ac:dyDescent="0.25">
      <c r="B21" s="7" t="s">
        <v>40</v>
      </c>
      <c r="C21" s="7" t="s">
        <v>17</v>
      </c>
      <c r="D21" s="7" t="s">
        <v>18</v>
      </c>
      <c r="E21" s="7" t="s">
        <v>13</v>
      </c>
      <c r="F21" s="7" t="s">
        <v>24</v>
      </c>
      <c r="G21" s="7" t="s">
        <v>20</v>
      </c>
      <c r="H21" s="1">
        <v>44941</v>
      </c>
      <c r="I21" s="7">
        <v>47</v>
      </c>
      <c r="J21" s="7">
        <v>222.11</v>
      </c>
      <c r="K21" s="7">
        <v>160.08000000000001</v>
      </c>
      <c r="L21" s="17">
        <f t="shared" si="0"/>
        <v>10439.17</v>
      </c>
    </row>
    <row r="22" spans="2:12" x14ac:dyDescent="0.25">
      <c r="B22" s="7" t="s">
        <v>41</v>
      </c>
      <c r="C22" s="7" t="s">
        <v>22</v>
      </c>
      <c r="D22" s="7" t="s">
        <v>12</v>
      </c>
      <c r="E22" s="7" t="s">
        <v>42</v>
      </c>
      <c r="F22" s="7" t="s">
        <v>14</v>
      </c>
      <c r="G22" s="7" t="s">
        <v>15</v>
      </c>
      <c r="H22" s="1">
        <v>44942</v>
      </c>
      <c r="I22" s="7">
        <v>337</v>
      </c>
      <c r="J22" s="7">
        <v>363.79</v>
      </c>
      <c r="K22" s="7">
        <v>216.81</v>
      </c>
      <c r="L22" s="17">
        <f t="shared" si="0"/>
        <v>122597.23000000001</v>
      </c>
    </row>
    <row r="23" spans="2:12" x14ac:dyDescent="0.25">
      <c r="B23" s="7" t="s">
        <v>43</v>
      </c>
      <c r="C23" s="7" t="s">
        <v>17</v>
      </c>
      <c r="D23" s="7" t="s">
        <v>12</v>
      </c>
      <c r="E23" s="7" t="s">
        <v>42</v>
      </c>
      <c r="F23" s="7" t="s">
        <v>14</v>
      </c>
      <c r="G23" s="7" t="s">
        <v>15</v>
      </c>
      <c r="H23" s="1">
        <v>44943</v>
      </c>
      <c r="I23" s="7">
        <v>260</v>
      </c>
      <c r="J23" s="7">
        <v>298.67</v>
      </c>
      <c r="K23" s="7">
        <v>251.92</v>
      </c>
      <c r="L23" s="17">
        <f t="shared" si="0"/>
        <v>77654.2</v>
      </c>
    </row>
    <row r="24" spans="2:12" x14ac:dyDescent="0.25">
      <c r="B24" s="7" t="s">
        <v>44</v>
      </c>
      <c r="C24" s="7" t="s">
        <v>17</v>
      </c>
      <c r="D24" s="7" t="s">
        <v>18</v>
      </c>
      <c r="E24" s="7" t="s">
        <v>23</v>
      </c>
      <c r="F24" s="7" t="s">
        <v>24</v>
      </c>
      <c r="G24" s="7" t="s">
        <v>28</v>
      </c>
      <c r="H24" s="1">
        <v>44944</v>
      </c>
      <c r="I24" s="7">
        <v>398</v>
      </c>
      <c r="J24" s="7">
        <v>326.89999999999998</v>
      </c>
      <c r="K24" s="7">
        <v>270.37</v>
      </c>
      <c r="L24" s="17">
        <f t="shared" si="0"/>
        <v>130106.2</v>
      </c>
    </row>
    <row r="25" spans="2:12" x14ac:dyDescent="0.25">
      <c r="B25" s="7" t="s">
        <v>45</v>
      </c>
      <c r="C25" s="7" t="s">
        <v>17</v>
      </c>
      <c r="D25" s="7" t="s">
        <v>26</v>
      </c>
      <c r="E25" s="7" t="s">
        <v>13</v>
      </c>
      <c r="F25" s="7" t="s">
        <v>14</v>
      </c>
      <c r="G25" s="7" t="s">
        <v>28</v>
      </c>
      <c r="H25" s="1">
        <v>44945</v>
      </c>
      <c r="I25" s="7">
        <v>185</v>
      </c>
      <c r="J25" s="7">
        <v>242.24</v>
      </c>
      <c r="K25" s="7">
        <v>213.93</v>
      </c>
      <c r="L25" s="17">
        <f t="shared" si="0"/>
        <v>44814.400000000001</v>
      </c>
    </row>
    <row r="26" spans="2:12" x14ac:dyDescent="0.25">
      <c r="B26" s="7" t="s">
        <v>46</v>
      </c>
      <c r="C26" s="7" t="s">
        <v>11</v>
      </c>
      <c r="D26" s="7" t="s">
        <v>18</v>
      </c>
      <c r="E26" s="7" t="s">
        <v>19</v>
      </c>
      <c r="F26" s="7" t="s">
        <v>24</v>
      </c>
      <c r="G26" s="7" t="s">
        <v>15</v>
      </c>
      <c r="H26" s="1">
        <v>44946</v>
      </c>
      <c r="I26" s="7">
        <v>99</v>
      </c>
      <c r="J26" s="7">
        <v>309.79000000000002</v>
      </c>
      <c r="K26" s="7">
        <v>289.13</v>
      </c>
      <c r="L26" s="17">
        <f t="shared" si="0"/>
        <v>30669.210000000003</v>
      </c>
    </row>
    <row r="27" spans="2:12" x14ac:dyDescent="0.25">
      <c r="B27" s="7" t="s">
        <v>47</v>
      </c>
      <c r="C27" s="7" t="s">
        <v>48</v>
      </c>
      <c r="D27" s="7" t="s">
        <v>12</v>
      </c>
      <c r="E27" s="7" t="s">
        <v>42</v>
      </c>
      <c r="F27" s="7" t="s">
        <v>24</v>
      </c>
      <c r="G27" s="7" t="s">
        <v>28</v>
      </c>
      <c r="H27" s="1">
        <v>44947</v>
      </c>
      <c r="I27" s="7">
        <v>411</v>
      </c>
      <c r="J27" s="7">
        <v>167.86</v>
      </c>
      <c r="K27" s="7">
        <v>58.23</v>
      </c>
      <c r="L27" s="17">
        <f t="shared" si="0"/>
        <v>68990.460000000006</v>
      </c>
    </row>
    <row r="28" spans="2:12" x14ac:dyDescent="0.25">
      <c r="B28" s="7" t="s">
        <v>49</v>
      </c>
      <c r="C28" s="7" t="s">
        <v>22</v>
      </c>
      <c r="D28" s="7" t="s">
        <v>50</v>
      </c>
      <c r="E28" s="7" t="s">
        <v>19</v>
      </c>
      <c r="F28" s="7" t="s">
        <v>24</v>
      </c>
      <c r="G28" s="7" t="s">
        <v>15</v>
      </c>
      <c r="H28" s="1">
        <v>44948</v>
      </c>
      <c r="I28" s="7">
        <v>463</v>
      </c>
      <c r="J28" s="7">
        <v>237.74</v>
      </c>
      <c r="K28" s="7">
        <v>86.37</v>
      </c>
      <c r="L28" s="17">
        <f t="shared" si="0"/>
        <v>110073.62000000001</v>
      </c>
    </row>
    <row r="29" spans="2:12" x14ac:dyDescent="0.25">
      <c r="B29" s="7" t="s">
        <v>51</v>
      </c>
      <c r="C29" s="7" t="s">
        <v>48</v>
      </c>
      <c r="D29" s="7" t="s">
        <v>50</v>
      </c>
      <c r="E29" s="7" t="s">
        <v>42</v>
      </c>
      <c r="F29" s="7" t="s">
        <v>14</v>
      </c>
      <c r="G29" s="7" t="s">
        <v>20</v>
      </c>
      <c r="H29" s="1">
        <v>44949</v>
      </c>
      <c r="I29" s="7">
        <v>46</v>
      </c>
      <c r="J29" s="7">
        <v>373.42</v>
      </c>
      <c r="K29" s="7">
        <v>327.86</v>
      </c>
      <c r="L29" s="17">
        <f t="shared" si="0"/>
        <v>17177.32</v>
      </c>
    </row>
    <row r="30" spans="2:12" x14ac:dyDescent="0.25">
      <c r="B30" s="7" t="s">
        <v>52</v>
      </c>
      <c r="C30" s="7" t="s">
        <v>17</v>
      </c>
      <c r="D30" s="7" t="s">
        <v>31</v>
      </c>
      <c r="E30" s="7" t="s">
        <v>42</v>
      </c>
      <c r="F30" s="7" t="s">
        <v>24</v>
      </c>
      <c r="G30" s="7" t="s">
        <v>28</v>
      </c>
      <c r="H30" s="1">
        <v>44950</v>
      </c>
      <c r="I30" s="7">
        <v>325</v>
      </c>
      <c r="J30" s="7">
        <v>436.56</v>
      </c>
      <c r="K30" s="7">
        <v>130.37</v>
      </c>
      <c r="L30" s="17">
        <f t="shared" si="0"/>
        <v>141882</v>
      </c>
    </row>
    <row r="31" spans="2:12" x14ac:dyDescent="0.25">
      <c r="B31" s="7" t="s">
        <v>53</v>
      </c>
      <c r="C31" s="7" t="s">
        <v>17</v>
      </c>
      <c r="D31" s="7" t="s">
        <v>18</v>
      </c>
      <c r="E31" s="7" t="s">
        <v>42</v>
      </c>
      <c r="F31" s="7" t="s">
        <v>24</v>
      </c>
      <c r="G31" s="7" t="s">
        <v>28</v>
      </c>
      <c r="H31" s="1">
        <v>44951</v>
      </c>
      <c r="I31" s="7">
        <v>185</v>
      </c>
      <c r="J31" s="7">
        <v>219.66</v>
      </c>
      <c r="K31" s="7">
        <v>11.11</v>
      </c>
      <c r="L31" s="17">
        <f t="shared" si="0"/>
        <v>40637.1</v>
      </c>
    </row>
    <row r="32" spans="2:12" x14ac:dyDescent="0.25">
      <c r="B32" s="7" t="s">
        <v>54</v>
      </c>
      <c r="C32" s="7" t="s">
        <v>48</v>
      </c>
      <c r="D32" s="7" t="s">
        <v>18</v>
      </c>
      <c r="E32" s="7" t="s">
        <v>13</v>
      </c>
      <c r="F32" s="7" t="s">
        <v>24</v>
      </c>
      <c r="G32" s="7" t="s">
        <v>15</v>
      </c>
      <c r="H32" s="1">
        <v>44952</v>
      </c>
      <c r="I32" s="7">
        <v>470</v>
      </c>
      <c r="J32" s="7">
        <v>26.61</v>
      </c>
      <c r="K32" s="7">
        <v>63.21</v>
      </c>
      <c r="L32" s="17">
        <f t="shared" si="0"/>
        <v>12506.699999999999</v>
      </c>
    </row>
    <row r="33" spans="2:12" x14ac:dyDescent="0.25">
      <c r="B33" s="7" t="s">
        <v>55</v>
      </c>
      <c r="C33" s="7" t="s">
        <v>48</v>
      </c>
      <c r="D33" s="7" t="s">
        <v>31</v>
      </c>
      <c r="E33" s="7" t="s">
        <v>27</v>
      </c>
      <c r="F33" s="7" t="s">
        <v>14</v>
      </c>
      <c r="G33" s="7" t="s">
        <v>28</v>
      </c>
      <c r="H33" s="1">
        <v>44953</v>
      </c>
      <c r="I33" s="7">
        <v>293</v>
      </c>
      <c r="J33" s="7">
        <v>85.03</v>
      </c>
      <c r="K33" s="7">
        <v>91</v>
      </c>
      <c r="L33" s="17">
        <f t="shared" si="0"/>
        <v>24913.79</v>
      </c>
    </row>
    <row r="34" spans="2:12" x14ac:dyDescent="0.25">
      <c r="B34" s="7" t="s">
        <v>56</v>
      </c>
      <c r="C34" s="7" t="s">
        <v>48</v>
      </c>
      <c r="D34" s="7" t="s">
        <v>31</v>
      </c>
      <c r="E34" s="7" t="s">
        <v>19</v>
      </c>
      <c r="F34" s="7" t="s">
        <v>14</v>
      </c>
      <c r="G34" s="7" t="s">
        <v>28</v>
      </c>
      <c r="H34" s="1">
        <v>44954</v>
      </c>
      <c r="I34" s="7">
        <v>462</v>
      </c>
      <c r="J34" s="7">
        <v>249.64</v>
      </c>
      <c r="K34" s="7">
        <v>383.01</v>
      </c>
      <c r="L34" s="17">
        <f t="shared" si="0"/>
        <v>115333.68</v>
      </c>
    </row>
    <row r="35" spans="2:12" x14ac:dyDescent="0.25">
      <c r="B35" s="7" t="s">
        <v>57</v>
      </c>
      <c r="C35" s="7" t="s">
        <v>17</v>
      </c>
      <c r="D35" s="7" t="s">
        <v>31</v>
      </c>
      <c r="E35" s="7" t="s">
        <v>13</v>
      </c>
      <c r="F35" s="7" t="s">
        <v>24</v>
      </c>
      <c r="G35" s="7" t="s">
        <v>20</v>
      </c>
      <c r="H35" s="1">
        <v>44955</v>
      </c>
      <c r="I35" s="7">
        <v>470</v>
      </c>
      <c r="J35" s="7">
        <v>328.37</v>
      </c>
      <c r="K35" s="7">
        <v>230.07</v>
      </c>
      <c r="L35" s="17">
        <f t="shared" si="0"/>
        <v>154333.9</v>
      </c>
    </row>
    <row r="36" spans="2:12" x14ac:dyDescent="0.25">
      <c r="B36" s="7" t="s">
        <v>58</v>
      </c>
      <c r="C36" s="7" t="s">
        <v>17</v>
      </c>
      <c r="D36" s="7" t="s">
        <v>12</v>
      </c>
      <c r="E36" s="7" t="s">
        <v>13</v>
      </c>
      <c r="F36" s="7" t="s">
        <v>14</v>
      </c>
      <c r="G36" s="7" t="s">
        <v>28</v>
      </c>
      <c r="H36" s="1">
        <v>44956</v>
      </c>
      <c r="I36" s="7">
        <v>90</v>
      </c>
      <c r="J36" s="7">
        <v>169.5</v>
      </c>
      <c r="K36" s="7">
        <v>373.23</v>
      </c>
      <c r="L36" s="17">
        <f t="shared" si="0"/>
        <v>15255</v>
      </c>
    </row>
    <row r="37" spans="2:12" x14ac:dyDescent="0.25">
      <c r="B37" s="7" t="s">
        <v>59</v>
      </c>
      <c r="C37" s="7" t="s">
        <v>17</v>
      </c>
      <c r="D37" s="7" t="s">
        <v>18</v>
      </c>
      <c r="E37" s="7" t="s">
        <v>13</v>
      </c>
      <c r="F37" s="7" t="s">
        <v>14</v>
      </c>
      <c r="G37" s="7" t="s">
        <v>20</v>
      </c>
      <c r="H37" s="1">
        <v>44957</v>
      </c>
      <c r="I37" s="7">
        <v>123</v>
      </c>
      <c r="J37" s="7">
        <v>273.52999999999997</v>
      </c>
      <c r="K37" s="7">
        <v>230.92</v>
      </c>
      <c r="L37" s="17">
        <f t="shared" si="0"/>
        <v>33644.189999999995</v>
      </c>
    </row>
    <row r="38" spans="2:12" x14ac:dyDescent="0.25">
      <c r="B38" s="7" t="s">
        <v>60</v>
      </c>
      <c r="C38" s="7" t="s">
        <v>22</v>
      </c>
      <c r="D38" s="7" t="s">
        <v>12</v>
      </c>
      <c r="E38" s="7" t="s">
        <v>13</v>
      </c>
      <c r="F38" s="7" t="s">
        <v>14</v>
      </c>
      <c r="G38" s="7" t="s">
        <v>15</v>
      </c>
      <c r="H38" s="1">
        <v>44958</v>
      </c>
      <c r="I38" s="7">
        <v>49</v>
      </c>
      <c r="J38" s="7">
        <v>249.17</v>
      </c>
      <c r="K38" s="7">
        <v>192.78</v>
      </c>
      <c r="L38" s="17">
        <f t="shared" si="0"/>
        <v>12209.33</v>
      </c>
    </row>
    <row r="39" spans="2:12" x14ac:dyDescent="0.25">
      <c r="B39" s="7" t="s">
        <v>61</v>
      </c>
      <c r="C39" s="7" t="s">
        <v>17</v>
      </c>
      <c r="D39" s="7" t="s">
        <v>31</v>
      </c>
      <c r="E39" s="7" t="s">
        <v>13</v>
      </c>
      <c r="F39" s="7" t="s">
        <v>14</v>
      </c>
      <c r="G39" s="7" t="s">
        <v>28</v>
      </c>
      <c r="H39" s="1">
        <v>44959</v>
      </c>
      <c r="I39" s="7">
        <v>310</v>
      </c>
      <c r="J39" s="7">
        <v>45.36</v>
      </c>
      <c r="K39" s="7">
        <v>126.86</v>
      </c>
      <c r="L39" s="17">
        <f t="shared" si="0"/>
        <v>14061.6</v>
      </c>
    </row>
    <row r="40" spans="2:12" x14ac:dyDescent="0.25">
      <c r="B40" s="7" t="s">
        <v>62</v>
      </c>
      <c r="C40" s="7" t="s">
        <v>48</v>
      </c>
      <c r="D40" s="7" t="s">
        <v>18</v>
      </c>
      <c r="E40" s="7" t="s">
        <v>23</v>
      </c>
      <c r="F40" s="7" t="s">
        <v>14</v>
      </c>
      <c r="G40" s="7" t="s">
        <v>20</v>
      </c>
      <c r="H40" s="1">
        <v>44960</v>
      </c>
      <c r="I40" s="7">
        <v>233</v>
      </c>
      <c r="J40" s="7">
        <v>204.61</v>
      </c>
      <c r="K40" s="7">
        <v>243.34</v>
      </c>
      <c r="L40" s="17">
        <f t="shared" si="0"/>
        <v>47674.130000000005</v>
      </c>
    </row>
    <row r="41" spans="2:12" x14ac:dyDescent="0.25">
      <c r="B41" s="7" t="s">
        <v>63</v>
      </c>
      <c r="C41" s="7" t="s">
        <v>48</v>
      </c>
      <c r="D41" s="7" t="s">
        <v>12</v>
      </c>
      <c r="E41" s="7" t="s">
        <v>19</v>
      </c>
      <c r="F41" s="7" t="s">
        <v>14</v>
      </c>
      <c r="G41" s="7" t="s">
        <v>15</v>
      </c>
      <c r="H41" s="1">
        <v>44961</v>
      </c>
      <c r="I41" s="7">
        <v>327</v>
      </c>
      <c r="J41" s="7">
        <v>114.18</v>
      </c>
      <c r="K41" s="7">
        <v>57.4</v>
      </c>
      <c r="L41" s="17">
        <f t="shared" si="0"/>
        <v>37336.86</v>
      </c>
    </row>
    <row r="42" spans="2:12" x14ac:dyDescent="0.25">
      <c r="B42" s="7" t="s">
        <v>64</v>
      </c>
      <c r="C42" s="7" t="s">
        <v>22</v>
      </c>
      <c r="D42" s="7" t="s">
        <v>12</v>
      </c>
      <c r="E42" s="7" t="s">
        <v>13</v>
      </c>
      <c r="F42" s="7" t="s">
        <v>14</v>
      </c>
      <c r="G42" s="7" t="s">
        <v>28</v>
      </c>
      <c r="H42" s="1">
        <v>44962</v>
      </c>
      <c r="I42" s="7">
        <v>358</v>
      </c>
      <c r="J42" s="7">
        <v>212.11</v>
      </c>
      <c r="K42" s="7">
        <v>359.51</v>
      </c>
      <c r="L42" s="17">
        <f t="shared" si="0"/>
        <v>75935.38</v>
      </c>
    </row>
    <row r="43" spans="2:12" x14ac:dyDescent="0.25">
      <c r="B43" s="7" t="s">
        <v>65</v>
      </c>
      <c r="C43" s="7" t="s">
        <v>17</v>
      </c>
      <c r="D43" s="7" t="s">
        <v>31</v>
      </c>
      <c r="E43" s="7" t="s">
        <v>19</v>
      </c>
      <c r="F43" s="7" t="s">
        <v>14</v>
      </c>
      <c r="G43" s="7" t="s">
        <v>15</v>
      </c>
      <c r="H43" s="1">
        <v>44963</v>
      </c>
      <c r="I43" s="7">
        <v>124</v>
      </c>
      <c r="J43" s="7">
        <v>249.64</v>
      </c>
      <c r="K43" s="7">
        <v>332.07</v>
      </c>
      <c r="L43" s="17">
        <f t="shared" si="0"/>
        <v>30955.359999999997</v>
      </c>
    </row>
    <row r="44" spans="2:12" x14ac:dyDescent="0.25">
      <c r="B44" s="7" t="s">
        <v>66</v>
      </c>
      <c r="C44" s="7" t="s">
        <v>22</v>
      </c>
      <c r="D44" s="7" t="s">
        <v>18</v>
      </c>
      <c r="E44" s="7" t="s">
        <v>23</v>
      </c>
      <c r="F44" s="7" t="s">
        <v>14</v>
      </c>
      <c r="G44" s="7" t="s">
        <v>28</v>
      </c>
      <c r="H44" s="1">
        <v>44964</v>
      </c>
      <c r="I44" s="7">
        <v>195</v>
      </c>
      <c r="J44" s="7">
        <v>421.02</v>
      </c>
      <c r="K44" s="7">
        <v>128.38</v>
      </c>
      <c r="L44" s="17">
        <f t="shared" si="0"/>
        <v>82098.899999999994</v>
      </c>
    </row>
    <row r="45" spans="2:12" x14ac:dyDescent="0.25">
      <c r="B45" s="7" t="s">
        <v>67</v>
      </c>
      <c r="C45" s="7" t="s">
        <v>22</v>
      </c>
      <c r="D45" s="7" t="s">
        <v>31</v>
      </c>
      <c r="E45" s="7" t="s">
        <v>23</v>
      </c>
      <c r="F45" s="7" t="s">
        <v>14</v>
      </c>
      <c r="G45" s="7" t="s">
        <v>15</v>
      </c>
      <c r="H45" s="1">
        <v>44965</v>
      </c>
      <c r="I45" s="7">
        <v>255.9</v>
      </c>
      <c r="J45" s="7">
        <v>91.23</v>
      </c>
      <c r="K45" s="7">
        <v>381.21</v>
      </c>
      <c r="L45" s="17">
        <f t="shared" si="0"/>
        <v>23345.757000000001</v>
      </c>
    </row>
    <row r="46" spans="2:12" x14ac:dyDescent="0.25">
      <c r="B46" s="7" t="s">
        <v>68</v>
      </c>
      <c r="C46" s="7" t="s">
        <v>11</v>
      </c>
      <c r="D46" s="7" t="s">
        <v>18</v>
      </c>
      <c r="E46" s="7" t="s">
        <v>19</v>
      </c>
      <c r="F46" s="7" t="s">
        <v>24</v>
      </c>
      <c r="G46" s="7" t="s">
        <v>15</v>
      </c>
      <c r="H46" s="1">
        <v>44966</v>
      </c>
      <c r="I46" s="7">
        <v>65</v>
      </c>
      <c r="J46" s="7">
        <v>480.59</v>
      </c>
      <c r="K46" s="7">
        <v>330.43</v>
      </c>
      <c r="L46" s="17">
        <f t="shared" si="0"/>
        <v>31238.35</v>
      </c>
    </row>
    <row r="47" spans="2:12" x14ac:dyDescent="0.25">
      <c r="B47" s="7" t="s">
        <v>69</v>
      </c>
      <c r="C47" s="7" t="s">
        <v>11</v>
      </c>
      <c r="D47" s="7" t="s">
        <v>50</v>
      </c>
      <c r="E47" s="7" t="s">
        <v>42</v>
      </c>
      <c r="F47" s="7" t="s">
        <v>24</v>
      </c>
      <c r="G47" s="7" t="s">
        <v>20</v>
      </c>
      <c r="H47" s="1">
        <v>44967</v>
      </c>
      <c r="I47" s="7">
        <v>49</v>
      </c>
      <c r="J47" s="7">
        <v>210.87</v>
      </c>
      <c r="K47" s="7">
        <v>267.19</v>
      </c>
      <c r="L47" s="17">
        <f t="shared" si="0"/>
        <v>10332.630000000001</v>
      </c>
    </row>
    <row r="48" spans="2:12" x14ac:dyDescent="0.25">
      <c r="B48" s="7" t="s">
        <v>70</v>
      </c>
      <c r="C48" s="7" t="s">
        <v>11</v>
      </c>
      <c r="D48" s="7" t="s">
        <v>26</v>
      </c>
      <c r="E48" s="7" t="s">
        <v>27</v>
      </c>
      <c r="F48" s="7" t="s">
        <v>14</v>
      </c>
      <c r="G48" s="7" t="s">
        <v>15</v>
      </c>
      <c r="H48" s="1">
        <v>44968</v>
      </c>
      <c r="I48" s="7">
        <v>363</v>
      </c>
      <c r="J48" s="7">
        <v>423.89</v>
      </c>
      <c r="K48" s="7">
        <v>50.46</v>
      </c>
      <c r="L48" s="17">
        <f t="shared" si="0"/>
        <v>153872.07</v>
      </c>
    </row>
    <row r="49" spans="2:12" x14ac:dyDescent="0.25">
      <c r="B49" s="7" t="s">
        <v>71</v>
      </c>
      <c r="C49" s="7" t="s">
        <v>48</v>
      </c>
      <c r="D49" s="7" t="s">
        <v>26</v>
      </c>
      <c r="E49" s="7" t="s">
        <v>42</v>
      </c>
      <c r="F49" s="7" t="s">
        <v>24</v>
      </c>
      <c r="G49" s="7" t="s">
        <v>28</v>
      </c>
      <c r="H49" s="1">
        <v>44969</v>
      </c>
      <c r="I49" s="7">
        <v>49</v>
      </c>
      <c r="J49" s="7">
        <v>316.24</v>
      </c>
      <c r="K49" s="7">
        <v>192.34</v>
      </c>
      <c r="L49" s="17">
        <f t="shared" si="0"/>
        <v>15495.76</v>
      </c>
    </row>
    <row r="50" spans="2:12" x14ac:dyDescent="0.25">
      <c r="B50" s="7" t="s">
        <v>72</v>
      </c>
      <c r="C50" s="7" t="s">
        <v>17</v>
      </c>
      <c r="D50" s="7" t="s">
        <v>26</v>
      </c>
      <c r="E50" s="7" t="s">
        <v>42</v>
      </c>
      <c r="F50" s="7" t="s">
        <v>24</v>
      </c>
      <c r="G50" s="7" t="s">
        <v>28</v>
      </c>
      <c r="H50" s="1">
        <v>44970</v>
      </c>
      <c r="I50" s="7">
        <v>356</v>
      </c>
      <c r="J50" s="7">
        <v>369</v>
      </c>
      <c r="K50" s="7">
        <v>203.43</v>
      </c>
      <c r="L50" s="17">
        <f t="shared" si="0"/>
        <v>131364</v>
      </c>
    </row>
    <row r="51" spans="2:12" x14ac:dyDescent="0.25">
      <c r="B51" s="7" t="s">
        <v>73</v>
      </c>
      <c r="C51" s="7" t="s">
        <v>17</v>
      </c>
      <c r="D51" s="7" t="s">
        <v>31</v>
      </c>
      <c r="E51" s="7" t="s">
        <v>42</v>
      </c>
      <c r="F51" s="7" t="s">
        <v>14</v>
      </c>
      <c r="G51" s="7" t="s">
        <v>20</v>
      </c>
      <c r="H51" s="1">
        <v>44971</v>
      </c>
      <c r="I51" s="7">
        <v>470</v>
      </c>
      <c r="J51" s="7">
        <v>249.64</v>
      </c>
      <c r="K51" s="7">
        <v>94.56</v>
      </c>
      <c r="L51" s="17">
        <f t="shared" si="0"/>
        <v>117330.79999999999</v>
      </c>
    </row>
    <row r="52" spans="2:12" x14ac:dyDescent="0.25">
      <c r="B52" s="7" t="s">
        <v>74</v>
      </c>
      <c r="C52" s="7" t="s">
        <v>17</v>
      </c>
      <c r="D52" s="7" t="s">
        <v>50</v>
      </c>
      <c r="E52" s="7" t="s">
        <v>13</v>
      </c>
      <c r="F52" s="7" t="s">
        <v>14</v>
      </c>
      <c r="G52" s="7" t="s">
        <v>28</v>
      </c>
      <c r="H52" s="1">
        <v>44972</v>
      </c>
      <c r="I52" s="7">
        <v>246</v>
      </c>
      <c r="J52" s="7">
        <v>254.9</v>
      </c>
      <c r="K52" s="7">
        <v>33.83</v>
      </c>
      <c r="L52" s="17">
        <f t="shared" si="0"/>
        <v>62705.4</v>
      </c>
    </row>
    <row r="53" spans="2:12" x14ac:dyDescent="0.25">
      <c r="B53" s="7" t="s">
        <v>75</v>
      </c>
      <c r="C53" s="7" t="s">
        <v>17</v>
      </c>
      <c r="D53" s="7" t="s">
        <v>18</v>
      </c>
      <c r="E53" s="7" t="s">
        <v>23</v>
      </c>
      <c r="F53" s="7" t="s">
        <v>14</v>
      </c>
      <c r="G53" s="7" t="s">
        <v>28</v>
      </c>
      <c r="H53" s="1">
        <v>44973</v>
      </c>
      <c r="I53" s="7">
        <v>298</v>
      </c>
      <c r="J53" s="7">
        <v>273.93</v>
      </c>
      <c r="K53" s="7">
        <v>311.14</v>
      </c>
      <c r="L53" s="17">
        <f t="shared" si="0"/>
        <v>81631.14</v>
      </c>
    </row>
    <row r="54" spans="2:12" x14ac:dyDescent="0.25">
      <c r="B54" s="7" t="s">
        <v>76</v>
      </c>
      <c r="C54" s="7" t="s">
        <v>11</v>
      </c>
      <c r="D54" s="7" t="s">
        <v>12</v>
      </c>
      <c r="E54" s="7" t="s">
        <v>42</v>
      </c>
      <c r="F54" s="7" t="s">
        <v>24</v>
      </c>
      <c r="G54" s="7" t="s">
        <v>28</v>
      </c>
      <c r="H54" s="1">
        <v>44974</v>
      </c>
      <c r="I54" s="7">
        <v>271</v>
      </c>
      <c r="J54" s="7">
        <v>259.43</v>
      </c>
      <c r="K54" s="7">
        <v>50.57</v>
      </c>
      <c r="L54" s="17">
        <f t="shared" si="0"/>
        <v>70305.53</v>
      </c>
    </row>
    <row r="55" spans="2:12" x14ac:dyDescent="0.25">
      <c r="B55" s="7" t="s">
        <v>77</v>
      </c>
      <c r="C55" s="7" t="s">
        <v>48</v>
      </c>
      <c r="D55" s="7" t="s">
        <v>18</v>
      </c>
      <c r="E55" s="7" t="s">
        <v>23</v>
      </c>
      <c r="F55" s="7" t="s">
        <v>24</v>
      </c>
      <c r="G55" s="7" t="s">
        <v>15</v>
      </c>
      <c r="H55" s="1">
        <v>44975</v>
      </c>
      <c r="I55" s="7">
        <v>225</v>
      </c>
      <c r="J55" s="7">
        <v>296.08999999999997</v>
      </c>
      <c r="K55" s="7">
        <v>238.53</v>
      </c>
      <c r="L55" s="17">
        <f t="shared" si="0"/>
        <v>66620.25</v>
      </c>
    </row>
    <row r="56" spans="2:12" x14ac:dyDescent="0.25">
      <c r="B56" s="7" t="s">
        <v>78</v>
      </c>
      <c r="C56" s="7" t="s">
        <v>48</v>
      </c>
      <c r="D56" s="7" t="s">
        <v>12</v>
      </c>
      <c r="E56" s="7" t="s">
        <v>19</v>
      </c>
      <c r="F56" s="7" t="s">
        <v>14</v>
      </c>
      <c r="G56" s="7" t="s">
        <v>15</v>
      </c>
      <c r="H56" s="1">
        <v>44976</v>
      </c>
      <c r="I56" s="7">
        <v>156</v>
      </c>
      <c r="J56" s="7">
        <v>19.55</v>
      </c>
      <c r="K56" s="7">
        <v>374.71</v>
      </c>
      <c r="L56" s="17">
        <f t="shared" si="0"/>
        <v>3049.8</v>
      </c>
    </row>
    <row r="57" spans="2:12" x14ac:dyDescent="0.25">
      <c r="B57" s="7" t="s">
        <v>79</v>
      </c>
      <c r="C57" s="7" t="s">
        <v>11</v>
      </c>
      <c r="D57" s="7" t="s">
        <v>18</v>
      </c>
      <c r="E57" s="7" t="s">
        <v>27</v>
      </c>
      <c r="F57" s="7" t="s">
        <v>14</v>
      </c>
      <c r="G57" s="7" t="s">
        <v>28</v>
      </c>
      <c r="H57" s="1">
        <v>44977</v>
      </c>
      <c r="I57" s="7">
        <v>345</v>
      </c>
      <c r="J57" s="7">
        <v>200.78</v>
      </c>
      <c r="K57" s="7">
        <v>350.69</v>
      </c>
      <c r="L57" s="17">
        <f t="shared" si="0"/>
        <v>69269.100000000006</v>
      </c>
    </row>
    <row r="58" spans="2:12" x14ac:dyDescent="0.25">
      <c r="B58" s="7" t="s">
        <v>80</v>
      </c>
      <c r="C58" s="7" t="s">
        <v>48</v>
      </c>
      <c r="D58" s="7" t="s">
        <v>50</v>
      </c>
      <c r="E58" s="7" t="s">
        <v>19</v>
      </c>
      <c r="F58" s="7" t="s">
        <v>14</v>
      </c>
      <c r="G58" s="7" t="s">
        <v>20</v>
      </c>
      <c r="H58" s="1">
        <v>44978</v>
      </c>
      <c r="I58" s="7">
        <v>177</v>
      </c>
      <c r="J58" s="7">
        <v>305.06</v>
      </c>
      <c r="K58" s="7">
        <v>112.55</v>
      </c>
      <c r="L58" s="17">
        <f t="shared" si="0"/>
        <v>53995.62</v>
      </c>
    </row>
    <row r="59" spans="2:12" x14ac:dyDescent="0.25">
      <c r="B59" s="7" t="s">
        <v>81</v>
      </c>
      <c r="C59" s="7" t="s">
        <v>11</v>
      </c>
      <c r="D59" s="7" t="s">
        <v>12</v>
      </c>
      <c r="E59" s="7" t="s">
        <v>19</v>
      </c>
      <c r="F59" s="7" t="s">
        <v>24</v>
      </c>
      <c r="G59" s="7" t="s">
        <v>15</v>
      </c>
      <c r="H59" s="1">
        <v>44979</v>
      </c>
      <c r="I59" s="7">
        <v>101</v>
      </c>
      <c r="J59" s="7">
        <v>300.87</v>
      </c>
      <c r="K59" s="7">
        <v>340.88</v>
      </c>
      <c r="L59" s="17">
        <f t="shared" si="0"/>
        <v>30387.87</v>
      </c>
    </row>
    <row r="60" spans="2:12" x14ac:dyDescent="0.25">
      <c r="B60" s="7" t="s">
        <v>82</v>
      </c>
      <c r="C60" s="7" t="s">
        <v>17</v>
      </c>
      <c r="D60" s="7" t="s">
        <v>31</v>
      </c>
      <c r="E60" s="7" t="s">
        <v>13</v>
      </c>
      <c r="F60" s="7" t="s">
        <v>24</v>
      </c>
      <c r="G60" s="7" t="s">
        <v>20</v>
      </c>
      <c r="H60" s="1">
        <v>44980</v>
      </c>
      <c r="I60" s="7">
        <v>362</v>
      </c>
      <c r="J60" s="7">
        <v>397.51</v>
      </c>
      <c r="K60" s="7">
        <v>2.13</v>
      </c>
      <c r="L60" s="17">
        <f t="shared" si="0"/>
        <v>143898.62</v>
      </c>
    </row>
    <row r="61" spans="2:12" x14ac:dyDescent="0.25">
      <c r="B61" s="7" t="s">
        <v>83</v>
      </c>
      <c r="C61" s="7" t="s">
        <v>11</v>
      </c>
      <c r="D61" s="7" t="s">
        <v>18</v>
      </c>
      <c r="E61" s="7" t="s">
        <v>27</v>
      </c>
      <c r="F61" s="7" t="s">
        <v>24</v>
      </c>
      <c r="G61" s="7" t="s">
        <v>28</v>
      </c>
      <c r="H61" s="1">
        <v>44981</v>
      </c>
      <c r="I61" s="7">
        <v>68</v>
      </c>
      <c r="J61" s="7">
        <v>329.23</v>
      </c>
      <c r="K61" s="7">
        <v>9.0399999999999991</v>
      </c>
      <c r="L61" s="17">
        <f t="shared" si="0"/>
        <v>22387.64</v>
      </c>
    </row>
    <row r="62" spans="2:12" x14ac:dyDescent="0.25">
      <c r="B62" s="7" t="s">
        <v>84</v>
      </c>
      <c r="C62" s="7" t="s">
        <v>17</v>
      </c>
      <c r="D62" s="7" t="s">
        <v>18</v>
      </c>
      <c r="E62" s="7" t="s">
        <v>19</v>
      </c>
      <c r="F62" s="7" t="s">
        <v>24</v>
      </c>
      <c r="G62" s="7" t="s">
        <v>28</v>
      </c>
      <c r="H62" s="1">
        <v>44982</v>
      </c>
      <c r="I62" s="7">
        <v>68</v>
      </c>
      <c r="J62" s="7">
        <v>496.11</v>
      </c>
      <c r="K62" s="7">
        <v>241.82</v>
      </c>
      <c r="L62" s="17">
        <f t="shared" si="0"/>
        <v>33735.480000000003</v>
      </c>
    </row>
    <row r="63" spans="2:12" x14ac:dyDescent="0.25">
      <c r="B63" s="7" t="s">
        <v>85</v>
      </c>
      <c r="C63" s="7" t="s">
        <v>17</v>
      </c>
      <c r="D63" s="7" t="s">
        <v>12</v>
      </c>
      <c r="E63" s="7" t="s">
        <v>19</v>
      </c>
      <c r="F63" s="7" t="s">
        <v>14</v>
      </c>
      <c r="G63" s="7" t="s">
        <v>15</v>
      </c>
      <c r="H63" s="1">
        <v>44983</v>
      </c>
      <c r="I63" s="7">
        <v>313</v>
      </c>
      <c r="J63" s="7">
        <v>145.51</v>
      </c>
      <c r="K63" s="7">
        <v>147.19</v>
      </c>
      <c r="L63" s="17">
        <f t="shared" si="0"/>
        <v>45544.63</v>
      </c>
    </row>
    <row r="64" spans="2:12" x14ac:dyDescent="0.25">
      <c r="B64" s="7" t="s">
        <v>86</v>
      </c>
      <c r="C64" s="7" t="s">
        <v>22</v>
      </c>
      <c r="D64" s="7" t="s">
        <v>31</v>
      </c>
      <c r="E64" s="7" t="s">
        <v>27</v>
      </c>
      <c r="F64" s="7" t="s">
        <v>14</v>
      </c>
      <c r="G64" s="7" t="s">
        <v>28</v>
      </c>
      <c r="H64" s="1">
        <v>44984</v>
      </c>
      <c r="I64" s="7">
        <v>178</v>
      </c>
      <c r="J64" s="7">
        <v>182.78</v>
      </c>
      <c r="K64" s="7">
        <v>155.81</v>
      </c>
      <c r="L64" s="17">
        <f t="shared" si="0"/>
        <v>32534.84</v>
      </c>
    </row>
    <row r="65" spans="2:12" x14ac:dyDescent="0.25">
      <c r="B65" s="7" t="s">
        <v>87</v>
      </c>
      <c r="C65" s="7" t="s">
        <v>11</v>
      </c>
      <c r="D65" s="7" t="s">
        <v>31</v>
      </c>
      <c r="E65" s="7" t="s">
        <v>27</v>
      </c>
      <c r="F65" s="7" t="s">
        <v>14</v>
      </c>
      <c r="G65" s="7" t="s">
        <v>15</v>
      </c>
      <c r="H65" s="1">
        <v>44985</v>
      </c>
      <c r="I65" s="7">
        <v>278</v>
      </c>
      <c r="J65" s="7">
        <v>195</v>
      </c>
      <c r="K65" s="7">
        <v>226.65</v>
      </c>
      <c r="L65" s="17">
        <f t="shared" si="0"/>
        <v>54210</v>
      </c>
    </row>
    <row r="66" spans="2:12" x14ac:dyDescent="0.25">
      <c r="B66" s="7" t="s">
        <v>88</v>
      </c>
      <c r="C66" s="7" t="s">
        <v>22</v>
      </c>
      <c r="D66" s="7" t="s">
        <v>50</v>
      </c>
      <c r="E66" s="7" t="s">
        <v>19</v>
      </c>
      <c r="F66" s="7" t="s">
        <v>14</v>
      </c>
      <c r="G66" s="7" t="s">
        <v>28</v>
      </c>
      <c r="H66" s="1">
        <v>44986</v>
      </c>
      <c r="I66" s="7">
        <v>372</v>
      </c>
      <c r="J66" s="7">
        <v>235.58</v>
      </c>
      <c r="K66" s="7">
        <v>78.33</v>
      </c>
      <c r="L66" s="17">
        <f t="shared" si="0"/>
        <v>87635.760000000009</v>
      </c>
    </row>
    <row r="67" spans="2:12" x14ac:dyDescent="0.25">
      <c r="B67" s="7" t="s">
        <v>89</v>
      </c>
      <c r="C67" s="7" t="s">
        <v>11</v>
      </c>
      <c r="D67" s="7" t="s">
        <v>31</v>
      </c>
      <c r="E67" s="7" t="s">
        <v>27</v>
      </c>
      <c r="F67" s="7" t="s">
        <v>24</v>
      </c>
      <c r="G67" s="7" t="s">
        <v>28</v>
      </c>
      <c r="H67" s="1">
        <v>44987</v>
      </c>
      <c r="I67" s="7">
        <v>54</v>
      </c>
      <c r="J67" s="7">
        <v>418.82</v>
      </c>
      <c r="K67" s="7">
        <v>86.28</v>
      </c>
      <c r="L67" s="17">
        <f t="shared" si="0"/>
        <v>22616.28</v>
      </c>
    </row>
    <row r="68" spans="2:12" x14ac:dyDescent="0.25">
      <c r="B68" s="7" t="s">
        <v>90</v>
      </c>
      <c r="C68" s="7" t="s">
        <v>11</v>
      </c>
      <c r="D68" s="7" t="s">
        <v>31</v>
      </c>
      <c r="E68" s="7" t="s">
        <v>19</v>
      </c>
      <c r="F68" s="7" t="s">
        <v>24</v>
      </c>
      <c r="G68" s="7" t="s">
        <v>15</v>
      </c>
      <c r="H68" s="1">
        <v>44988</v>
      </c>
      <c r="I68" s="7">
        <v>354</v>
      </c>
      <c r="J68" s="7">
        <v>121.72</v>
      </c>
      <c r="K68" s="7">
        <v>194.87</v>
      </c>
      <c r="L68" s="17">
        <f t="shared" si="0"/>
        <v>43088.88</v>
      </c>
    </row>
    <row r="69" spans="2:12" x14ac:dyDescent="0.25">
      <c r="B69" s="7" t="s">
        <v>91</v>
      </c>
      <c r="C69" s="7" t="s">
        <v>22</v>
      </c>
      <c r="D69" s="7" t="s">
        <v>31</v>
      </c>
      <c r="E69" s="7" t="s">
        <v>19</v>
      </c>
      <c r="F69" s="7" t="s">
        <v>14</v>
      </c>
      <c r="G69" s="7" t="s">
        <v>15</v>
      </c>
      <c r="H69" s="1">
        <v>44989</v>
      </c>
      <c r="I69" s="7">
        <v>190</v>
      </c>
      <c r="J69" s="7">
        <v>389.12</v>
      </c>
      <c r="K69" s="7">
        <v>302.19</v>
      </c>
      <c r="L69" s="17">
        <f t="shared" si="0"/>
        <v>73932.800000000003</v>
      </c>
    </row>
    <row r="70" spans="2:12" x14ac:dyDescent="0.25">
      <c r="B70" s="7" t="s">
        <v>92</v>
      </c>
      <c r="C70" s="7" t="s">
        <v>22</v>
      </c>
      <c r="D70" s="7" t="s">
        <v>26</v>
      </c>
      <c r="E70" s="7" t="s">
        <v>13</v>
      </c>
      <c r="F70" s="7" t="s">
        <v>14</v>
      </c>
      <c r="G70" s="7" t="s">
        <v>15</v>
      </c>
      <c r="H70" s="1">
        <v>44990</v>
      </c>
      <c r="I70" s="7">
        <v>179</v>
      </c>
      <c r="J70" s="7">
        <v>205.63</v>
      </c>
      <c r="K70" s="7">
        <v>248.56</v>
      </c>
      <c r="L70" s="17">
        <f t="shared" si="0"/>
        <v>36807.769999999997</v>
      </c>
    </row>
    <row r="71" spans="2:12" x14ac:dyDescent="0.25">
      <c r="B71" s="7" t="s">
        <v>93</v>
      </c>
      <c r="C71" s="7" t="s">
        <v>11</v>
      </c>
      <c r="D71" s="7" t="s">
        <v>50</v>
      </c>
      <c r="E71" s="7" t="s">
        <v>42</v>
      </c>
      <c r="F71" s="7" t="s">
        <v>24</v>
      </c>
      <c r="G71" s="7" t="s">
        <v>28</v>
      </c>
      <c r="H71" s="1">
        <v>44991</v>
      </c>
      <c r="I71" s="7">
        <v>365</v>
      </c>
      <c r="J71" s="7">
        <v>302.92</v>
      </c>
      <c r="K71" s="7">
        <v>120.35</v>
      </c>
      <c r="L71" s="17">
        <f t="shared" si="0"/>
        <v>110565.8</v>
      </c>
    </row>
    <row r="72" spans="2:12" x14ac:dyDescent="0.25">
      <c r="B72" s="7" t="s">
        <v>94</v>
      </c>
      <c r="C72" s="7" t="s">
        <v>48</v>
      </c>
      <c r="D72" s="7" t="s">
        <v>18</v>
      </c>
      <c r="E72" s="7" t="s">
        <v>19</v>
      </c>
      <c r="F72" s="7" t="s">
        <v>14</v>
      </c>
      <c r="G72" s="7" t="s">
        <v>28</v>
      </c>
      <c r="H72" s="1">
        <v>44992</v>
      </c>
      <c r="I72" s="7">
        <v>200</v>
      </c>
      <c r="J72" s="7">
        <v>318.11</v>
      </c>
      <c r="K72" s="7">
        <v>173.27</v>
      </c>
      <c r="L72" s="17">
        <f t="shared" ref="L72:L135" si="1">$I72*$J72</f>
        <v>63622</v>
      </c>
    </row>
    <row r="73" spans="2:12" x14ac:dyDescent="0.25">
      <c r="B73" s="7" t="s">
        <v>95</v>
      </c>
      <c r="C73" s="7" t="s">
        <v>17</v>
      </c>
      <c r="D73" s="7" t="s">
        <v>12</v>
      </c>
      <c r="E73" s="7" t="s">
        <v>23</v>
      </c>
      <c r="F73" s="7" t="s">
        <v>24</v>
      </c>
      <c r="G73" s="7" t="s">
        <v>20</v>
      </c>
      <c r="H73" s="1">
        <v>44993</v>
      </c>
      <c r="I73" s="7">
        <v>164</v>
      </c>
      <c r="J73" s="7">
        <v>189.56</v>
      </c>
      <c r="K73" s="7">
        <v>69.92</v>
      </c>
      <c r="L73" s="17">
        <f t="shared" si="1"/>
        <v>31087.84</v>
      </c>
    </row>
    <row r="74" spans="2:12" x14ac:dyDescent="0.25">
      <c r="B74" s="7" t="s">
        <v>96</v>
      </c>
      <c r="C74" s="7" t="s">
        <v>22</v>
      </c>
      <c r="D74" s="7" t="s">
        <v>18</v>
      </c>
      <c r="E74" s="7" t="s">
        <v>42</v>
      </c>
      <c r="F74" s="7" t="s">
        <v>14</v>
      </c>
      <c r="G74" s="7" t="s">
        <v>15</v>
      </c>
      <c r="H74" s="1">
        <v>44994</v>
      </c>
      <c r="I74" s="7">
        <v>431</v>
      </c>
      <c r="J74" s="7">
        <v>258.74</v>
      </c>
      <c r="K74" s="7">
        <v>31.7</v>
      </c>
      <c r="L74" s="17">
        <f t="shared" si="1"/>
        <v>111516.94</v>
      </c>
    </row>
    <row r="75" spans="2:12" x14ac:dyDescent="0.25">
      <c r="B75" s="7" t="s">
        <v>97</v>
      </c>
      <c r="C75" s="7" t="s">
        <v>17</v>
      </c>
      <c r="D75" s="7" t="s">
        <v>50</v>
      </c>
      <c r="E75" s="7" t="s">
        <v>42</v>
      </c>
      <c r="F75" s="7" t="s">
        <v>14</v>
      </c>
      <c r="G75" s="7" t="s">
        <v>28</v>
      </c>
      <c r="H75" s="1">
        <v>44995</v>
      </c>
      <c r="I75" s="7">
        <v>197</v>
      </c>
      <c r="J75" s="7">
        <v>209.45</v>
      </c>
      <c r="K75" s="7">
        <v>313.51</v>
      </c>
      <c r="L75" s="17">
        <f t="shared" si="1"/>
        <v>41261.649999999994</v>
      </c>
    </row>
    <row r="76" spans="2:12" x14ac:dyDescent="0.25">
      <c r="B76" s="7" t="s">
        <v>98</v>
      </c>
      <c r="C76" s="7" t="s">
        <v>48</v>
      </c>
      <c r="D76" s="7" t="s">
        <v>12</v>
      </c>
      <c r="E76" s="7" t="s">
        <v>42</v>
      </c>
      <c r="F76" s="7" t="s">
        <v>14</v>
      </c>
      <c r="G76" s="7" t="s">
        <v>28</v>
      </c>
      <c r="H76" s="1">
        <v>44996</v>
      </c>
      <c r="I76" s="7">
        <v>16</v>
      </c>
      <c r="J76" s="7">
        <v>39.22</v>
      </c>
      <c r="K76" s="7">
        <v>107.62</v>
      </c>
      <c r="L76" s="17">
        <f t="shared" si="1"/>
        <v>627.52</v>
      </c>
    </row>
    <row r="77" spans="2:12" x14ac:dyDescent="0.25">
      <c r="B77" s="7" t="s">
        <v>99</v>
      </c>
      <c r="C77" s="7" t="s">
        <v>48</v>
      </c>
      <c r="D77" s="7" t="s">
        <v>50</v>
      </c>
      <c r="E77" s="7" t="s">
        <v>13</v>
      </c>
      <c r="F77" s="7" t="s">
        <v>14</v>
      </c>
      <c r="G77" s="7" t="s">
        <v>15</v>
      </c>
      <c r="H77" s="1">
        <v>44997</v>
      </c>
      <c r="I77" s="7">
        <v>142</v>
      </c>
      <c r="J77" s="7">
        <v>221.4</v>
      </c>
      <c r="K77" s="7">
        <v>72.75</v>
      </c>
      <c r="L77" s="17">
        <f t="shared" si="1"/>
        <v>31438.799999999999</v>
      </c>
    </row>
    <row r="78" spans="2:12" x14ac:dyDescent="0.25">
      <c r="B78" s="7" t="s">
        <v>100</v>
      </c>
      <c r="C78" s="7" t="s">
        <v>48</v>
      </c>
      <c r="D78" s="7" t="s">
        <v>31</v>
      </c>
      <c r="E78" s="7" t="s">
        <v>19</v>
      </c>
      <c r="F78" s="7" t="s">
        <v>14</v>
      </c>
      <c r="G78" s="7" t="s">
        <v>20</v>
      </c>
      <c r="H78" s="1">
        <v>44998</v>
      </c>
      <c r="I78" s="7">
        <v>244</v>
      </c>
      <c r="J78" s="7">
        <v>53.21</v>
      </c>
      <c r="K78" s="7">
        <v>277.26</v>
      </c>
      <c r="L78" s="17">
        <f t="shared" si="1"/>
        <v>12983.24</v>
      </c>
    </row>
    <row r="79" spans="2:12" x14ac:dyDescent="0.25">
      <c r="B79" s="7" t="s">
        <v>101</v>
      </c>
      <c r="C79" s="7" t="s">
        <v>22</v>
      </c>
      <c r="D79" s="7" t="s">
        <v>12</v>
      </c>
      <c r="E79" s="7" t="s">
        <v>13</v>
      </c>
      <c r="F79" s="7" t="s">
        <v>14</v>
      </c>
      <c r="G79" s="7" t="s">
        <v>15</v>
      </c>
      <c r="H79" s="1">
        <v>44999</v>
      </c>
      <c r="I79" s="7">
        <v>54</v>
      </c>
      <c r="J79" s="7">
        <v>205.49</v>
      </c>
      <c r="K79" s="7">
        <v>247.98</v>
      </c>
      <c r="L79" s="17">
        <f t="shared" si="1"/>
        <v>11096.460000000001</v>
      </c>
    </row>
    <row r="80" spans="2:12" x14ac:dyDescent="0.25">
      <c r="B80" s="7" t="s">
        <v>102</v>
      </c>
      <c r="C80" s="7" t="s">
        <v>48</v>
      </c>
      <c r="D80" s="7" t="s">
        <v>31</v>
      </c>
      <c r="E80" s="7" t="s">
        <v>19</v>
      </c>
      <c r="F80" s="7" t="s">
        <v>14</v>
      </c>
      <c r="G80" s="7" t="s">
        <v>20</v>
      </c>
      <c r="H80" s="1">
        <v>45000</v>
      </c>
      <c r="I80" s="7">
        <v>323</v>
      </c>
      <c r="J80" s="7">
        <v>298.49</v>
      </c>
      <c r="K80" s="7">
        <v>254.01</v>
      </c>
      <c r="L80" s="17">
        <f t="shared" si="1"/>
        <v>96412.27</v>
      </c>
    </row>
    <row r="81" spans="2:12" x14ac:dyDescent="0.25">
      <c r="B81" s="7" t="s">
        <v>103</v>
      </c>
      <c r="C81" s="7" t="s">
        <v>22</v>
      </c>
      <c r="D81" s="7" t="s">
        <v>18</v>
      </c>
      <c r="E81" s="7" t="s">
        <v>13</v>
      </c>
      <c r="F81" s="7" t="s">
        <v>24</v>
      </c>
      <c r="G81" s="7" t="s">
        <v>28</v>
      </c>
      <c r="H81" s="1">
        <v>45001</v>
      </c>
      <c r="I81" s="7">
        <v>258</v>
      </c>
      <c r="J81" s="7">
        <v>291.81</v>
      </c>
      <c r="K81" s="7">
        <v>93.1</v>
      </c>
      <c r="L81" s="17">
        <f t="shared" si="1"/>
        <v>75286.98</v>
      </c>
    </row>
    <row r="82" spans="2:12" x14ac:dyDescent="0.25">
      <c r="B82" s="7" t="s">
        <v>104</v>
      </c>
      <c r="C82" s="7" t="s">
        <v>48</v>
      </c>
      <c r="D82" s="7" t="s">
        <v>18</v>
      </c>
      <c r="E82" s="7" t="s">
        <v>13</v>
      </c>
      <c r="F82" s="7" t="s">
        <v>24</v>
      </c>
      <c r="G82" s="7" t="s">
        <v>20</v>
      </c>
      <c r="H82" s="1">
        <v>45002</v>
      </c>
      <c r="I82" s="7">
        <v>40</v>
      </c>
      <c r="J82" s="7">
        <v>333</v>
      </c>
      <c r="K82" s="7">
        <v>94.59</v>
      </c>
      <c r="L82" s="17">
        <f t="shared" si="1"/>
        <v>13320</v>
      </c>
    </row>
    <row r="83" spans="2:12" x14ac:dyDescent="0.25">
      <c r="B83" s="7" t="s">
        <v>105</v>
      </c>
      <c r="C83" s="7" t="s">
        <v>17</v>
      </c>
      <c r="D83" s="7" t="s">
        <v>12</v>
      </c>
      <c r="E83" s="7" t="s">
        <v>23</v>
      </c>
      <c r="F83" s="7" t="s">
        <v>24</v>
      </c>
      <c r="G83" s="7" t="s">
        <v>28</v>
      </c>
      <c r="H83" s="1">
        <v>45003</v>
      </c>
      <c r="I83" s="7">
        <v>32</v>
      </c>
      <c r="J83" s="7">
        <v>52.15</v>
      </c>
      <c r="K83" s="7">
        <v>89.88</v>
      </c>
      <c r="L83" s="17">
        <f t="shared" si="1"/>
        <v>1668.8</v>
      </c>
    </row>
    <row r="84" spans="2:12" x14ac:dyDescent="0.25">
      <c r="B84" s="7" t="s">
        <v>106</v>
      </c>
      <c r="C84" s="7" t="s">
        <v>17</v>
      </c>
      <c r="D84" s="7" t="s">
        <v>12</v>
      </c>
      <c r="E84" s="7" t="s">
        <v>13</v>
      </c>
      <c r="F84" s="7" t="s">
        <v>24</v>
      </c>
      <c r="G84" s="7" t="s">
        <v>15</v>
      </c>
      <c r="H84" s="1">
        <v>45004</v>
      </c>
      <c r="I84" s="7">
        <v>435</v>
      </c>
      <c r="J84" s="7">
        <v>327.8</v>
      </c>
      <c r="K84" s="7">
        <v>71.150000000000006</v>
      </c>
      <c r="L84" s="17">
        <f t="shared" si="1"/>
        <v>142593</v>
      </c>
    </row>
    <row r="85" spans="2:12" x14ac:dyDescent="0.25">
      <c r="B85" s="7" t="s">
        <v>107</v>
      </c>
      <c r="C85" s="7" t="s">
        <v>11</v>
      </c>
      <c r="D85" s="7" t="s">
        <v>50</v>
      </c>
      <c r="E85" s="7" t="s">
        <v>27</v>
      </c>
      <c r="F85" s="7" t="s">
        <v>24</v>
      </c>
      <c r="G85" s="7" t="s">
        <v>15</v>
      </c>
      <c r="H85" s="1">
        <v>45005</v>
      </c>
      <c r="I85" s="7">
        <v>403</v>
      </c>
      <c r="J85" s="7">
        <v>159.51</v>
      </c>
      <c r="K85" s="7">
        <v>262.98</v>
      </c>
      <c r="L85" s="17">
        <f t="shared" si="1"/>
        <v>64282.53</v>
      </c>
    </row>
    <row r="86" spans="2:12" x14ac:dyDescent="0.25">
      <c r="B86" s="7" t="s">
        <v>108</v>
      </c>
      <c r="C86" s="7" t="s">
        <v>17</v>
      </c>
      <c r="D86" s="7" t="s">
        <v>50</v>
      </c>
      <c r="E86" s="7" t="s">
        <v>23</v>
      </c>
      <c r="F86" s="7" t="s">
        <v>14</v>
      </c>
      <c r="G86" s="7" t="s">
        <v>15</v>
      </c>
      <c r="H86" s="1">
        <v>45006</v>
      </c>
      <c r="I86" s="7">
        <v>169</v>
      </c>
      <c r="J86" s="7">
        <v>249.64</v>
      </c>
      <c r="K86" s="7">
        <v>339.51</v>
      </c>
      <c r="L86" s="17">
        <f t="shared" si="1"/>
        <v>42189.159999999996</v>
      </c>
    </row>
    <row r="87" spans="2:12" x14ac:dyDescent="0.25">
      <c r="B87" s="7" t="s">
        <v>109</v>
      </c>
      <c r="C87" s="7" t="s">
        <v>11</v>
      </c>
      <c r="D87" s="7" t="s">
        <v>31</v>
      </c>
      <c r="E87" s="7" t="s">
        <v>13</v>
      </c>
      <c r="F87" s="7" t="s">
        <v>14</v>
      </c>
      <c r="G87" s="7" t="s">
        <v>20</v>
      </c>
      <c r="H87" s="1">
        <v>45007</v>
      </c>
      <c r="I87" s="7">
        <v>372</v>
      </c>
      <c r="J87" s="7">
        <v>429.7</v>
      </c>
      <c r="K87" s="7">
        <v>290.27999999999997</v>
      </c>
      <c r="L87" s="17">
        <f t="shared" si="1"/>
        <v>159848.4</v>
      </c>
    </row>
    <row r="88" spans="2:12" x14ac:dyDescent="0.25">
      <c r="B88" s="7" t="s">
        <v>110</v>
      </c>
      <c r="C88" s="7" t="s">
        <v>17</v>
      </c>
      <c r="D88" s="7" t="s">
        <v>12</v>
      </c>
      <c r="E88" s="7" t="s">
        <v>42</v>
      </c>
      <c r="F88" s="7" t="s">
        <v>24</v>
      </c>
      <c r="G88" s="7" t="s">
        <v>28</v>
      </c>
      <c r="H88" s="1">
        <v>45008</v>
      </c>
      <c r="I88" s="7">
        <v>446</v>
      </c>
      <c r="J88" s="7">
        <v>9.4700000000000006</v>
      </c>
      <c r="K88" s="7">
        <v>317.25</v>
      </c>
      <c r="L88" s="17">
        <f t="shared" si="1"/>
        <v>4223.62</v>
      </c>
    </row>
    <row r="89" spans="2:12" x14ac:dyDescent="0.25">
      <c r="B89" s="7" t="s">
        <v>111</v>
      </c>
      <c r="C89" s="7" t="s">
        <v>22</v>
      </c>
      <c r="D89" s="7" t="s">
        <v>18</v>
      </c>
      <c r="E89" s="7" t="s">
        <v>27</v>
      </c>
      <c r="F89" s="7" t="s">
        <v>14</v>
      </c>
      <c r="G89" s="7" t="s">
        <v>15</v>
      </c>
      <c r="H89" s="1">
        <v>45009</v>
      </c>
      <c r="I89" s="7">
        <v>167</v>
      </c>
      <c r="J89" s="7">
        <v>296.26</v>
      </c>
      <c r="K89" s="7">
        <v>163.11000000000001</v>
      </c>
      <c r="L89" s="17">
        <f t="shared" si="1"/>
        <v>49475.42</v>
      </c>
    </row>
    <row r="90" spans="2:12" x14ac:dyDescent="0.25">
      <c r="B90" s="7" t="s">
        <v>112</v>
      </c>
      <c r="C90" s="7" t="s">
        <v>17</v>
      </c>
      <c r="D90" s="7" t="s">
        <v>50</v>
      </c>
      <c r="E90" s="7" t="s">
        <v>27</v>
      </c>
      <c r="F90" s="7" t="s">
        <v>24</v>
      </c>
      <c r="G90" s="7" t="s">
        <v>15</v>
      </c>
      <c r="H90" s="1">
        <v>45010</v>
      </c>
      <c r="I90" s="7">
        <v>48</v>
      </c>
      <c r="J90" s="7">
        <v>301.36</v>
      </c>
      <c r="K90" s="7">
        <v>262.32</v>
      </c>
      <c r="L90" s="17">
        <f t="shared" si="1"/>
        <v>14465.28</v>
      </c>
    </row>
    <row r="91" spans="2:12" x14ac:dyDescent="0.25">
      <c r="B91" s="7" t="s">
        <v>113</v>
      </c>
      <c r="C91" s="7" t="s">
        <v>11</v>
      </c>
      <c r="D91" s="7" t="s">
        <v>50</v>
      </c>
      <c r="E91" s="7" t="s">
        <v>27</v>
      </c>
      <c r="F91" s="7" t="s">
        <v>24</v>
      </c>
      <c r="G91" s="7" t="s">
        <v>28</v>
      </c>
      <c r="H91" s="1">
        <v>45011</v>
      </c>
      <c r="I91" s="7">
        <v>424</v>
      </c>
      <c r="J91" s="7">
        <v>201.35</v>
      </c>
      <c r="K91" s="7">
        <v>142.99</v>
      </c>
      <c r="L91" s="17">
        <f t="shared" si="1"/>
        <v>85372.4</v>
      </c>
    </row>
    <row r="92" spans="2:12" x14ac:dyDescent="0.25">
      <c r="B92" s="7" t="s">
        <v>114</v>
      </c>
      <c r="C92" s="7" t="s">
        <v>11</v>
      </c>
      <c r="D92" s="7" t="s">
        <v>18</v>
      </c>
      <c r="E92" s="7" t="s">
        <v>23</v>
      </c>
      <c r="F92" s="7" t="s">
        <v>14</v>
      </c>
      <c r="G92" s="7" t="s">
        <v>15</v>
      </c>
      <c r="H92" s="1">
        <v>45012</v>
      </c>
      <c r="I92" s="7">
        <v>91</v>
      </c>
      <c r="J92" s="7">
        <v>122.33</v>
      </c>
      <c r="K92" s="7">
        <v>211.15</v>
      </c>
      <c r="L92" s="17">
        <f t="shared" si="1"/>
        <v>11132.03</v>
      </c>
    </row>
    <row r="93" spans="2:12" x14ac:dyDescent="0.25">
      <c r="B93" s="7" t="s">
        <v>115</v>
      </c>
      <c r="C93" s="7" t="s">
        <v>48</v>
      </c>
      <c r="D93" s="7" t="s">
        <v>50</v>
      </c>
      <c r="E93" s="7" t="s">
        <v>13</v>
      </c>
      <c r="F93" s="7" t="s">
        <v>14</v>
      </c>
      <c r="G93" s="7" t="s">
        <v>28</v>
      </c>
      <c r="H93" s="1">
        <v>45013</v>
      </c>
      <c r="I93" s="7">
        <v>365</v>
      </c>
      <c r="J93" s="7">
        <v>121.16</v>
      </c>
      <c r="K93" s="7">
        <v>193.69</v>
      </c>
      <c r="L93" s="17">
        <f t="shared" si="1"/>
        <v>44223.4</v>
      </c>
    </row>
    <row r="94" spans="2:12" x14ac:dyDescent="0.25">
      <c r="B94" s="7" t="s">
        <v>116</v>
      </c>
      <c r="C94" s="7" t="s">
        <v>22</v>
      </c>
      <c r="D94" s="7" t="s">
        <v>31</v>
      </c>
      <c r="E94" s="7" t="s">
        <v>13</v>
      </c>
      <c r="F94" s="7" t="s">
        <v>14</v>
      </c>
      <c r="G94" s="7" t="s">
        <v>28</v>
      </c>
      <c r="H94" s="1">
        <v>45014</v>
      </c>
      <c r="I94" s="7">
        <v>267</v>
      </c>
      <c r="J94" s="7">
        <v>442.44</v>
      </c>
      <c r="K94" s="7">
        <v>72.400000000000006</v>
      </c>
      <c r="L94" s="17">
        <f t="shared" si="1"/>
        <v>118131.48</v>
      </c>
    </row>
    <row r="95" spans="2:12" x14ac:dyDescent="0.25">
      <c r="B95" s="7" t="s">
        <v>117</v>
      </c>
      <c r="C95" s="7" t="s">
        <v>17</v>
      </c>
      <c r="D95" s="7" t="s">
        <v>12</v>
      </c>
      <c r="E95" s="7" t="s">
        <v>42</v>
      </c>
      <c r="F95" s="7" t="s">
        <v>24</v>
      </c>
      <c r="G95" s="7" t="s">
        <v>28</v>
      </c>
      <c r="H95" s="1">
        <v>45015</v>
      </c>
      <c r="I95" s="7">
        <v>215</v>
      </c>
      <c r="J95" s="7">
        <v>223.8</v>
      </c>
      <c r="K95" s="7">
        <v>156.06</v>
      </c>
      <c r="L95" s="17">
        <f t="shared" si="1"/>
        <v>48117</v>
      </c>
    </row>
    <row r="96" spans="2:12" x14ac:dyDescent="0.25">
      <c r="B96" s="7" t="s">
        <v>118</v>
      </c>
      <c r="C96" s="7" t="s">
        <v>48</v>
      </c>
      <c r="D96" s="7" t="s">
        <v>18</v>
      </c>
      <c r="E96" s="7" t="s">
        <v>42</v>
      </c>
      <c r="F96" s="7" t="s">
        <v>14</v>
      </c>
      <c r="G96" s="7" t="s">
        <v>28</v>
      </c>
      <c r="H96" s="1">
        <v>45016</v>
      </c>
      <c r="I96" s="7">
        <v>86</v>
      </c>
      <c r="J96" s="7">
        <v>168.79</v>
      </c>
      <c r="K96" s="7">
        <v>385.6</v>
      </c>
      <c r="L96" s="17">
        <f t="shared" si="1"/>
        <v>14515.939999999999</v>
      </c>
    </row>
    <row r="97" spans="2:12" x14ac:dyDescent="0.25">
      <c r="B97" s="7" t="s">
        <v>119</v>
      </c>
      <c r="C97" s="7" t="s">
        <v>17</v>
      </c>
      <c r="D97" s="7" t="s">
        <v>12</v>
      </c>
      <c r="E97" s="7" t="s">
        <v>27</v>
      </c>
      <c r="F97" s="7" t="s">
        <v>24</v>
      </c>
      <c r="G97" s="7" t="s">
        <v>28</v>
      </c>
      <c r="H97" s="1">
        <v>45017</v>
      </c>
      <c r="I97" s="7">
        <v>486</v>
      </c>
      <c r="J97" s="7">
        <v>227.14</v>
      </c>
      <c r="K97" s="7">
        <v>100.93</v>
      </c>
      <c r="L97" s="17">
        <f t="shared" si="1"/>
        <v>110390.04</v>
      </c>
    </row>
    <row r="98" spans="2:12" x14ac:dyDescent="0.25">
      <c r="B98" s="7" t="s">
        <v>120</v>
      </c>
      <c r="C98" s="7" t="s">
        <v>17</v>
      </c>
      <c r="D98" s="7" t="s">
        <v>50</v>
      </c>
      <c r="E98" s="7" t="s">
        <v>42</v>
      </c>
      <c r="F98" s="7" t="s">
        <v>24</v>
      </c>
      <c r="G98" s="7" t="s">
        <v>20</v>
      </c>
      <c r="H98" s="1">
        <v>45018</v>
      </c>
      <c r="I98" s="7">
        <v>21</v>
      </c>
      <c r="J98" s="7">
        <v>249.64</v>
      </c>
      <c r="K98" s="7">
        <v>55.25</v>
      </c>
      <c r="L98" s="17">
        <f t="shared" si="1"/>
        <v>5242.4399999999996</v>
      </c>
    </row>
    <row r="99" spans="2:12" x14ac:dyDescent="0.25">
      <c r="B99" s="7" t="s">
        <v>121</v>
      </c>
      <c r="C99" s="7" t="s">
        <v>48</v>
      </c>
      <c r="D99" s="7" t="s">
        <v>50</v>
      </c>
      <c r="E99" s="7" t="s">
        <v>23</v>
      </c>
      <c r="F99" s="7" t="s">
        <v>24</v>
      </c>
      <c r="G99" s="7" t="s">
        <v>15</v>
      </c>
      <c r="H99" s="1">
        <v>45019</v>
      </c>
      <c r="I99" s="7">
        <v>304</v>
      </c>
      <c r="J99" s="7">
        <v>77.150000000000006</v>
      </c>
      <c r="K99" s="7">
        <v>168.6</v>
      </c>
      <c r="L99" s="17">
        <f t="shared" si="1"/>
        <v>23453.600000000002</v>
      </c>
    </row>
    <row r="100" spans="2:12" x14ac:dyDescent="0.25">
      <c r="B100" s="7" t="s">
        <v>122</v>
      </c>
      <c r="C100" s="7" t="s">
        <v>48</v>
      </c>
      <c r="D100" s="7" t="s">
        <v>18</v>
      </c>
      <c r="E100" s="7" t="s">
        <v>13</v>
      </c>
      <c r="F100" s="7" t="s">
        <v>14</v>
      </c>
      <c r="G100" s="7" t="s">
        <v>20</v>
      </c>
      <c r="H100" s="1">
        <v>45020</v>
      </c>
      <c r="I100" s="7">
        <v>459</v>
      </c>
      <c r="J100" s="7">
        <v>227.47</v>
      </c>
      <c r="K100" s="7">
        <v>316.55</v>
      </c>
      <c r="L100" s="17">
        <f t="shared" si="1"/>
        <v>104408.73</v>
      </c>
    </row>
    <row r="101" spans="2:12" x14ac:dyDescent="0.25">
      <c r="B101" s="7" t="s">
        <v>123</v>
      </c>
      <c r="C101" s="7" t="s">
        <v>48</v>
      </c>
      <c r="D101" s="7" t="s">
        <v>31</v>
      </c>
      <c r="E101" s="7" t="s">
        <v>27</v>
      </c>
      <c r="F101" s="7" t="s">
        <v>14</v>
      </c>
      <c r="G101" s="7" t="s">
        <v>15</v>
      </c>
      <c r="H101" s="1">
        <v>45021</v>
      </c>
      <c r="I101" s="7">
        <v>233</v>
      </c>
      <c r="J101" s="7">
        <v>296</v>
      </c>
      <c r="K101" s="7">
        <v>233.69</v>
      </c>
      <c r="L101" s="17">
        <f t="shared" si="1"/>
        <v>68968</v>
      </c>
    </row>
    <row r="102" spans="2:12" x14ac:dyDescent="0.25">
      <c r="B102" s="7" t="s">
        <v>124</v>
      </c>
      <c r="C102" s="7" t="s">
        <v>48</v>
      </c>
      <c r="D102" s="7" t="s">
        <v>26</v>
      </c>
      <c r="E102" s="7" t="s">
        <v>42</v>
      </c>
      <c r="F102" s="7" t="s">
        <v>24</v>
      </c>
      <c r="G102" s="7" t="s">
        <v>20</v>
      </c>
      <c r="H102" s="1">
        <v>45022</v>
      </c>
      <c r="I102" s="7">
        <v>22</v>
      </c>
      <c r="J102" s="7">
        <v>474.55</v>
      </c>
      <c r="K102" s="7">
        <v>273.02999999999997</v>
      </c>
      <c r="L102" s="17">
        <f t="shared" si="1"/>
        <v>10440.1</v>
      </c>
    </row>
    <row r="103" spans="2:12" x14ac:dyDescent="0.25">
      <c r="B103" s="7" t="s">
        <v>125</v>
      </c>
      <c r="C103" s="7" t="s">
        <v>48</v>
      </c>
      <c r="D103" s="7" t="s">
        <v>18</v>
      </c>
      <c r="E103" s="7" t="s">
        <v>23</v>
      </c>
      <c r="F103" s="7" t="s">
        <v>14</v>
      </c>
      <c r="G103" s="7" t="s">
        <v>28</v>
      </c>
      <c r="H103" s="1">
        <v>45023</v>
      </c>
      <c r="I103" s="7">
        <v>55</v>
      </c>
      <c r="J103" s="7">
        <v>130</v>
      </c>
      <c r="K103" s="7">
        <v>77.5</v>
      </c>
      <c r="L103" s="17">
        <f t="shared" si="1"/>
        <v>7150</v>
      </c>
    </row>
    <row r="104" spans="2:12" x14ac:dyDescent="0.25">
      <c r="B104" s="7" t="s">
        <v>126</v>
      </c>
      <c r="C104" s="7" t="s">
        <v>17</v>
      </c>
      <c r="D104" s="7" t="s">
        <v>26</v>
      </c>
      <c r="E104" s="7" t="s">
        <v>23</v>
      </c>
      <c r="F104" s="7" t="s">
        <v>14</v>
      </c>
      <c r="G104" s="7" t="s">
        <v>15</v>
      </c>
      <c r="H104" s="1">
        <v>45024</v>
      </c>
      <c r="I104" s="7">
        <v>164</v>
      </c>
      <c r="J104" s="7">
        <v>182.83</v>
      </c>
      <c r="K104" s="7">
        <v>248.34</v>
      </c>
      <c r="L104" s="17">
        <f t="shared" si="1"/>
        <v>29984.120000000003</v>
      </c>
    </row>
    <row r="105" spans="2:12" x14ac:dyDescent="0.25">
      <c r="B105" s="7" t="s">
        <v>127</v>
      </c>
      <c r="C105" s="7" t="s">
        <v>48</v>
      </c>
      <c r="D105" s="7" t="s">
        <v>26</v>
      </c>
      <c r="E105" s="7" t="s">
        <v>42</v>
      </c>
      <c r="F105" s="7" t="s">
        <v>14</v>
      </c>
      <c r="G105" s="7" t="s">
        <v>15</v>
      </c>
      <c r="H105" s="1">
        <v>45025</v>
      </c>
      <c r="I105" s="7">
        <v>122</v>
      </c>
      <c r="J105" s="7">
        <v>192.78</v>
      </c>
      <c r="K105" s="7">
        <v>130.75</v>
      </c>
      <c r="L105" s="17">
        <f t="shared" si="1"/>
        <v>23519.16</v>
      </c>
    </row>
    <row r="106" spans="2:12" x14ac:dyDescent="0.25">
      <c r="B106" s="7" t="s">
        <v>128</v>
      </c>
      <c r="C106" s="7" t="s">
        <v>22</v>
      </c>
      <c r="D106" s="7" t="s">
        <v>31</v>
      </c>
      <c r="E106" s="7" t="s">
        <v>13</v>
      </c>
      <c r="F106" s="7" t="s">
        <v>24</v>
      </c>
      <c r="G106" s="7" t="s">
        <v>20</v>
      </c>
      <c r="H106" s="1">
        <v>45026</v>
      </c>
      <c r="I106" s="7">
        <v>242</v>
      </c>
      <c r="J106" s="7">
        <v>304.74</v>
      </c>
      <c r="K106" s="7">
        <v>334.05</v>
      </c>
      <c r="L106" s="17">
        <f t="shared" si="1"/>
        <v>73747.08</v>
      </c>
    </row>
    <row r="107" spans="2:12" x14ac:dyDescent="0.25">
      <c r="B107" s="7" t="s">
        <v>129</v>
      </c>
      <c r="C107" s="7" t="s">
        <v>11</v>
      </c>
      <c r="D107" s="7" t="s">
        <v>26</v>
      </c>
      <c r="E107" s="7" t="s">
        <v>42</v>
      </c>
      <c r="F107" s="7" t="s">
        <v>24</v>
      </c>
      <c r="G107" s="7" t="s">
        <v>20</v>
      </c>
      <c r="H107" s="1">
        <v>45027</v>
      </c>
      <c r="I107" s="7">
        <v>26</v>
      </c>
      <c r="J107" s="7">
        <v>181.58</v>
      </c>
      <c r="K107" s="7">
        <v>252.46</v>
      </c>
      <c r="L107" s="17">
        <f t="shared" si="1"/>
        <v>4721.08</v>
      </c>
    </row>
    <row r="108" spans="2:12" x14ac:dyDescent="0.25">
      <c r="B108" s="7" t="s">
        <v>130</v>
      </c>
      <c r="C108" s="7" t="s">
        <v>48</v>
      </c>
      <c r="D108" s="7" t="s">
        <v>26</v>
      </c>
      <c r="E108" s="7" t="s">
        <v>27</v>
      </c>
      <c r="F108" s="7" t="s">
        <v>14</v>
      </c>
      <c r="G108" s="7" t="s">
        <v>15</v>
      </c>
      <c r="H108" s="1">
        <v>45028</v>
      </c>
      <c r="I108" s="7">
        <v>369</v>
      </c>
      <c r="J108" s="7">
        <v>269.08999999999997</v>
      </c>
      <c r="K108" s="7">
        <v>81.14</v>
      </c>
      <c r="L108" s="17">
        <f t="shared" si="1"/>
        <v>99294.209999999992</v>
      </c>
    </row>
    <row r="109" spans="2:12" x14ac:dyDescent="0.25">
      <c r="B109" s="7" t="s">
        <v>131</v>
      </c>
      <c r="C109" s="7" t="s">
        <v>48</v>
      </c>
      <c r="D109" s="7" t="s">
        <v>31</v>
      </c>
      <c r="E109" s="7" t="s">
        <v>42</v>
      </c>
      <c r="F109" s="7" t="s">
        <v>24</v>
      </c>
      <c r="G109" s="7" t="s">
        <v>20</v>
      </c>
      <c r="H109" s="1">
        <v>45029</v>
      </c>
      <c r="I109" s="7">
        <v>232</v>
      </c>
      <c r="J109" s="7">
        <v>391.99</v>
      </c>
      <c r="K109" s="7">
        <v>27.72</v>
      </c>
      <c r="L109" s="17">
        <f t="shared" si="1"/>
        <v>90941.680000000008</v>
      </c>
    </row>
    <row r="110" spans="2:12" x14ac:dyDescent="0.25">
      <c r="B110" s="7" t="s">
        <v>132</v>
      </c>
      <c r="C110" s="7" t="s">
        <v>17</v>
      </c>
      <c r="D110" s="7" t="s">
        <v>26</v>
      </c>
      <c r="E110" s="7" t="s">
        <v>23</v>
      </c>
      <c r="F110" s="7" t="s">
        <v>14</v>
      </c>
      <c r="G110" s="7" t="s">
        <v>20</v>
      </c>
      <c r="H110" s="1">
        <v>45030</v>
      </c>
      <c r="I110" s="7">
        <v>363</v>
      </c>
      <c r="J110" s="7">
        <v>354.17</v>
      </c>
      <c r="K110" s="7">
        <v>18.97</v>
      </c>
      <c r="L110" s="17">
        <f t="shared" si="1"/>
        <v>128563.71</v>
      </c>
    </row>
    <row r="111" spans="2:12" x14ac:dyDescent="0.25">
      <c r="B111" s="7" t="s">
        <v>133</v>
      </c>
      <c r="C111" s="7" t="s">
        <v>48</v>
      </c>
      <c r="D111" s="7" t="s">
        <v>26</v>
      </c>
      <c r="E111" s="7" t="s">
        <v>42</v>
      </c>
      <c r="F111" s="7" t="s">
        <v>14</v>
      </c>
      <c r="G111" s="7" t="s">
        <v>20</v>
      </c>
      <c r="H111" s="1">
        <v>45031</v>
      </c>
      <c r="I111" s="7">
        <v>197</v>
      </c>
      <c r="J111" s="7">
        <v>225.95</v>
      </c>
      <c r="K111" s="7">
        <v>149.82</v>
      </c>
      <c r="L111" s="17">
        <f t="shared" si="1"/>
        <v>44512.149999999994</v>
      </c>
    </row>
    <row r="112" spans="2:12" x14ac:dyDescent="0.25">
      <c r="B112" s="7" t="s">
        <v>134</v>
      </c>
      <c r="C112" s="7" t="s">
        <v>48</v>
      </c>
      <c r="D112" s="7" t="s">
        <v>26</v>
      </c>
      <c r="E112" s="7" t="s">
        <v>13</v>
      </c>
      <c r="F112" s="7" t="s">
        <v>14</v>
      </c>
      <c r="G112" s="7" t="s">
        <v>28</v>
      </c>
      <c r="H112" s="1">
        <v>45032</v>
      </c>
      <c r="I112" s="7">
        <v>457</v>
      </c>
      <c r="J112" s="7">
        <v>432.79</v>
      </c>
      <c r="K112" s="7">
        <v>107.81</v>
      </c>
      <c r="L112" s="17">
        <f t="shared" si="1"/>
        <v>197785.03</v>
      </c>
    </row>
    <row r="113" spans="2:12" x14ac:dyDescent="0.25">
      <c r="B113" s="7" t="s">
        <v>135</v>
      </c>
      <c r="C113" s="7" t="s">
        <v>48</v>
      </c>
      <c r="D113" s="7" t="s">
        <v>18</v>
      </c>
      <c r="E113" s="7" t="s">
        <v>19</v>
      </c>
      <c r="F113" s="7" t="s">
        <v>14</v>
      </c>
      <c r="G113" s="7" t="s">
        <v>28</v>
      </c>
      <c r="H113" s="1">
        <v>45033</v>
      </c>
      <c r="I113" s="7">
        <v>353</v>
      </c>
      <c r="J113" s="7">
        <v>281.27999999999997</v>
      </c>
      <c r="K113" s="7">
        <v>259.14</v>
      </c>
      <c r="L113" s="17">
        <f t="shared" si="1"/>
        <v>99291.839999999997</v>
      </c>
    </row>
    <row r="114" spans="2:12" x14ac:dyDescent="0.25">
      <c r="B114" s="7" t="s">
        <v>136</v>
      </c>
      <c r="C114" s="7" t="s">
        <v>17</v>
      </c>
      <c r="D114" s="7" t="s">
        <v>18</v>
      </c>
      <c r="E114" s="7" t="s">
        <v>42</v>
      </c>
      <c r="F114" s="7" t="s">
        <v>24</v>
      </c>
      <c r="G114" s="7" t="s">
        <v>20</v>
      </c>
      <c r="H114" s="1">
        <v>45034</v>
      </c>
      <c r="I114" s="7">
        <v>374</v>
      </c>
      <c r="J114" s="7">
        <v>272.25</v>
      </c>
      <c r="K114" s="7">
        <v>200.73</v>
      </c>
      <c r="L114" s="17">
        <f t="shared" si="1"/>
        <v>101821.5</v>
      </c>
    </row>
    <row r="115" spans="2:12" x14ac:dyDescent="0.25">
      <c r="B115" s="7" t="s">
        <v>137</v>
      </c>
      <c r="C115" s="7" t="s">
        <v>48</v>
      </c>
      <c r="D115" s="7" t="s">
        <v>18</v>
      </c>
      <c r="E115" s="7" t="s">
        <v>13</v>
      </c>
      <c r="F115" s="7" t="s">
        <v>24</v>
      </c>
      <c r="G115" s="7" t="s">
        <v>20</v>
      </c>
      <c r="H115" s="1">
        <v>45035</v>
      </c>
      <c r="I115" s="7">
        <v>172</v>
      </c>
      <c r="J115" s="7">
        <v>21.92</v>
      </c>
      <c r="K115" s="7">
        <v>107.88</v>
      </c>
      <c r="L115" s="17">
        <f t="shared" si="1"/>
        <v>3770.2400000000002</v>
      </c>
    </row>
    <row r="116" spans="2:12" x14ac:dyDescent="0.25">
      <c r="B116" s="7" t="s">
        <v>138</v>
      </c>
      <c r="C116" s="7" t="s">
        <v>11</v>
      </c>
      <c r="D116" s="7" t="s">
        <v>31</v>
      </c>
      <c r="E116" s="7" t="s">
        <v>13</v>
      </c>
      <c r="F116" s="7" t="s">
        <v>24</v>
      </c>
      <c r="G116" s="7" t="s">
        <v>28</v>
      </c>
      <c r="H116" s="1">
        <v>45036</v>
      </c>
      <c r="I116" s="7">
        <v>335</v>
      </c>
      <c r="J116" s="7">
        <v>493.41</v>
      </c>
      <c r="K116" s="7">
        <v>61.4</v>
      </c>
      <c r="L116" s="17">
        <f t="shared" si="1"/>
        <v>165292.35</v>
      </c>
    </row>
    <row r="117" spans="2:12" x14ac:dyDescent="0.25">
      <c r="B117" s="7" t="s">
        <v>139</v>
      </c>
      <c r="C117" s="7" t="s">
        <v>17</v>
      </c>
      <c r="D117" s="7" t="s">
        <v>50</v>
      </c>
      <c r="E117" s="7" t="s">
        <v>23</v>
      </c>
      <c r="F117" s="7" t="s">
        <v>14</v>
      </c>
      <c r="G117" s="7" t="s">
        <v>28</v>
      </c>
      <c r="H117" s="1">
        <v>45037</v>
      </c>
      <c r="I117" s="7">
        <v>476</v>
      </c>
      <c r="J117" s="7">
        <v>65.87</v>
      </c>
      <c r="K117" s="7">
        <v>52.63</v>
      </c>
      <c r="L117" s="17">
        <f t="shared" si="1"/>
        <v>31354.120000000003</v>
      </c>
    </row>
    <row r="118" spans="2:12" x14ac:dyDescent="0.25">
      <c r="B118" s="7" t="s">
        <v>140</v>
      </c>
      <c r="C118" s="7" t="s">
        <v>11</v>
      </c>
      <c r="D118" s="7" t="s">
        <v>26</v>
      </c>
      <c r="E118" s="7" t="s">
        <v>13</v>
      </c>
      <c r="F118" s="7" t="s">
        <v>14</v>
      </c>
      <c r="G118" s="7" t="s">
        <v>15</v>
      </c>
      <c r="H118" s="1">
        <v>45038</v>
      </c>
      <c r="I118" s="7">
        <v>423</v>
      </c>
      <c r="J118" s="7">
        <v>119.41</v>
      </c>
      <c r="K118" s="7">
        <v>346.13</v>
      </c>
      <c r="L118" s="17">
        <f t="shared" si="1"/>
        <v>50510.43</v>
      </c>
    </row>
    <row r="119" spans="2:12" x14ac:dyDescent="0.25">
      <c r="B119" s="7" t="s">
        <v>141</v>
      </c>
      <c r="C119" s="7" t="s">
        <v>17</v>
      </c>
      <c r="D119" s="7" t="s">
        <v>26</v>
      </c>
      <c r="E119" s="7" t="s">
        <v>13</v>
      </c>
      <c r="F119" s="7" t="s">
        <v>14</v>
      </c>
      <c r="G119" s="7" t="s">
        <v>15</v>
      </c>
      <c r="H119" s="1">
        <v>45039</v>
      </c>
      <c r="I119" s="7">
        <v>464</v>
      </c>
      <c r="J119" s="7">
        <v>30.59</v>
      </c>
      <c r="K119" s="7">
        <v>98.9</v>
      </c>
      <c r="L119" s="17">
        <f t="shared" si="1"/>
        <v>14193.76</v>
      </c>
    </row>
    <row r="120" spans="2:12" x14ac:dyDescent="0.25">
      <c r="B120" s="7" t="s">
        <v>142</v>
      </c>
      <c r="C120" s="7" t="s">
        <v>48</v>
      </c>
      <c r="D120" s="7" t="s">
        <v>31</v>
      </c>
      <c r="E120" s="7" t="s">
        <v>13</v>
      </c>
      <c r="F120" s="7" t="s">
        <v>24</v>
      </c>
      <c r="G120" s="7" t="s">
        <v>28</v>
      </c>
      <c r="H120" s="1">
        <v>45040</v>
      </c>
      <c r="I120" s="7">
        <v>83</v>
      </c>
      <c r="J120" s="7">
        <v>321.8</v>
      </c>
      <c r="K120" s="7">
        <v>261.38</v>
      </c>
      <c r="L120" s="17">
        <f t="shared" si="1"/>
        <v>26709.4</v>
      </c>
    </row>
    <row r="121" spans="2:12" x14ac:dyDescent="0.25">
      <c r="B121" s="7" t="s">
        <v>143</v>
      </c>
      <c r="C121" s="7" t="s">
        <v>11</v>
      </c>
      <c r="D121" s="7" t="s">
        <v>26</v>
      </c>
      <c r="E121" s="7" t="s">
        <v>13</v>
      </c>
      <c r="F121" s="7" t="s">
        <v>14</v>
      </c>
      <c r="G121" s="7" t="s">
        <v>20</v>
      </c>
      <c r="H121" s="1">
        <v>45041</v>
      </c>
      <c r="I121" s="7">
        <v>242</v>
      </c>
      <c r="J121" s="7">
        <v>116.23</v>
      </c>
      <c r="K121" s="7">
        <v>324.64999999999998</v>
      </c>
      <c r="L121" s="17">
        <f t="shared" si="1"/>
        <v>28127.66</v>
      </c>
    </row>
    <row r="122" spans="2:12" x14ac:dyDescent="0.25">
      <c r="B122" s="7" t="s">
        <v>144</v>
      </c>
      <c r="C122" s="7" t="s">
        <v>17</v>
      </c>
      <c r="D122" s="7" t="s">
        <v>18</v>
      </c>
      <c r="E122" s="7" t="s">
        <v>27</v>
      </c>
      <c r="F122" s="7" t="s">
        <v>24</v>
      </c>
      <c r="G122" s="7" t="s">
        <v>20</v>
      </c>
      <c r="H122" s="1">
        <v>45042</v>
      </c>
      <c r="I122" s="7">
        <v>233</v>
      </c>
      <c r="J122" s="7">
        <v>94.11</v>
      </c>
      <c r="K122" s="7">
        <v>246.4</v>
      </c>
      <c r="L122" s="17">
        <f t="shared" si="1"/>
        <v>21927.63</v>
      </c>
    </row>
    <row r="123" spans="2:12" x14ac:dyDescent="0.25">
      <c r="B123" s="7" t="s">
        <v>145</v>
      </c>
      <c r="C123" s="7" t="s">
        <v>22</v>
      </c>
      <c r="D123" s="7" t="s">
        <v>50</v>
      </c>
      <c r="E123" s="7" t="s">
        <v>27</v>
      </c>
      <c r="F123" s="7" t="s">
        <v>24</v>
      </c>
      <c r="G123" s="7" t="s">
        <v>20</v>
      </c>
      <c r="H123" s="1">
        <v>45043</v>
      </c>
      <c r="I123" s="7">
        <v>491</v>
      </c>
      <c r="J123" s="7">
        <v>48.84</v>
      </c>
      <c r="K123" s="7">
        <v>344.11</v>
      </c>
      <c r="L123" s="17">
        <f t="shared" si="1"/>
        <v>23980.440000000002</v>
      </c>
    </row>
    <row r="124" spans="2:12" x14ac:dyDescent="0.25">
      <c r="B124" s="7" t="s">
        <v>146</v>
      </c>
      <c r="C124" s="7" t="s">
        <v>22</v>
      </c>
      <c r="D124" s="7" t="s">
        <v>12</v>
      </c>
      <c r="E124" s="7" t="s">
        <v>23</v>
      </c>
      <c r="F124" s="7" t="s">
        <v>24</v>
      </c>
      <c r="G124" s="7" t="s">
        <v>20</v>
      </c>
      <c r="H124" s="1">
        <v>45044</v>
      </c>
      <c r="I124" s="7">
        <v>328</v>
      </c>
      <c r="J124" s="7">
        <v>56.14</v>
      </c>
      <c r="K124" s="7">
        <v>158.16999999999999</v>
      </c>
      <c r="L124" s="17">
        <f t="shared" si="1"/>
        <v>18413.920000000002</v>
      </c>
    </row>
    <row r="125" spans="2:12" x14ac:dyDescent="0.25">
      <c r="B125" s="7" t="s">
        <v>147</v>
      </c>
      <c r="C125" s="7" t="s">
        <v>17</v>
      </c>
      <c r="D125" s="7" t="s">
        <v>26</v>
      </c>
      <c r="E125" s="7" t="s">
        <v>42</v>
      </c>
      <c r="F125" s="7" t="s">
        <v>24</v>
      </c>
      <c r="G125" s="7" t="s">
        <v>15</v>
      </c>
      <c r="H125" s="1">
        <v>45045</v>
      </c>
      <c r="I125" s="7">
        <v>421</v>
      </c>
      <c r="J125" s="7">
        <v>294.41000000000003</v>
      </c>
      <c r="K125" s="7">
        <v>382.58</v>
      </c>
      <c r="L125" s="17">
        <f t="shared" si="1"/>
        <v>123946.61000000002</v>
      </c>
    </row>
    <row r="126" spans="2:12" x14ac:dyDescent="0.25">
      <c r="B126" s="7" t="s">
        <v>148</v>
      </c>
      <c r="C126" s="7" t="s">
        <v>22</v>
      </c>
      <c r="D126" s="7" t="s">
        <v>18</v>
      </c>
      <c r="E126" s="7" t="s">
        <v>13</v>
      </c>
      <c r="F126" s="7" t="s">
        <v>24</v>
      </c>
      <c r="G126" s="7" t="s">
        <v>28</v>
      </c>
      <c r="H126" s="1">
        <v>45046</v>
      </c>
      <c r="I126" s="7">
        <v>69</v>
      </c>
      <c r="J126" s="7">
        <v>345.66</v>
      </c>
      <c r="K126" s="7">
        <v>54.99</v>
      </c>
      <c r="L126" s="17">
        <f t="shared" si="1"/>
        <v>23850.54</v>
      </c>
    </row>
    <row r="127" spans="2:12" x14ac:dyDescent="0.25">
      <c r="B127" s="7" t="s">
        <v>149</v>
      </c>
      <c r="C127" s="7" t="s">
        <v>17</v>
      </c>
      <c r="D127" s="7" t="s">
        <v>12</v>
      </c>
      <c r="E127" s="7" t="s">
        <v>42</v>
      </c>
      <c r="F127" s="7" t="s">
        <v>24</v>
      </c>
      <c r="G127" s="7" t="s">
        <v>20</v>
      </c>
      <c r="H127" s="1">
        <v>45047</v>
      </c>
      <c r="I127" s="7">
        <v>344</v>
      </c>
      <c r="J127" s="7">
        <v>201.7</v>
      </c>
      <c r="K127" s="7">
        <v>42.66</v>
      </c>
      <c r="L127" s="17">
        <f t="shared" si="1"/>
        <v>69384.800000000003</v>
      </c>
    </row>
    <row r="128" spans="2:12" x14ac:dyDescent="0.25">
      <c r="B128" s="7" t="s">
        <v>150</v>
      </c>
      <c r="C128" s="7" t="s">
        <v>17</v>
      </c>
      <c r="D128" s="7" t="s">
        <v>50</v>
      </c>
      <c r="E128" s="7" t="s">
        <v>42</v>
      </c>
      <c r="F128" s="7" t="s">
        <v>14</v>
      </c>
      <c r="G128" s="7" t="s">
        <v>15</v>
      </c>
      <c r="H128" s="1">
        <v>45048</v>
      </c>
      <c r="I128" s="7">
        <v>231</v>
      </c>
      <c r="J128" s="7">
        <v>242.55</v>
      </c>
      <c r="K128" s="7">
        <v>264.16000000000003</v>
      </c>
      <c r="L128" s="17">
        <f t="shared" si="1"/>
        <v>56029.05</v>
      </c>
    </row>
    <row r="129" spans="2:12" x14ac:dyDescent="0.25">
      <c r="B129" s="7" t="s">
        <v>151</v>
      </c>
      <c r="C129" s="7" t="s">
        <v>48</v>
      </c>
      <c r="D129" s="7" t="s">
        <v>12</v>
      </c>
      <c r="E129" s="7" t="s">
        <v>23</v>
      </c>
      <c r="F129" s="7" t="s">
        <v>14</v>
      </c>
      <c r="G129" s="7" t="s">
        <v>20</v>
      </c>
      <c r="H129" s="1">
        <v>45049</v>
      </c>
      <c r="I129" s="7">
        <v>46</v>
      </c>
      <c r="J129" s="7">
        <v>344.55</v>
      </c>
      <c r="K129" s="7">
        <v>377.25</v>
      </c>
      <c r="L129" s="17">
        <f t="shared" si="1"/>
        <v>15849.300000000001</v>
      </c>
    </row>
    <row r="130" spans="2:12" x14ac:dyDescent="0.25">
      <c r="B130" s="7" t="s">
        <v>152</v>
      </c>
      <c r="C130" s="7" t="s">
        <v>11</v>
      </c>
      <c r="D130" s="7" t="s">
        <v>18</v>
      </c>
      <c r="E130" s="7" t="s">
        <v>13</v>
      </c>
      <c r="F130" s="7" t="s">
        <v>24</v>
      </c>
      <c r="G130" s="7" t="s">
        <v>28</v>
      </c>
      <c r="H130" s="1">
        <v>45050</v>
      </c>
      <c r="I130" s="7">
        <v>486</v>
      </c>
      <c r="J130" s="7">
        <v>13.6</v>
      </c>
      <c r="K130" s="7">
        <v>323.94</v>
      </c>
      <c r="L130" s="17">
        <f t="shared" si="1"/>
        <v>6609.5999999999995</v>
      </c>
    </row>
    <row r="131" spans="2:12" x14ac:dyDescent="0.25">
      <c r="B131" s="7" t="s">
        <v>153</v>
      </c>
      <c r="C131" s="7" t="s">
        <v>22</v>
      </c>
      <c r="D131" s="7" t="s">
        <v>12</v>
      </c>
      <c r="E131" s="7" t="s">
        <v>13</v>
      </c>
      <c r="F131" s="7" t="s">
        <v>24</v>
      </c>
      <c r="G131" s="7" t="s">
        <v>15</v>
      </c>
      <c r="H131" s="1">
        <v>45051</v>
      </c>
      <c r="I131" s="7">
        <v>287</v>
      </c>
      <c r="J131" s="7">
        <v>164.95</v>
      </c>
      <c r="K131" s="7">
        <v>32.409999999999997</v>
      </c>
      <c r="L131" s="17">
        <f t="shared" si="1"/>
        <v>47340.649999999994</v>
      </c>
    </row>
    <row r="132" spans="2:12" x14ac:dyDescent="0.25">
      <c r="B132" s="7" t="s">
        <v>154</v>
      </c>
      <c r="C132" s="7" t="s">
        <v>17</v>
      </c>
      <c r="D132" s="7" t="s">
        <v>31</v>
      </c>
      <c r="E132" s="7" t="s">
        <v>19</v>
      </c>
      <c r="F132" s="7" t="s">
        <v>14</v>
      </c>
      <c r="G132" s="7" t="s">
        <v>28</v>
      </c>
      <c r="H132" s="1">
        <v>45052</v>
      </c>
      <c r="I132" s="7">
        <v>205</v>
      </c>
      <c r="J132" s="7">
        <v>486.68</v>
      </c>
      <c r="K132" s="7">
        <v>113.19</v>
      </c>
      <c r="L132" s="17">
        <f t="shared" si="1"/>
        <v>99769.4</v>
      </c>
    </row>
    <row r="133" spans="2:12" x14ac:dyDescent="0.25">
      <c r="B133" s="7" t="s">
        <v>155</v>
      </c>
      <c r="C133" s="7" t="s">
        <v>48</v>
      </c>
      <c r="D133" s="7" t="s">
        <v>12</v>
      </c>
      <c r="E133" s="7" t="s">
        <v>42</v>
      </c>
      <c r="F133" s="7" t="s">
        <v>24</v>
      </c>
      <c r="G133" s="7" t="s">
        <v>28</v>
      </c>
      <c r="H133" s="1">
        <v>45053</v>
      </c>
      <c r="I133" s="7">
        <v>413</v>
      </c>
      <c r="J133" s="7">
        <v>292.16000000000003</v>
      </c>
      <c r="K133" s="7">
        <v>372.27</v>
      </c>
      <c r="L133" s="17">
        <f t="shared" si="1"/>
        <v>120662.08000000002</v>
      </c>
    </row>
    <row r="134" spans="2:12" x14ac:dyDescent="0.25">
      <c r="B134" s="7" t="s">
        <v>156</v>
      </c>
      <c r="C134" s="7" t="s">
        <v>22</v>
      </c>
      <c r="D134" s="7" t="s">
        <v>26</v>
      </c>
      <c r="E134" s="7" t="s">
        <v>42</v>
      </c>
      <c r="F134" s="7" t="s">
        <v>24</v>
      </c>
      <c r="G134" s="7" t="s">
        <v>15</v>
      </c>
      <c r="H134" s="1">
        <v>45054</v>
      </c>
      <c r="I134" s="7">
        <v>361</v>
      </c>
      <c r="J134" s="7">
        <v>130.84</v>
      </c>
      <c r="K134" s="7">
        <v>102.72</v>
      </c>
      <c r="L134" s="17">
        <f t="shared" si="1"/>
        <v>47233.24</v>
      </c>
    </row>
    <row r="135" spans="2:12" x14ac:dyDescent="0.25">
      <c r="B135" s="7" t="s">
        <v>157</v>
      </c>
      <c r="C135" s="7" t="s">
        <v>17</v>
      </c>
      <c r="D135" s="7" t="s">
        <v>26</v>
      </c>
      <c r="E135" s="7" t="s">
        <v>27</v>
      </c>
      <c r="F135" s="7" t="s">
        <v>14</v>
      </c>
      <c r="G135" s="7" t="s">
        <v>15</v>
      </c>
      <c r="H135" s="1">
        <v>45055</v>
      </c>
      <c r="I135" s="7">
        <v>493</v>
      </c>
      <c r="J135" s="7">
        <v>263.26</v>
      </c>
      <c r="K135" s="7">
        <v>312.91000000000003</v>
      </c>
      <c r="L135" s="17">
        <f t="shared" si="1"/>
        <v>129787.18</v>
      </c>
    </row>
    <row r="136" spans="2:12" x14ac:dyDescent="0.25">
      <c r="B136" s="7" t="s">
        <v>158</v>
      </c>
      <c r="C136" s="7" t="s">
        <v>17</v>
      </c>
      <c r="D136" s="7" t="s">
        <v>31</v>
      </c>
      <c r="E136" s="7" t="s">
        <v>19</v>
      </c>
      <c r="F136" s="7" t="s">
        <v>24</v>
      </c>
      <c r="G136" s="7" t="s">
        <v>15</v>
      </c>
      <c r="H136" s="1">
        <v>45056</v>
      </c>
      <c r="I136" s="7">
        <v>251</v>
      </c>
      <c r="J136" s="7">
        <v>174.61</v>
      </c>
      <c r="K136" s="7">
        <v>330.4</v>
      </c>
      <c r="L136" s="17">
        <f t="shared" ref="L136:L199" si="2">$I136*$J136</f>
        <v>43827.11</v>
      </c>
    </row>
    <row r="137" spans="2:12" x14ac:dyDescent="0.25">
      <c r="B137" s="7" t="s">
        <v>159</v>
      </c>
      <c r="C137" s="7" t="s">
        <v>17</v>
      </c>
      <c r="D137" s="7" t="s">
        <v>18</v>
      </c>
      <c r="E137" s="7" t="s">
        <v>27</v>
      </c>
      <c r="F137" s="7" t="s">
        <v>24</v>
      </c>
      <c r="G137" s="7" t="s">
        <v>15</v>
      </c>
      <c r="H137" s="1">
        <v>45057</v>
      </c>
      <c r="I137" s="7">
        <v>255.9</v>
      </c>
      <c r="J137" s="7">
        <v>268.45999999999998</v>
      </c>
      <c r="K137" s="7">
        <v>199.19</v>
      </c>
      <c r="L137" s="17">
        <f t="shared" si="2"/>
        <v>68698.91399999999</v>
      </c>
    </row>
    <row r="138" spans="2:12" x14ac:dyDescent="0.25">
      <c r="B138" s="7" t="s">
        <v>160</v>
      </c>
      <c r="C138" s="7" t="s">
        <v>22</v>
      </c>
      <c r="D138" s="7" t="s">
        <v>26</v>
      </c>
      <c r="E138" s="7" t="s">
        <v>27</v>
      </c>
      <c r="F138" s="7" t="s">
        <v>24</v>
      </c>
      <c r="G138" s="7" t="s">
        <v>15</v>
      </c>
      <c r="H138" s="1">
        <v>45058</v>
      </c>
      <c r="I138" s="7">
        <v>228</v>
      </c>
      <c r="J138" s="7">
        <v>67.239999999999995</v>
      </c>
      <c r="K138" s="7">
        <v>155.77000000000001</v>
      </c>
      <c r="L138" s="17">
        <f t="shared" si="2"/>
        <v>15330.72</v>
      </c>
    </row>
    <row r="139" spans="2:12" x14ac:dyDescent="0.25">
      <c r="B139" s="7" t="s">
        <v>161</v>
      </c>
      <c r="C139" s="7" t="s">
        <v>22</v>
      </c>
      <c r="D139" s="7" t="s">
        <v>50</v>
      </c>
      <c r="E139" s="7" t="s">
        <v>27</v>
      </c>
      <c r="F139" s="7" t="s">
        <v>14</v>
      </c>
      <c r="G139" s="7" t="s">
        <v>15</v>
      </c>
      <c r="H139" s="1">
        <v>45059</v>
      </c>
      <c r="I139" s="7">
        <v>201</v>
      </c>
      <c r="J139" s="7">
        <v>70.69</v>
      </c>
      <c r="K139" s="7">
        <v>181.15</v>
      </c>
      <c r="L139" s="17">
        <f t="shared" si="2"/>
        <v>14208.689999999999</v>
      </c>
    </row>
    <row r="140" spans="2:12" x14ac:dyDescent="0.25">
      <c r="B140" s="7" t="s">
        <v>162</v>
      </c>
      <c r="C140" s="7" t="s">
        <v>22</v>
      </c>
      <c r="D140" s="7" t="s">
        <v>26</v>
      </c>
      <c r="E140" s="7" t="s">
        <v>23</v>
      </c>
      <c r="F140" s="7" t="s">
        <v>14</v>
      </c>
      <c r="G140" s="7" t="s">
        <v>15</v>
      </c>
      <c r="H140" s="1">
        <v>45060</v>
      </c>
      <c r="I140" s="7">
        <v>26</v>
      </c>
      <c r="J140" s="7">
        <v>76.05</v>
      </c>
      <c r="K140" s="7">
        <v>92.33</v>
      </c>
      <c r="L140" s="17">
        <f t="shared" si="2"/>
        <v>1977.3</v>
      </c>
    </row>
    <row r="141" spans="2:12" x14ac:dyDescent="0.25">
      <c r="B141" s="7" t="s">
        <v>163</v>
      </c>
      <c r="C141" s="7" t="s">
        <v>11</v>
      </c>
      <c r="D141" s="7" t="s">
        <v>26</v>
      </c>
      <c r="E141" s="7" t="s">
        <v>23</v>
      </c>
      <c r="F141" s="7" t="s">
        <v>14</v>
      </c>
      <c r="G141" s="7" t="s">
        <v>20</v>
      </c>
      <c r="H141" s="1">
        <v>45061</v>
      </c>
      <c r="I141" s="7">
        <v>21</v>
      </c>
      <c r="J141" s="7">
        <v>470.21</v>
      </c>
      <c r="K141" s="7">
        <v>355.98</v>
      </c>
      <c r="L141" s="17">
        <f t="shared" si="2"/>
        <v>9874.41</v>
      </c>
    </row>
    <row r="142" spans="2:12" x14ac:dyDescent="0.25">
      <c r="B142" s="7" t="s">
        <v>164</v>
      </c>
      <c r="C142" s="7" t="s">
        <v>22</v>
      </c>
      <c r="D142" s="7" t="s">
        <v>18</v>
      </c>
      <c r="E142" s="7" t="s">
        <v>27</v>
      </c>
      <c r="F142" s="7" t="s">
        <v>24</v>
      </c>
      <c r="G142" s="7" t="s">
        <v>28</v>
      </c>
      <c r="H142" s="1">
        <v>45062</v>
      </c>
      <c r="I142" s="7">
        <v>415</v>
      </c>
      <c r="J142" s="7">
        <v>367.78</v>
      </c>
      <c r="K142" s="7">
        <v>181.35</v>
      </c>
      <c r="L142" s="17">
        <f t="shared" si="2"/>
        <v>152628.69999999998</v>
      </c>
    </row>
    <row r="143" spans="2:12" x14ac:dyDescent="0.25">
      <c r="B143" s="7" t="s">
        <v>165</v>
      </c>
      <c r="C143" s="7" t="s">
        <v>22</v>
      </c>
      <c r="D143" s="7" t="s">
        <v>12</v>
      </c>
      <c r="E143" s="7" t="s">
        <v>19</v>
      </c>
      <c r="F143" s="7" t="s">
        <v>24</v>
      </c>
      <c r="G143" s="7" t="s">
        <v>15</v>
      </c>
      <c r="H143" s="1">
        <v>45063</v>
      </c>
      <c r="I143" s="7">
        <v>410</v>
      </c>
      <c r="J143" s="7">
        <v>85.38</v>
      </c>
      <c r="K143" s="7">
        <v>353.22</v>
      </c>
      <c r="L143" s="17">
        <f t="shared" si="2"/>
        <v>35005.799999999996</v>
      </c>
    </row>
    <row r="144" spans="2:12" x14ac:dyDescent="0.25">
      <c r="B144" s="7" t="s">
        <v>166</v>
      </c>
      <c r="C144" s="7" t="s">
        <v>22</v>
      </c>
      <c r="D144" s="7" t="s">
        <v>26</v>
      </c>
      <c r="E144" s="7" t="s">
        <v>42</v>
      </c>
      <c r="F144" s="7" t="s">
        <v>14</v>
      </c>
      <c r="G144" s="7" t="s">
        <v>20</v>
      </c>
      <c r="H144" s="1">
        <v>45064</v>
      </c>
      <c r="I144" s="7">
        <v>403</v>
      </c>
      <c r="J144" s="7">
        <v>98.23</v>
      </c>
      <c r="K144" s="7">
        <v>44.07</v>
      </c>
      <c r="L144" s="17">
        <f t="shared" si="2"/>
        <v>39586.69</v>
      </c>
    </row>
    <row r="145" spans="2:12" x14ac:dyDescent="0.25">
      <c r="B145" s="7" t="s">
        <v>167</v>
      </c>
      <c r="C145" s="7" t="s">
        <v>11</v>
      </c>
      <c r="D145" s="7" t="s">
        <v>31</v>
      </c>
      <c r="E145" s="7" t="s">
        <v>19</v>
      </c>
      <c r="F145" s="7" t="s">
        <v>24</v>
      </c>
      <c r="G145" s="7" t="s">
        <v>20</v>
      </c>
      <c r="H145" s="1">
        <v>45065</v>
      </c>
      <c r="I145" s="7">
        <v>383</v>
      </c>
      <c r="J145" s="7">
        <v>366.76</v>
      </c>
      <c r="K145" s="7">
        <v>395.33</v>
      </c>
      <c r="L145" s="17">
        <f t="shared" si="2"/>
        <v>140469.07999999999</v>
      </c>
    </row>
    <row r="146" spans="2:12" x14ac:dyDescent="0.25">
      <c r="B146" s="7" t="s">
        <v>168</v>
      </c>
      <c r="C146" s="7" t="s">
        <v>22</v>
      </c>
      <c r="D146" s="7" t="s">
        <v>12</v>
      </c>
      <c r="E146" s="7" t="s">
        <v>13</v>
      </c>
      <c r="F146" s="7" t="s">
        <v>24</v>
      </c>
      <c r="G146" s="7" t="s">
        <v>20</v>
      </c>
      <c r="H146" s="1">
        <v>45066</v>
      </c>
      <c r="I146" s="7">
        <v>202</v>
      </c>
      <c r="J146" s="7">
        <v>82.3</v>
      </c>
      <c r="K146" s="7">
        <v>178.42</v>
      </c>
      <c r="L146" s="17">
        <f t="shared" si="2"/>
        <v>16624.599999999999</v>
      </c>
    </row>
    <row r="147" spans="2:12" x14ac:dyDescent="0.25">
      <c r="B147" s="7" t="s">
        <v>169</v>
      </c>
      <c r="C147" s="7" t="s">
        <v>17</v>
      </c>
      <c r="D147" s="7" t="s">
        <v>50</v>
      </c>
      <c r="E147" s="7" t="s">
        <v>23</v>
      </c>
      <c r="F147" s="7" t="s">
        <v>24</v>
      </c>
      <c r="G147" s="7" t="s">
        <v>28</v>
      </c>
      <c r="H147" s="1">
        <v>45067</v>
      </c>
      <c r="I147" s="7">
        <v>31</v>
      </c>
      <c r="J147" s="7">
        <v>121.11</v>
      </c>
      <c r="K147" s="7">
        <v>21.04</v>
      </c>
      <c r="L147" s="17">
        <f t="shared" si="2"/>
        <v>3754.41</v>
      </c>
    </row>
    <row r="148" spans="2:12" x14ac:dyDescent="0.25">
      <c r="B148" s="7" t="s">
        <v>170</v>
      </c>
      <c r="C148" s="7" t="s">
        <v>22</v>
      </c>
      <c r="D148" s="7" t="s">
        <v>18</v>
      </c>
      <c r="E148" s="7" t="s">
        <v>42</v>
      </c>
      <c r="F148" s="7" t="s">
        <v>24</v>
      </c>
      <c r="G148" s="7" t="s">
        <v>15</v>
      </c>
      <c r="H148" s="1">
        <v>45068</v>
      </c>
      <c r="I148" s="7">
        <v>483</v>
      </c>
      <c r="J148" s="7">
        <v>481.86</v>
      </c>
      <c r="K148" s="7">
        <v>17.13</v>
      </c>
      <c r="L148" s="17">
        <f t="shared" si="2"/>
        <v>232738.38</v>
      </c>
    </row>
    <row r="149" spans="2:12" x14ac:dyDescent="0.25">
      <c r="B149" s="7" t="s">
        <v>171</v>
      </c>
      <c r="C149" s="7" t="s">
        <v>17</v>
      </c>
      <c r="D149" s="7" t="s">
        <v>50</v>
      </c>
      <c r="E149" s="7" t="s">
        <v>42</v>
      </c>
      <c r="F149" s="7" t="s">
        <v>24</v>
      </c>
      <c r="G149" s="7" t="s">
        <v>20</v>
      </c>
      <c r="H149" s="1">
        <v>45069</v>
      </c>
      <c r="I149" s="7">
        <v>129</v>
      </c>
      <c r="J149" s="7">
        <v>131.38</v>
      </c>
      <c r="K149" s="7">
        <v>298.99</v>
      </c>
      <c r="L149" s="17">
        <f t="shared" si="2"/>
        <v>16948.02</v>
      </c>
    </row>
    <row r="150" spans="2:12" x14ac:dyDescent="0.25">
      <c r="B150" s="7" t="s">
        <v>172</v>
      </c>
      <c r="C150" s="7" t="s">
        <v>17</v>
      </c>
      <c r="D150" s="7" t="s">
        <v>12</v>
      </c>
      <c r="E150" s="7" t="s">
        <v>13</v>
      </c>
      <c r="F150" s="7" t="s">
        <v>14</v>
      </c>
      <c r="G150" s="7" t="s">
        <v>28</v>
      </c>
      <c r="H150" s="1">
        <v>45070</v>
      </c>
      <c r="I150" s="7">
        <v>219</v>
      </c>
      <c r="J150" s="7">
        <v>332.51</v>
      </c>
      <c r="K150" s="7">
        <v>264.3</v>
      </c>
      <c r="L150" s="17">
        <f t="shared" si="2"/>
        <v>72819.69</v>
      </c>
    </row>
    <row r="151" spans="2:12" x14ac:dyDescent="0.25">
      <c r="B151" s="7" t="s">
        <v>173</v>
      </c>
      <c r="C151" s="7" t="s">
        <v>17</v>
      </c>
      <c r="D151" s="7" t="s">
        <v>12</v>
      </c>
      <c r="E151" s="7" t="s">
        <v>13</v>
      </c>
      <c r="F151" s="7" t="s">
        <v>24</v>
      </c>
      <c r="G151" s="7" t="s">
        <v>28</v>
      </c>
      <c r="H151" s="1">
        <v>45071</v>
      </c>
      <c r="I151" s="7">
        <v>315</v>
      </c>
      <c r="J151" s="7">
        <v>489.42</v>
      </c>
      <c r="K151" s="7">
        <v>321.25</v>
      </c>
      <c r="L151" s="17">
        <f t="shared" si="2"/>
        <v>154167.30000000002</v>
      </c>
    </row>
    <row r="152" spans="2:12" x14ac:dyDescent="0.25">
      <c r="B152" s="7" t="s">
        <v>174</v>
      </c>
      <c r="C152" s="7" t="s">
        <v>11</v>
      </c>
      <c r="D152" s="7" t="s">
        <v>12</v>
      </c>
      <c r="E152" s="7" t="s">
        <v>27</v>
      </c>
      <c r="F152" s="7" t="s">
        <v>14</v>
      </c>
      <c r="G152" s="7" t="s">
        <v>28</v>
      </c>
      <c r="H152" s="1">
        <v>45072</v>
      </c>
      <c r="I152" s="7">
        <v>279</v>
      </c>
      <c r="J152" s="7">
        <v>190.28</v>
      </c>
      <c r="K152" s="7">
        <v>43.94</v>
      </c>
      <c r="L152" s="17">
        <f t="shared" si="2"/>
        <v>53088.12</v>
      </c>
    </row>
    <row r="153" spans="2:12" x14ac:dyDescent="0.25">
      <c r="B153" s="7" t="s">
        <v>175</v>
      </c>
      <c r="C153" s="7" t="s">
        <v>11</v>
      </c>
      <c r="D153" s="7" t="s">
        <v>50</v>
      </c>
      <c r="E153" s="7" t="s">
        <v>23</v>
      </c>
      <c r="F153" s="7" t="s">
        <v>24</v>
      </c>
      <c r="G153" s="7" t="s">
        <v>20</v>
      </c>
      <c r="H153" s="1">
        <v>45073</v>
      </c>
      <c r="I153" s="7">
        <v>201</v>
      </c>
      <c r="J153" s="7">
        <v>13.67</v>
      </c>
      <c r="K153" s="7">
        <v>16.16</v>
      </c>
      <c r="L153" s="17">
        <f t="shared" si="2"/>
        <v>2747.67</v>
      </c>
    </row>
    <row r="154" spans="2:12" x14ac:dyDescent="0.25">
      <c r="B154" s="7" t="s">
        <v>176</v>
      </c>
      <c r="C154" s="7" t="s">
        <v>11</v>
      </c>
      <c r="D154" s="7" t="s">
        <v>12</v>
      </c>
      <c r="E154" s="7" t="s">
        <v>23</v>
      </c>
      <c r="F154" s="7" t="s">
        <v>14</v>
      </c>
      <c r="G154" s="7" t="s">
        <v>15</v>
      </c>
      <c r="H154" s="1">
        <v>45074</v>
      </c>
      <c r="I154" s="7">
        <v>184</v>
      </c>
      <c r="J154" s="7">
        <v>125.85</v>
      </c>
      <c r="K154" s="7">
        <v>204.41</v>
      </c>
      <c r="L154" s="17">
        <f t="shared" si="2"/>
        <v>23156.399999999998</v>
      </c>
    </row>
    <row r="155" spans="2:12" x14ac:dyDescent="0.25">
      <c r="B155" s="7" t="s">
        <v>177</v>
      </c>
      <c r="C155" s="7" t="s">
        <v>22</v>
      </c>
      <c r="D155" s="7" t="s">
        <v>50</v>
      </c>
      <c r="E155" s="7" t="s">
        <v>19</v>
      </c>
      <c r="F155" s="7" t="s">
        <v>24</v>
      </c>
      <c r="G155" s="7" t="s">
        <v>20</v>
      </c>
      <c r="H155" s="1">
        <v>45075</v>
      </c>
      <c r="I155" s="7">
        <v>294</v>
      </c>
      <c r="J155" s="7">
        <v>416.28</v>
      </c>
      <c r="K155" s="7">
        <v>156.26</v>
      </c>
      <c r="L155" s="17">
        <f t="shared" si="2"/>
        <v>122386.31999999999</v>
      </c>
    </row>
    <row r="156" spans="2:12" x14ac:dyDescent="0.25">
      <c r="B156" s="7" t="s">
        <v>178</v>
      </c>
      <c r="C156" s="7" t="s">
        <v>17</v>
      </c>
      <c r="D156" s="7" t="s">
        <v>12</v>
      </c>
      <c r="E156" s="7" t="s">
        <v>27</v>
      </c>
      <c r="F156" s="7" t="s">
        <v>14</v>
      </c>
      <c r="G156" s="7" t="s">
        <v>20</v>
      </c>
      <c r="H156" s="1">
        <v>45076</v>
      </c>
      <c r="I156" s="7">
        <v>213</v>
      </c>
      <c r="J156" s="7">
        <v>432.98</v>
      </c>
      <c r="K156" s="7">
        <v>185.85</v>
      </c>
      <c r="L156" s="17">
        <f t="shared" si="2"/>
        <v>92224.74</v>
      </c>
    </row>
    <row r="157" spans="2:12" x14ac:dyDescent="0.25">
      <c r="B157" s="7" t="s">
        <v>179</v>
      </c>
      <c r="C157" s="7" t="s">
        <v>11</v>
      </c>
      <c r="D157" s="7" t="s">
        <v>31</v>
      </c>
      <c r="E157" s="7" t="s">
        <v>27</v>
      </c>
      <c r="F157" s="7" t="s">
        <v>24</v>
      </c>
      <c r="G157" s="7" t="s">
        <v>15</v>
      </c>
      <c r="H157" s="1">
        <v>45077</v>
      </c>
      <c r="I157" s="7">
        <v>173</v>
      </c>
      <c r="J157" s="7">
        <v>385.42</v>
      </c>
      <c r="K157" s="7">
        <v>396.65</v>
      </c>
      <c r="L157" s="17">
        <f t="shared" si="2"/>
        <v>66677.66</v>
      </c>
    </row>
    <row r="158" spans="2:12" x14ac:dyDescent="0.25">
      <c r="B158" s="7" t="s">
        <v>180</v>
      </c>
      <c r="C158" s="7" t="s">
        <v>11</v>
      </c>
      <c r="D158" s="7" t="s">
        <v>12</v>
      </c>
      <c r="E158" s="7" t="s">
        <v>27</v>
      </c>
      <c r="F158" s="7" t="s">
        <v>14</v>
      </c>
      <c r="G158" s="7" t="s">
        <v>15</v>
      </c>
      <c r="H158" s="1">
        <v>45078</v>
      </c>
      <c r="I158" s="7">
        <v>260</v>
      </c>
      <c r="J158" s="7">
        <v>60.99</v>
      </c>
      <c r="K158" s="7">
        <v>388.36</v>
      </c>
      <c r="L158" s="17">
        <f t="shared" si="2"/>
        <v>15857.4</v>
      </c>
    </row>
    <row r="159" spans="2:12" x14ac:dyDescent="0.25">
      <c r="B159" s="7" t="s">
        <v>181</v>
      </c>
      <c r="C159" s="7" t="s">
        <v>22</v>
      </c>
      <c r="D159" s="7" t="s">
        <v>50</v>
      </c>
      <c r="E159" s="7" t="s">
        <v>27</v>
      </c>
      <c r="F159" s="7" t="s">
        <v>24</v>
      </c>
      <c r="G159" s="7" t="s">
        <v>15</v>
      </c>
      <c r="H159" s="1">
        <v>45079</v>
      </c>
      <c r="I159" s="7">
        <v>236</v>
      </c>
      <c r="J159" s="7">
        <v>398.78</v>
      </c>
      <c r="K159" s="7">
        <v>377.04</v>
      </c>
      <c r="L159" s="17">
        <f t="shared" si="2"/>
        <v>94112.079999999987</v>
      </c>
    </row>
    <row r="160" spans="2:12" x14ac:dyDescent="0.25">
      <c r="B160" s="7" t="s">
        <v>182</v>
      </c>
      <c r="C160" s="7" t="s">
        <v>11</v>
      </c>
      <c r="D160" s="7" t="s">
        <v>26</v>
      </c>
      <c r="E160" s="7" t="s">
        <v>23</v>
      </c>
      <c r="F160" s="7" t="s">
        <v>14</v>
      </c>
      <c r="G160" s="7" t="s">
        <v>28</v>
      </c>
      <c r="H160" s="1">
        <v>45080</v>
      </c>
      <c r="I160" s="7">
        <v>445</v>
      </c>
      <c r="J160" s="7">
        <v>459.75</v>
      </c>
      <c r="K160" s="7">
        <v>313.97000000000003</v>
      </c>
      <c r="L160" s="17">
        <f t="shared" si="2"/>
        <v>204588.75</v>
      </c>
    </row>
    <row r="161" spans="2:12" x14ac:dyDescent="0.25">
      <c r="B161" s="7" t="s">
        <v>183</v>
      </c>
      <c r="C161" s="7" t="s">
        <v>22</v>
      </c>
      <c r="D161" s="7" t="s">
        <v>12</v>
      </c>
      <c r="E161" s="7" t="s">
        <v>23</v>
      </c>
      <c r="F161" s="7" t="s">
        <v>24</v>
      </c>
      <c r="G161" s="7" t="s">
        <v>15</v>
      </c>
      <c r="H161" s="1">
        <v>45081</v>
      </c>
      <c r="I161" s="7">
        <v>390</v>
      </c>
      <c r="J161" s="7">
        <v>302.3</v>
      </c>
      <c r="K161" s="7">
        <v>143.22999999999999</v>
      </c>
      <c r="L161" s="17">
        <f t="shared" si="2"/>
        <v>117897</v>
      </c>
    </row>
    <row r="162" spans="2:12" x14ac:dyDescent="0.25">
      <c r="B162" s="7" t="s">
        <v>184</v>
      </c>
      <c r="C162" s="7" t="s">
        <v>48</v>
      </c>
      <c r="D162" s="7" t="s">
        <v>26</v>
      </c>
      <c r="E162" s="7" t="s">
        <v>27</v>
      </c>
      <c r="F162" s="7" t="s">
        <v>14</v>
      </c>
      <c r="G162" s="7" t="s">
        <v>20</v>
      </c>
      <c r="H162" s="1">
        <v>45082</v>
      </c>
      <c r="I162" s="7">
        <v>469</v>
      </c>
      <c r="J162" s="7">
        <v>470.73</v>
      </c>
      <c r="K162" s="7">
        <v>166.03</v>
      </c>
      <c r="L162" s="17">
        <f t="shared" si="2"/>
        <v>220772.37</v>
      </c>
    </row>
    <row r="163" spans="2:12" x14ac:dyDescent="0.25">
      <c r="B163" s="7" t="s">
        <v>185</v>
      </c>
      <c r="C163" s="7" t="s">
        <v>11</v>
      </c>
      <c r="D163" s="7" t="s">
        <v>31</v>
      </c>
      <c r="E163" s="7" t="s">
        <v>19</v>
      </c>
      <c r="F163" s="7" t="s">
        <v>14</v>
      </c>
      <c r="G163" s="7" t="s">
        <v>15</v>
      </c>
      <c r="H163" s="1">
        <v>45083</v>
      </c>
      <c r="I163" s="7">
        <v>16</v>
      </c>
      <c r="J163" s="7">
        <v>249.64</v>
      </c>
      <c r="K163" s="7">
        <v>220.75</v>
      </c>
      <c r="L163" s="17">
        <f t="shared" si="2"/>
        <v>3994.24</v>
      </c>
    </row>
    <row r="164" spans="2:12" x14ac:dyDescent="0.25">
      <c r="B164" s="7" t="s">
        <v>186</v>
      </c>
      <c r="C164" s="7" t="s">
        <v>48</v>
      </c>
      <c r="D164" s="7" t="s">
        <v>18</v>
      </c>
      <c r="E164" s="7" t="s">
        <v>42</v>
      </c>
      <c r="F164" s="7" t="s">
        <v>24</v>
      </c>
      <c r="G164" s="7" t="s">
        <v>20</v>
      </c>
      <c r="H164" s="1">
        <v>45084</v>
      </c>
      <c r="I164" s="7">
        <v>38</v>
      </c>
      <c r="J164" s="7">
        <v>335.15</v>
      </c>
      <c r="K164" s="7">
        <v>332.55</v>
      </c>
      <c r="L164" s="17">
        <f t="shared" si="2"/>
        <v>12735.699999999999</v>
      </c>
    </row>
    <row r="165" spans="2:12" x14ac:dyDescent="0.25">
      <c r="B165" s="7" t="s">
        <v>187</v>
      </c>
      <c r="C165" s="7" t="s">
        <v>22</v>
      </c>
      <c r="D165" s="7" t="s">
        <v>31</v>
      </c>
      <c r="E165" s="7" t="s">
        <v>42</v>
      </c>
      <c r="F165" s="7" t="s">
        <v>24</v>
      </c>
      <c r="G165" s="7" t="s">
        <v>28</v>
      </c>
      <c r="H165" s="1">
        <v>45085</v>
      </c>
      <c r="I165" s="7">
        <v>404</v>
      </c>
      <c r="J165" s="7">
        <v>290.70999999999998</v>
      </c>
      <c r="K165" s="7">
        <v>29.35</v>
      </c>
      <c r="L165" s="17">
        <f t="shared" si="2"/>
        <v>117446.84</v>
      </c>
    </row>
    <row r="166" spans="2:12" x14ac:dyDescent="0.25">
      <c r="B166" s="7" t="s">
        <v>188</v>
      </c>
      <c r="C166" s="7" t="s">
        <v>17</v>
      </c>
      <c r="D166" s="7" t="s">
        <v>12</v>
      </c>
      <c r="E166" s="7" t="s">
        <v>19</v>
      </c>
      <c r="F166" s="7" t="s">
        <v>14</v>
      </c>
      <c r="G166" s="7" t="s">
        <v>20</v>
      </c>
      <c r="H166" s="1">
        <v>45086</v>
      </c>
      <c r="I166" s="7">
        <v>42</v>
      </c>
      <c r="J166" s="7">
        <v>177.54</v>
      </c>
      <c r="K166" s="7">
        <v>170.87</v>
      </c>
      <c r="L166" s="17">
        <f t="shared" si="2"/>
        <v>7456.6799999999994</v>
      </c>
    </row>
    <row r="167" spans="2:12" x14ac:dyDescent="0.25">
      <c r="B167" s="7" t="s">
        <v>189</v>
      </c>
      <c r="C167" s="7" t="s">
        <v>11</v>
      </c>
      <c r="D167" s="7" t="s">
        <v>26</v>
      </c>
      <c r="E167" s="7" t="s">
        <v>27</v>
      </c>
      <c r="F167" s="7" t="s">
        <v>24</v>
      </c>
      <c r="G167" s="7" t="s">
        <v>20</v>
      </c>
      <c r="H167" s="1">
        <v>45087</v>
      </c>
      <c r="I167" s="7">
        <v>143</v>
      </c>
      <c r="J167" s="7">
        <v>83.85</v>
      </c>
      <c r="K167" s="7">
        <v>34.880000000000003</v>
      </c>
      <c r="L167" s="17">
        <f t="shared" si="2"/>
        <v>11990.55</v>
      </c>
    </row>
    <row r="168" spans="2:12" x14ac:dyDescent="0.25">
      <c r="B168" s="7" t="s">
        <v>190</v>
      </c>
      <c r="C168" s="7" t="s">
        <v>22</v>
      </c>
      <c r="D168" s="7" t="s">
        <v>26</v>
      </c>
      <c r="E168" s="7" t="s">
        <v>23</v>
      </c>
      <c r="F168" s="7" t="s">
        <v>14</v>
      </c>
      <c r="G168" s="7" t="s">
        <v>15</v>
      </c>
      <c r="H168" s="1">
        <v>45088</v>
      </c>
      <c r="I168" s="7">
        <v>376</v>
      </c>
      <c r="J168" s="7">
        <v>304.45</v>
      </c>
      <c r="K168" s="7">
        <v>206.83</v>
      </c>
      <c r="L168" s="17">
        <f t="shared" si="2"/>
        <v>114473.2</v>
      </c>
    </row>
    <row r="169" spans="2:12" x14ac:dyDescent="0.25">
      <c r="B169" s="7" t="s">
        <v>191</v>
      </c>
      <c r="C169" s="7" t="s">
        <v>17</v>
      </c>
      <c r="D169" s="7" t="s">
        <v>50</v>
      </c>
      <c r="E169" s="7" t="s">
        <v>42</v>
      </c>
      <c r="F169" s="7" t="s">
        <v>14</v>
      </c>
      <c r="G169" s="7" t="s">
        <v>15</v>
      </c>
      <c r="H169" s="1">
        <v>45089</v>
      </c>
      <c r="I169" s="7">
        <v>88</v>
      </c>
      <c r="J169" s="7">
        <v>162.47</v>
      </c>
      <c r="K169" s="7">
        <v>359.76</v>
      </c>
      <c r="L169" s="17">
        <f t="shared" si="2"/>
        <v>14297.36</v>
      </c>
    </row>
    <row r="170" spans="2:12" x14ac:dyDescent="0.25">
      <c r="B170" s="7" t="s">
        <v>192</v>
      </c>
      <c r="C170" s="7" t="s">
        <v>17</v>
      </c>
      <c r="D170" s="7" t="s">
        <v>26</v>
      </c>
      <c r="E170" s="7" t="s">
        <v>13</v>
      </c>
      <c r="F170" s="7" t="s">
        <v>14</v>
      </c>
      <c r="G170" s="7" t="s">
        <v>20</v>
      </c>
      <c r="H170" s="1">
        <v>45090</v>
      </c>
      <c r="I170" s="7">
        <v>425</v>
      </c>
      <c r="J170" s="7">
        <v>433.89</v>
      </c>
      <c r="K170" s="7">
        <v>313.43</v>
      </c>
      <c r="L170" s="17">
        <f t="shared" si="2"/>
        <v>184403.25</v>
      </c>
    </row>
    <row r="171" spans="2:12" x14ac:dyDescent="0.25">
      <c r="B171" s="7" t="s">
        <v>193</v>
      </c>
      <c r="C171" s="7" t="s">
        <v>48</v>
      </c>
      <c r="D171" s="7" t="s">
        <v>50</v>
      </c>
      <c r="E171" s="7" t="s">
        <v>13</v>
      </c>
      <c r="F171" s="7" t="s">
        <v>24</v>
      </c>
      <c r="G171" s="7" t="s">
        <v>15</v>
      </c>
      <c r="H171" s="1">
        <v>45091</v>
      </c>
      <c r="I171" s="7">
        <v>444</v>
      </c>
      <c r="J171" s="7">
        <v>496.7</v>
      </c>
      <c r="K171" s="7">
        <v>92.68</v>
      </c>
      <c r="L171" s="17">
        <f t="shared" si="2"/>
        <v>220534.8</v>
      </c>
    </row>
    <row r="172" spans="2:12" x14ac:dyDescent="0.25">
      <c r="B172" s="7" t="s">
        <v>194</v>
      </c>
      <c r="C172" s="7" t="s">
        <v>22</v>
      </c>
      <c r="D172" s="7" t="s">
        <v>18</v>
      </c>
      <c r="E172" s="7" t="s">
        <v>19</v>
      </c>
      <c r="F172" s="7" t="s">
        <v>14</v>
      </c>
      <c r="G172" s="7" t="s">
        <v>28</v>
      </c>
      <c r="H172" s="1">
        <v>45092</v>
      </c>
      <c r="I172" s="7">
        <v>468</v>
      </c>
      <c r="J172" s="7">
        <v>377.45</v>
      </c>
      <c r="K172" s="7">
        <v>390.44</v>
      </c>
      <c r="L172" s="17">
        <f t="shared" si="2"/>
        <v>176646.6</v>
      </c>
    </row>
    <row r="173" spans="2:12" x14ac:dyDescent="0.25">
      <c r="B173" s="7" t="s">
        <v>195</v>
      </c>
      <c r="C173" s="7" t="s">
        <v>17</v>
      </c>
      <c r="D173" s="7" t="s">
        <v>12</v>
      </c>
      <c r="E173" s="7" t="s">
        <v>27</v>
      </c>
      <c r="F173" s="7" t="s">
        <v>14</v>
      </c>
      <c r="G173" s="7" t="s">
        <v>28</v>
      </c>
      <c r="H173" s="1">
        <v>45093</v>
      </c>
      <c r="I173" s="7">
        <v>67</v>
      </c>
      <c r="J173" s="7">
        <v>49.79</v>
      </c>
      <c r="K173" s="7">
        <v>267.61</v>
      </c>
      <c r="L173" s="17">
        <f t="shared" si="2"/>
        <v>3335.93</v>
      </c>
    </row>
    <row r="174" spans="2:12" x14ac:dyDescent="0.25">
      <c r="B174" s="7" t="s">
        <v>196</v>
      </c>
      <c r="C174" s="7" t="s">
        <v>11</v>
      </c>
      <c r="D174" s="7" t="s">
        <v>50</v>
      </c>
      <c r="E174" s="7" t="s">
        <v>42</v>
      </c>
      <c r="F174" s="7" t="s">
        <v>24</v>
      </c>
      <c r="G174" s="7" t="s">
        <v>15</v>
      </c>
      <c r="H174" s="1">
        <v>45094</v>
      </c>
      <c r="I174" s="7">
        <v>480</v>
      </c>
      <c r="J174" s="7">
        <v>147.9</v>
      </c>
      <c r="K174" s="7">
        <v>6.15</v>
      </c>
      <c r="L174" s="17">
        <f t="shared" si="2"/>
        <v>70992</v>
      </c>
    </row>
    <row r="175" spans="2:12" x14ac:dyDescent="0.25">
      <c r="B175" s="7" t="s">
        <v>197</v>
      </c>
      <c r="C175" s="7" t="s">
        <v>11</v>
      </c>
      <c r="D175" s="7" t="s">
        <v>18</v>
      </c>
      <c r="E175" s="7" t="s">
        <v>27</v>
      </c>
      <c r="F175" s="7" t="s">
        <v>24</v>
      </c>
      <c r="G175" s="7" t="s">
        <v>28</v>
      </c>
      <c r="H175" s="1">
        <v>45095</v>
      </c>
      <c r="I175" s="7">
        <v>35</v>
      </c>
      <c r="J175" s="7">
        <v>59.01</v>
      </c>
      <c r="K175" s="7">
        <v>103.65</v>
      </c>
      <c r="L175" s="17">
        <f t="shared" si="2"/>
        <v>2065.35</v>
      </c>
    </row>
    <row r="176" spans="2:12" x14ac:dyDescent="0.25">
      <c r="B176" s="7" t="s">
        <v>198</v>
      </c>
      <c r="C176" s="7" t="s">
        <v>48</v>
      </c>
      <c r="D176" s="7" t="s">
        <v>26</v>
      </c>
      <c r="E176" s="7" t="s">
        <v>42</v>
      </c>
      <c r="F176" s="7" t="s">
        <v>24</v>
      </c>
      <c r="G176" s="7" t="s">
        <v>15</v>
      </c>
      <c r="H176" s="1">
        <v>45096</v>
      </c>
      <c r="I176" s="7">
        <v>491</v>
      </c>
      <c r="J176" s="7">
        <v>327</v>
      </c>
      <c r="K176" s="7">
        <v>105.76</v>
      </c>
      <c r="L176" s="17">
        <f t="shared" si="2"/>
        <v>160557</v>
      </c>
    </row>
    <row r="177" spans="2:12" x14ac:dyDescent="0.25">
      <c r="B177" s="7" t="s">
        <v>199</v>
      </c>
      <c r="C177" s="7" t="s">
        <v>17</v>
      </c>
      <c r="D177" s="7" t="s">
        <v>26</v>
      </c>
      <c r="E177" s="7" t="s">
        <v>19</v>
      </c>
      <c r="F177" s="7" t="s">
        <v>24</v>
      </c>
      <c r="G177" s="7" t="s">
        <v>20</v>
      </c>
      <c r="H177" s="1">
        <v>45097</v>
      </c>
      <c r="I177" s="7">
        <v>439</v>
      </c>
      <c r="J177" s="7">
        <v>383.77</v>
      </c>
      <c r="K177" s="7">
        <v>29.56</v>
      </c>
      <c r="L177" s="17">
        <f t="shared" si="2"/>
        <v>168475.03</v>
      </c>
    </row>
    <row r="178" spans="2:12" x14ac:dyDescent="0.25">
      <c r="B178" s="7" t="s">
        <v>200</v>
      </c>
      <c r="C178" s="7" t="s">
        <v>22</v>
      </c>
      <c r="D178" s="7" t="s">
        <v>18</v>
      </c>
      <c r="E178" s="7" t="s">
        <v>19</v>
      </c>
      <c r="F178" s="7" t="s">
        <v>14</v>
      </c>
      <c r="G178" s="7" t="s">
        <v>20</v>
      </c>
      <c r="H178" s="1">
        <v>45098</v>
      </c>
      <c r="I178" s="7">
        <v>235</v>
      </c>
      <c r="J178" s="7">
        <v>463.21</v>
      </c>
      <c r="K178" s="7">
        <v>384.01</v>
      </c>
      <c r="L178" s="17">
        <f t="shared" si="2"/>
        <v>108854.34999999999</v>
      </c>
    </row>
    <row r="179" spans="2:12" x14ac:dyDescent="0.25">
      <c r="B179" s="7" t="s">
        <v>201</v>
      </c>
      <c r="C179" s="7" t="s">
        <v>11</v>
      </c>
      <c r="D179" s="7" t="s">
        <v>26</v>
      </c>
      <c r="E179" s="7" t="s">
        <v>13</v>
      </c>
      <c r="F179" s="7" t="s">
        <v>14</v>
      </c>
      <c r="G179" s="7" t="s">
        <v>28</v>
      </c>
      <c r="H179" s="1">
        <v>45099</v>
      </c>
      <c r="I179" s="7">
        <v>294</v>
      </c>
      <c r="J179" s="7">
        <v>221.9</v>
      </c>
      <c r="K179" s="7">
        <v>192.35</v>
      </c>
      <c r="L179" s="17">
        <f t="shared" si="2"/>
        <v>65238.6</v>
      </c>
    </row>
    <row r="180" spans="2:12" x14ac:dyDescent="0.25">
      <c r="B180" s="7" t="s">
        <v>202</v>
      </c>
      <c r="C180" s="7" t="s">
        <v>17</v>
      </c>
      <c r="D180" s="7" t="s">
        <v>18</v>
      </c>
      <c r="E180" s="7" t="s">
        <v>27</v>
      </c>
      <c r="F180" s="7" t="s">
        <v>14</v>
      </c>
      <c r="G180" s="7" t="s">
        <v>15</v>
      </c>
      <c r="H180" s="1">
        <v>45100</v>
      </c>
      <c r="I180" s="7">
        <v>13</v>
      </c>
      <c r="J180" s="7">
        <v>451.18</v>
      </c>
      <c r="K180" s="7">
        <v>358.53</v>
      </c>
      <c r="L180" s="17">
        <f t="shared" si="2"/>
        <v>5865.34</v>
      </c>
    </row>
    <row r="181" spans="2:12" x14ac:dyDescent="0.25">
      <c r="B181" s="7" t="s">
        <v>203</v>
      </c>
      <c r="C181" s="7" t="s">
        <v>17</v>
      </c>
      <c r="D181" s="7" t="s">
        <v>50</v>
      </c>
      <c r="E181" s="7" t="s">
        <v>13</v>
      </c>
      <c r="F181" s="7" t="s">
        <v>14</v>
      </c>
      <c r="G181" s="7" t="s">
        <v>15</v>
      </c>
      <c r="H181" s="1">
        <v>45101</v>
      </c>
      <c r="I181" s="7">
        <v>474</v>
      </c>
      <c r="J181" s="7">
        <v>439.56</v>
      </c>
      <c r="K181" s="7">
        <v>130.24</v>
      </c>
      <c r="L181" s="17">
        <f t="shared" si="2"/>
        <v>208351.44</v>
      </c>
    </row>
    <row r="182" spans="2:12" x14ac:dyDescent="0.25">
      <c r="B182" s="7" t="s">
        <v>204</v>
      </c>
      <c r="C182" s="7" t="s">
        <v>48</v>
      </c>
      <c r="D182" s="7" t="s">
        <v>50</v>
      </c>
      <c r="E182" s="7" t="s">
        <v>27</v>
      </c>
      <c r="F182" s="7" t="s">
        <v>24</v>
      </c>
      <c r="G182" s="7" t="s">
        <v>28</v>
      </c>
      <c r="H182" s="1">
        <v>45102</v>
      </c>
      <c r="I182" s="7">
        <v>108</v>
      </c>
      <c r="J182" s="7">
        <v>162.01</v>
      </c>
      <c r="K182" s="7">
        <v>51.84</v>
      </c>
      <c r="L182" s="17">
        <f t="shared" si="2"/>
        <v>17497.079999999998</v>
      </c>
    </row>
    <row r="183" spans="2:12" x14ac:dyDescent="0.25">
      <c r="B183" s="7" t="s">
        <v>205</v>
      </c>
      <c r="C183" s="7" t="s">
        <v>11</v>
      </c>
      <c r="D183" s="7" t="s">
        <v>18</v>
      </c>
      <c r="E183" s="7" t="s">
        <v>13</v>
      </c>
      <c r="F183" s="7" t="s">
        <v>14</v>
      </c>
      <c r="G183" s="7" t="s">
        <v>20</v>
      </c>
      <c r="H183" s="1">
        <v>45103</v>
      </c>
      <c r="I183" s="7">
        <v>406</v>
      </c>
      <c r="J183" s="7">
        <v>435.11</v>
      </c>
      <c r="K183" s="7">
        <v>190.79</v>
      </c>
      <c r="L183" s="17">
        <f t="shared" si="2"/>
        <v>176654.66</v>
      </c>
    </row>
    <row r="184" spans="2:12" x14ac:dyDescent="0.25">
      <c r="B184" s="7" t="s">
        <v>206</v>
      </c>
      <c r="C184" s="7" t="s">
        <v>11</v>
      </c>
      <c r="D184" s="7" t="s">
        <v>50</v>
      </c>
      <c r="E184" s="7" t="s">
        <v>23</v>
      </c>
      <c r="F184" s="7" t="s">
        <v>14</v>
      </c>
      <c r="G184" s="7" t="s">
        <v>28</v>
      </c>
      <c r="H184" s="1">
        <v>45104</v>
      </c>
      <c r="I184" s="7">
        <v>498</v>
      </c>
      <c r="J184" s="7">
        <v>190.96</v>
      </c>
      <c r="K184" s="7">
        <v>47.35</v>
      </c>
      <c r="L184" s="17">
        <f t="shared" si="2"/>
        <v>95098.08</v>
      </c>
    </row>
    <row r="185" spans="2:12" x14ac:dyDescent="0.25">
      <c r="B185" s="7" t="s">
        <v>207</v>
      </c>
      <c r="C185" s="7" t="s">
        <v>22</v>
      </c>
      <c r="D185" s="7" t="s">
        <v>50</v>
      </c>
      <c r="E185" s="7" t="s">
        <v>23</v>
      </c>
      <c r="F185" s="7" t="s">
        <v>24</v>
      </c>
      <c r="G185" s="7" t="s">
        <v>20</v>
      </c>
      <c r="H185" s="1">
        <v>45105</v>
      </c>
      <c r="I185" s="7">
        <v>48</v>
      </c>
      <c r="J185" s="7">
        <v>151.94999999999999</v>
      </c>
      <c r="K185" s="7">
        <v>195.43</v>
      </c>
      <c r="L185" s="17">
        <f t="shared" si="2"/>
        <v>7293.5999999999995</v>
      </c>
    </row>
    <row r="186" spans="2:12" x14ac:dyDescent="0.25">
      <c r="B186" s="7" t="s">
        <v>208</v>
      </c>
      <c r="C186" s="7" t="s">
        <v>11</v>
      </c>
      <c r="D186" s="7" t="s">
        <v>50</v>
      </c>
      <c r="E186" s="7" t="s">
        <v>23</v>
      </c>
      <c r="F186" s="7" t="s">
        <v>14</v>
      </c>
      <c r="G186" s="7" t="s">
        <v>15</v>
      </c>
      <c r="H186" s="1">
        <v>45106</v>
      </c>
      <c r="I186" s="7">
        <v>280</v>
      </c>
      <c r="J186" s="7">
        <v>326.29000000000002</v>
      </c>
      <c r="K186" s="7">
        <v>368.28</v>
      </c>
      <c r="L186" s="17">
        <f t="shared" si="2"/>
        <v>91361.200000000012</v>
      </c>
    </row>
    <row r="187" spans="2:12" x14ac:dyDescent="0.25">
      <c r="B187" s="7" t="s">
        <v>209</v>
      </c>
      <c r="C187" s="7" t="s">
        <v>22</v>
      </c>
      <c r="D187" s="7" t="s">
        <v>31</v>
      </c>
      <c r="E187" s="7" t="s">
        <v>23</v>
      </c>
      <c r="F187" s="7" t="s">
        <v>14</v>
      </c>
      <c r="G187" s="7" t="s">
        <v>20</v>
      </c>
      <c r="H187" s="1">
        <v>45107</v>
      </c>
      <c r="I187" s="7">
        <v>384</v>
      </c>
      <c r="J187" s="7">
        <v>167.55</v>
      </c>
      <c r="K187" s="7">
        <v>209.27</v>
      </c>
      <c r="L187" s="17">
        <f t="shared" si="2"/>
        <v>64339.200000000004</v>
      </c>
    </row>
    <row r="188" spans="2:12" x14ac:dyDescent="0.25">
      <c r="B188" s="7" t="s">
        <v>210</v>
      </c>
      <c r="C188" s="7" t="s">
        <v>11</v>
      </c>
      <c r="D188" s="7" t="s">
        <v>12</v>
      </c>
      <c r="E188" s="7" t="s">
        <v>42</v>
      </c>
      <c r="F188" s="7" t="s">
        <v>14</v>
      </c>
      <c r="G188" s="7" t="s">
        <v>28</v>
      </c>
      <c r="H188" s="1">
        <v>45108</v>
      </c>
      <c r="I188" s="7">
        <v>294</v>
      </c>
      <c r="J188" s="7">
        <v>316.95</v>
      </c>
      <c r="K188" s="7">
        <v>247.37</v>
      </c>
      <c r="L188" s="17">
        <f t="shared" si="2"/>
        <v>93183.3</v>
      </c>
    </row>
    <row r="189" spans="2:12" x14ac:dyDescent="0.25">
      <c r="B189" s="7" t="s">
        <v>211</v>
      </c>
      <c r="C189" s="7" t="s">
        <v>48</v>
      </c>
      <c r="D189" s="7" t="s">
        <v>26</v>
      </c>
      <c r="E189" s="7" t="s">
        <v>23</v>
      </c>
      <c r="F189" s="7" t="s">
        <v>14</v>
      </c>
      <c r="G189" s="7" t="s">
        <v>15</v>
      </c>
      <c r="H189" s="1">
        <v>45109</v>
      </c>
      <c r="I189" s="7">
        <v>166</v>
      </c>
      <c r="J189" s="7">
        <v>306.87</v>
      </c>
      <c r="K189" s="7">
        <v>64.34</v>
      </c>
      <c r="L189" s="17">
        <f t="shared" si="2"/>
        <v>50940.42</v>
      </c>
    </row>
    <row r="190" spans="2:12" x14ac:dyDescent="0.25">
      <c r="B190" s="7" t="s">
        <v>212</v>
      </c>
      <c r="C190" s="7" t="s">
        <v>11</v>
      </c>
      <c r="D190" s="7" t="s">
        <v>31</v>
      </c>
      <c r="E190" s="7" t="s">
        <v>19</v>
      </c>
      <c r="F190" s="7" t="s">
        <v>14</v>
      </c>
      <c r="G190" s="7" t="s">
        <v>28</v>
      </c>
      <c r="H190" s="1">
        <v>45110</v>
      </c>
      <c r="I190" s="7">
        <v>84</v>
      </c>
      <c r="J190" s="7">
        <v>283.89999999999998</v>
      </c>
      <c r="K190" s="7">
        <v>19.41</v>
      </c>
      <c r="L190" s="17">
        <f t="shared" si="2"/>
        <v>23847.599999999999</v>
      </c>
    </row>
    <row r="191" spans="2:12" x14ac:dyDescent="0.25">
      <c r="B191" s="7" t="s">
        <v>213</v>
      </c>
      <c r="C191" s="7" t="s">
        <v>22</v>
      </c>
      <c r="D191" s="7" t="s">
        <v>50</v>
      </c>
      <c r="E191" s="7" t="s">
        <v>19</v>
      </c>
      <c r="F191" s="7" t="s">
        <v>14</v>
      </c>
      <c r="G191" s="7" t="s">
        <v>28</v>
      </c>
      <c r="H191" s="1">
        <v>45111</v>
      </c>
      <c r="I191" s="7">
        <v>381</v>
      </c>
      <c r="J191" s="7">
        <v>193.31</v>
      </c>
      <c r="K191" s="7">
        <v>46.1</v>
      </c>
      <c r="L191" s="17">
        <f t="shared" si="2"/>
        <v>73651.11</v>
      </c>
    </row>
    <row r="192" spans="2:12" x14ac:dyDescent="0.25">
      <c r="B192" s="7" t="s">
        <v>214</v>
      </c>
      <c r="C192" s="7" t="s">
        <v>22</v>
      </c>
      <c r="D192" s="7" t="s">
        <v>18</v>
      </c>
      <c r="E192" s="7" t="s">
        <v>42</v>
      </c>
      <c r="F192" s="7" t="s">
        <v>24</v>
      </c>
      <c r="G192" s="7" t="s">
        <v>20</v>
      </c>
      <c r="H192" s="1">
        <v>45112</v>
      </c>
      <c r="I192" s="7">
        <v>297</v>
      </c>
      <c r="J192" s="7">
        <v>276.51</v>
      </c>
      <c r="K192" s="7">
        <v>240.22</v>
      </c>
      <c r="L192" s="17">
        <f t="shared" si="2"/>
        <v>82123.47</v>
      </c>
    </row>
    <row r="193" spans="2:12" x14ac:dyDescent="0.25">
      <c r="B193" s="7" t="s">
        <v>215</v>
      </c>
      <c r="C193" s="7" t="s">
        <v>48</v>
      </c>
      <c r="D193" s="7" t="s">
        <v>50</v>
      </c>
      <c r="E193" s="7" t="s">
        <v>23</v>
      </c>
      <c r="F193" s="7" t="s">
        <v>24</v>
      </c>
      <c r="G193" s="7" t="s">
        <v>28</v>
      </c>
      <c r="H193" s="1">
        <v>45113</v>
      </c>
      <c r="I193" s="7">
        <v>139</v>
      </c>
      <c r="J193" s="7">
        <v>300.26</v>
      </c>
      <c r="K193" s="7">
        <v>39.81</v>
      </c>
      <c r="L193" s="17">
        <f t="shared" si="2"/>
        <v>41736.14</v>
      </c>
    </row>
    <row r="194" spans="2:12" x14ac:dyDescent="0.25">
      <c r="B194" s="7" t="s">
        <v>216</v>
      </c>
      <c r="C194" s="7" t="s">
        <v>11</v>
      </c>
      <c r="D194" s="7" t="s">
        <v>12</v>
      </c>
      <c r="E194" s="7" t="s">
        <v>23</v>
      </c>
      <c r="F194" s="7" t="s">
        <v>14</v>
      </c>
      <c r="G194" s="7" t="s">
        <v>20</v>
      </c>
      <c r="H194" s="1">
        <v>45114</v>
      </c>
      <c r="I194" s="7">
        <v>184</v>
      </c>
      <c r="J194" s="7">
        <v>275.12</v>
      </c>
      <c r="K194" s="7">
        <v>151.65</v>
      </c>
      <c r="L194" s="17">
        <f t="shared" si="2"/>
        <v>50622.080000000002</v>
      </c>
    </row>
    <row r="195" spans="2:12" x14ac:dyDescent="0.25">
      <c r="B195" s="7" t="s">
        <v>217</v>
      </c>
      <c r="C195" s="7" t="s">
        <v>11</v>
      </c>
      <c r="D195" s="7" t="s">
        <v>50</v>
      </c>
      <c r="E195" s="7" t="s">
        <v>23</v>
      </c>
      <c r="F195" s="7" t="s">
        <v>14</v>
      </c>
      <c r="G195" s="7" t="s">
        <v>15</v>
      </c>
      <c r="H195" s="1">
        <v>45115</v>
      </c>
      <c r="I195" s="7">
        <v>471</v>
      </c>
      <c r="J195" s="7">
        <v>224.99</v>
      </c>
      <c r="K195" s="7">
        <v>220.94</v>
      </c>
      <c r="L195" s="17">
        <f t="shared" si="2"/>
        <v>105970.29000000001</v>
      </c>
    </row>
    <row r="196" spans="2:12" x14ac:dyDescent="0.25">
      <c r="B196" s="7" t="s">
        <v>218</v>
      </c>
      <c r="C196" s="7" t="s">
        <v>48</v>
      </c>
      <c r="D196" s="7" t="s">
        <v>18</v>
      </c>
      <c r="E196" s="7" t="s">
        <v>13</v>
      </c>
      <c r="F196" s="7" t="s">
        <v>24</v>
      </c>
      <c r="G196" s="7" t="s">
        <v>20</v>
      </c>
      <c r="H196" s="1">
        <v>45116</v>
      </c>
      <c r="I196" s="7">
        <v>93</v>
      </c>
      <c r="J196" s="7">
        <v>12.26</v>
      </c>
      <c r="K196" s="7">
        <v>156.68</v>
      </c>
      <c r="L196" s="17">
        <f t="shared" si="2"/>
        <v>1140.18</v>
      </c>
    </row>
    <row r="197" spans="2:12" x14ac:dyDescent="0.25">
      <c r="B197" s="7" t="s">
        <v>219</v>
      </c>
      <c r="C197" s="7" t="s">
        <v>11</v>
      </c>
      <c r="D197" s="7" t="s">
        <v>12</v>
      </c>
      <c r="E197" s="7" t="s">
        <v>27</v>
      </c>
      <c r="F197" s="7" t="s">
        <v>14</v>
      </c>
      <c r="G197" s="7" t="s">
        <v>15</v>
      </c>
      <c r="H197" s="1">
        <v>45117</v>
      </c>
      <c r="I197" s="7">
        <v>31</v>
      </c>
      <c r="J197" s="7">
        <v>295.60000000000002</v>
      </c>
      <c r="K197" s="7">
        <v>67.150000000000006</v>
      </c>
      <c r="L197" s="17">
        <f t="shared" si="2"/>
        <v>9163.6</v>
      </c>
    </row>
    <row r="198" spans="2:12" x14ac:dyDescent="0.25">
      <c r="B198" s="7" t="s">
        <v>220</v>
      </c>
      <c r="C198" s="7" t="s">
        <v>11</v>
      </c>
      <c r="D198" s="7" t="s">
        <v>50</v>
      </c>
      <c r="E198" s="7" t="s">
        <v>13</v>
      </c>
      <c r="F198" s="7" t="s">
        <v>14</v>
      </c>
      <c r="G198" s="7" t="s">
        <v>20</v>
      </c>
      <c r="H198" s="1">
        <v>45118</v>
      </c>
      <c r="I198" s="7">
        <v>468</v>
      </c>
      <c r="J198" s="7">
        <v>88.38</v>
      </c>
      <c r="K198" s="7">
        <v>110.97</v>
      </c>
      <c r="L198" s="17">
        <f t="shared" si="2"/>
        <v>41361.839999999997</v>
      </c>
    </row>
    <row r="199" spans="2:12" x14ac:dyDescent="0.25">
      <c r="B199" s="7" t="s">
        <v>221</v>
      </c>
      <c r="C199" s="7" t="s">
        <v>22</v>
      </c>
      <c r="D199" s="7" t="s">
        <v>12</v>
      </c>
      <c r="E199" s="7" t="s">
        <v>27</v>
      </c>
      <c r="F199" s="7" t="s">
        <v>14</v>
      </c>
      <c r="G199" s="7" t="s">
        <v>28</v>
      </c>
      <c r="H199" s="1">
        <v>45119</v>
      </c>
      <c r="I199" s="7">
        <v>36</v>
      </c>
      <c r="J199" s="7">
        <v>323.08</v>
      </c>
      <c r="K199" s="7">
        <v>371.47</v>
      </c>
      <c r="L199" s="17">
        <f t="shared" si="2"/>
        <v>11630.88</v>
      </c>
    </row>
    <row r="200" spans="2:12" x14ac:dyDescent="0.25">
      <c r="B200" s="7" t="s">
        <v>222</v>
      </c>
      <c r="C200" s="7" t="s">
        <v>11</v>
      </c>
      <c r="D200" s="7" t="s">
        <v>26</v>
      </c>
      <c r="E200" s="7" t="s">
        <v>23</v>
      </c>
      <c r="F200" s="7" t="s">
        <v>24</v>
      </c>
      <c r="G200" s="7" t="s">
        <v>20</v>
      </c>
      <c r="H200" s="1">
        <v>45120</v>
      </c>
      <c r="I200" s="7">
        <v>204</v>
      </c>
      <c r="J200" s="7">
        <v>380.88</v>
      </c>
      <c r="K200" s="7">
        <v>271.04000000000002</v>
      </c>
      <c r="L200" s="17">
        <f t="shared" ref="L200:L263" si="3">$I200*$J200</f>
        <v>77699.520000000004</v>
      </c>
    </row>
    <row r="201" spans="2:12" x14ac:dyDescent="0.25">
      <c r="B201" s="7" t="s">
        <v>223</v>
      </c>
      <c r="C201" s="7" t="s">
        <v>11</v>
      </c>
      <c r="D201" s="7" t="s">
        <v>26</v>
      </c>
      <c r="E201" s="7" t="s">
        <v>23</v>
      </c>
      <c r="F201" s="7" t="s">
        <v>14</v>
      </c>
      <c r="G201" s="7" t="s">
        <v>20</v>
      </c>
      <c r="H201" s="1">
        <v>45121</v>
      </c>
      <c r="I201" s="7">
        <v>346</v>
      </c>
      <c r="J201" s="7">
        <v>252.72</v>
      </c>
      <c r="K201" s="7">
        <v>199.43</v>
      </c>
      <c r="L201" s="17">
        <f t="shared" si="3"/>
        <v>87441.12</v>
      </c>
    </row>
    <row r="202" spans="2:12" x14ac:dyDescent="0.25">
      <c r="B202" s="7" t="s">
        <v>224</v>
      </c>
      <c r="C202" s="7" t="s">
        <v>48</v>
      </c>
      <c r="D202" s="7" t="s">
        <v>50</v>
      </c>
      <c r="E202" s="7" t="s">
        <v>13</v>
      </c>
      <c r="F202" s="7" t="s">
        <v>24</v>
      </c>
      <c r="G202" s="7" t="s">
        <v>15</v>
      </c>
      <c r="H202" s="1">
        <v>45122</v>
      </c>
      <c r="I202" s="7">
        <v>391</v>
      </c>
      <c r="J202" s="7">
        <v>273.47000000000003</v>
      </c>
      <c r="K202" s="7">
        <v>7.06</v>
      </c>
      <c r="L202" s="17">
        <f t="shared" si="3"/>
        <v>106926.77</v>
      </c>
    </row>
    <row r="203" spans="2:12" x14ac:dyDescent="0.25">
      <c r="B203" s="7" t="s">
        <v>225</v>
      </c>
      <c r="C203" s="7" t="s">
        <v>48</v>
      </c>
      <c r="D203" s="7" t="s">
        <v>12</v>
      </c>
      <c r="E203" s="7" t="s">
        <v>13</v>
      </c>
      <c r="F203" s="7" t="s">
        <v>14</v>
      </c>
      <c r="G203" s="7" t="s">
        <v>28</v>
      </c>
      <c r="H203" s="1">
        <v>45123</v>
      </c>
      <c r="I203" s="7">
        <v>245</v>
      </c>
      <c r="J203" s="7">
        <v>475.98</v>
      </c>
      <c r="K203" s="7">
        <v>396.98</v>
      </c>
      <c r="L203" s="17">
        <f t="shared" si="3"/>
        <v>116615.1</v>
      </c>
    </row>
    <row r="204" spans="2:12" x14ac:dyDescent="0.25">
      <c r="B204" s="7" t="s">
        <v>226</v>
      </c>
      <c r="C204" s="7" t="s">
        <v>17</v>
      </c>
      <c r="D204" s="7" t="s">
        <v>18</v>
      </c>
      <c r="E204" s="7" t="s">
        <v>27</v>
      </c>
      <c r="F204" s="7" t="s">
        <v>24</v>
      </c>
      <c r="G204" s="7" t="s">
        <v>20</v>
      </c>
      <c r="H204" s="1">
        <v>45124</v>
      </c>
      <c r="I204" s="7">
        <v>449</v>
      </c>
      <c r="J204" s="7">
        <v>424.35</v>
      </c>
      <c r="K204" s="7">
        <v>269.24</v>
      </c>
      <c r="L204" s="17">
        <f t="shared" si="3"/>
        <v>190533.15000000002</v>
      </c>
    </row>
    <row r="205" spans="2:12" x14ac:dyDescent="0.25">
      <c r="B205" s="7" t="s">
        <v>227</v>
      </c>
      <c r="C205" s="7" t="s">
        <v>22</v>
      </c>
      <c r="D205" s="7" t="s">
        <v>50</v>
      </c>
      <c r="E205" s="7" t="s">
        <v>19</v>
      </c>
      <c r="F205" s="7" t="s">
        <v>24</v>
      </c>
      <c r="G205" s="7" t="s">
        <v>28</v>
      </c>
      <c r="H205" s="1">
        <v>45125</v>
      </c>
      <c r="I205" s="7">
        <v>101</v>
      </c>
      <c r="J205" s="7">
        <v>457.55</v>
      </c>
      <c r="K205" s="7">
        <v>128.13999999999999</v>
      </c>
      <c r="L205" s="17">
        <f t="shared" si="3"/>
        <v>46212.55</v>
      </c>
    </row>
    <row r="206" spans="2:12" x14ac:dyDescent="0.25">
      <c r="B206" s="7" t="s">
        <v>228</v>
      </c>
      <c r="C206" s="7" t="s">
        <v>11</v>
      </c>
      <c r="D206" s="7" t="s">
        <v>26</v>
      </c>
      <c r="E206" s="7" t="s">
        <v>27</v>
      </c>
      <c r="F206" s="7" t="s">
        <v>14</v>
      </c>
      <c r="G206" s="7" t="s">
        <v>20</v>
      </c>
      <c r="H206" s="1">
        <v>45126</v>
      </c>
      <c r="I206" s="7">
        <v>255.9</v>
      </c>
      <c r="J206" s="7">
        <v>407.81</v>
      </c>
      <c r="K206" s="7">
        <v>351.95</v>
      </c>
      <c r="L206" s="17">
        <f t="shared" si="3"/>
        <v>104358.579</v>
      </c>
    </row>
    <row r="207" spans="2:12" x14ac:dyDescent="0.25">
      <c r="B207" s="7" t="s">
        <v>229</v>
      </c>
      <c r="C207" s="7" t="s">
        <v>11</v>
      </c>
      <c r="D207" s="7" t="s">
        <v>26</v>
      </c>
      <c r="E207" s="7" t="s">
        <v>13</v>
      </c>
      <c r="F207" s="7" t="s">
        <v>24</v>
      </c>
      <c r="G207" s="7" t="s">
        <v>20</v>
      </c>
      <c r="H207" s="1">
        <v>45127</v>
      </c>
      <c r="I207" s="7">
        <v>30</v>
      </c>
      <c r="J207" s="7">
        <v>58.91</v>
      </c>
      <c r="K207" s="7">
        <v>104.86</v>
      </c>
      <c r="L207" s="17">
        <f t="shared" si="3"/>
        <v>1767.3</v>
      </c>
    </row>
    <row r="208" spans="2:12" x14ac:dyDescent="0.25">
      <c r="B208" s="7" t="s">
        <v>230</v>
      </c>
      <c r="C208" s="7" t="s">
        <v>17</v>
      </c>
      <c r="D208" s="7" t="s">
        <v>50</v>
      </c>
      <c r="E208" s="7" t="s">
        <v>13</v>
      </c>
      <c r="F208" s="7" t="s">
        <v>14</v>
      </c>
      <c r="G208" s="7" t="s">
        <v>28</v>
      </c>
      <c r="H208" s="1">
        <v>45128</v>
      </c>
      <c r="I208" s="7">
        <v>312</v>
      </c>
      <c r="J208" s="7">
        <v>78.75</v>
      </c>
      <c r="K208" s="7">
        <v>218.52</v>
      </c>
      <c r="L208" s="17">
        <f t="shared" si="3"/>
        <v>24570</v>
      </c>
    </row>
    <row r="209" spans="2:12" x14ac:dyDescent="0.25">
      <c r="B209" s="7" t="s">
        <v>231</v>
      </c>
      <c r="C209" s="7" t="s">
        <v>11</v>
      </c>
      <c r="D209" s="7" t="s">
        <v>12</v>
      </c>
      <c r="E209" s="7" t="s">
        <v>42</v>
      </c>
      <c r="F209" s="7" t="s">
        <v>24</v>
      </c>
      <c r="G209" s="7" t="s">
        <v>20</v>
      </c>
      <c r="H209" s="1">
        <v>45129</v>
      </c>
      <c r="I209" s="7">
        <v>473</v>
      </c>
      <c r="J209" s="7">
        <v>265.68</v>
      </c>
      <c r="K209" s="7">
        <v>255.16</v>
      </c>
      <c r="L209" s="17">
        <f t="shared" si="3"/>
        <v>125666.64</v>
      </c>
    </row>
    <row r="210" spans="2:12" x14ac:dyDescent="0.25">
      <c r="B210" s="7" t="s">
        <v>232</v>
      </c>
      <c r="C210" s="7" t="s">
        <v>22</v>
      </c>
      <c r="D210" s="7" t="s">
        <v>26</v>
      </c>
      <c r="E210" s="7" t="s">
        <v>13</v>
      </c>
      <c r="F210" s="7" t="s">
        <v>14</v>
      </c>
      <c r="G210" s="7" t="s">
        <v>28</v>
      </c>
      <c r="H210" s="1">
        <v>45130</v>
      </c>
      <c r="I210" s="7">
        <v>366</v>
      </c>
      <c r="J210" s="7">
        <v>126.8</v>
      </c>
      <c r="K210" s="7">
        <v>89.98</v>
      </c>
      <c r="L210" s="17">
        <f t="shared" si="3"/>
        <v>46408.799999999996</v>
      </c>
    </row>
    <row r="211" spans="2:12" x14ac:dyDescent="0.25">
      <c r="B211" s="7" t="s">
        <v>233</v>
      </c>
      <c r="C211" s="7" t="s">
        <v>17</v>
      </c>
      <c r="D211" s="7" t="s">
        <v>12</v>
      </c>
      <c r="E211" s="7" t="s">
        <v>42</v>
      </c>
      <c r="F211" s="7" t="s">
        <v>14</v>
      </c>
      <c r="G211" s="7" t="s">
        <v>20</v>
      </c>
      <c r="H211" s="1">
        <v>45131</v>
      </c>
      <c r="I211" s="7">
        <v>452</v>
      </c>
      <c r="J211" s="7">
        <v>240.96</v>
      </c>
      <c r="K211" s="7">
        <v>391.4</v>
      </c>
      <c r="L211" s="17">
        <f t="shared" si="3"/>
        <v>108913.92</v>
      </c>
    </row>
    <row r="212" spans="2:12" x14ac:dyDescent="0.25">
      <c r="B212" s="7" t="s">
        <v>234</v>
      </c>
      <c r="C212" s="7" t="s">
        <v>22</v>
      </c>
      <c r="D212" s="7" t="s">
        <v>26</v>
      </c>
      <c r="E212" s="7" t="s">
        <v>19</v>
      </c>
      <c r="F212" s="7" t="s">
        <v>24</v>
      </c>
      <c r="G212" s="7" t="s">
        <v>15</v>
      </c>
      <c r="H212" s="1">
        <v>45132</v>
      </c>
      <c r="I212" s="7">
        <v>93</v>
      </c>
      <c r="J212" s="7">
        <v>200.21</v>
      </c>
      <c r="K212" s="7">
        <v>299.77999999999997</v>
      </c>
      <c r="L212" s="17">
        <f t="shared" si="3"/>
        <v>18619.530000000002</v>
      </c>
    </row>
    <row r="213" spans="2:12" x14ac:dyDescent="0.25">
      <c r="B213" s="7" t="s">
        <v>235</v>
      </c>
      <c r="C213" s="7" t="s">
        <v>17</v>
      </c>
      <c r="D213" s="7" t="s">
        <v>26</v>
      </c>
      <c r="E213" s="7" t="s">
        <v>27</v>
      </c>
      <c r="F213" s="7" t="s">
        <v>14</v>
      </c>
      <c r="G213" s="7" t="s">
        <v>28</v>
      </c>
      <c r="H213" s="1">
        <v>45133</v>
      </c>
      <c r="I213" s="7">
        <v>271</v>
      </c>
      <c r="J213" s="7">
        <v>276.95999999999998</v>
      </c>
      <c r="K213" s="7">
        <v>224.01</v>
      </c>
      <c r="L213" s="17">
        <f t="shared" si="3"/>
        <v>75056.159999999989</v>
      </c>
    </row>
    <row r="214" spans="2:12" x14ac:dyDescent="0.25">
      <c r="B214" s="7" t="s">
        <v>236</v>
      </c>
      <c r="C214" s="7" t="s">
        <v>17</v>
      </c>
      <c r="D214" s="7" t="s">
        <v>31</v>
      </c>
      <c r="E214" s="7" t="s">
        <v>27</v>
      </c>
      <c r="F214" s="7" t="s">
        <v>14</v>
      </c>
      <c r="G214" s="7" t="s">
        <v>20</v>
      </c>
      <c r="H214" s="1">
        <v>45134</v>
      </c>
      <c r="I214" s="7">
        <v>156</v>
      </c>
      <c r="J214" s="7">
        <v>374.7</v>
      </c>
      <c r="K214" s="7">
        <v>73.88</v>
      </c>
      <c r="L214" s="17">
        <f t="shared" si="3"/>
        <v>58453.2</v>
      </c>
    </row>
    <row r="215" spans="2:12" x14ac:dyDescent="0.25">
      <c r="B215" s="7" t="s">
        <v>237</v>
      </c>
      <c r="C215" s="7" t="s">
        <v>48</v>
      </c>
      <c r="D215" s="7" t="s">
        <v>26</v>
      </c>
      <c r="E215" s="7" t="s">
        <v>42</v>
      </c>
      <c r="F215" s="7" t="s">
        <v>24</v>
      </c>
      <c r="G215" s="7" t="s">
        <v>20</v>
      </c>
      <c r="H215" s="1">
        <v>45135</v>
      </c>
      <c r="I215" s="7">
        <v>450</v>
      </c>
      <c r="J215" s="7">
        <v>359.17</v>
      </c>
      <c r="K215" s="7">
        <v>23.44</v>
      </c>
      <c r="L215" s="17">
        <f t="shared" si="3"/>
        <v>161626.5</v>
      </c>
    </row>
    <row r="216" spans="2:12" x14ac:dyDescent="0.25">
      <c r="B216" s="7" t="s">
        <v>238</v>
      </c>
      <c r="C216" s="7" t="s">
        <v>22</v>
      </c>
      <c r="D216" s="7" t="s">
        <v>18</v>
      </c>
      <c r="E216" s="7" t="s">
        <v>27</v>
      </c>
      <c r="F216" s="7" t="s">
        <v>14</v>
      </c>
      <c r="G216" s="7" t="s">
        <v>15</v>
      </c>
      <c r="H216" s="1">
        <v>45136</v>
      </c>
      <c r="I216" s="7">
        <v>462</v>
      </c>
      <c r="J216" s="7">
        <v>263.01</v>
      </c>
      <c r="K216" s="7">
        <v>129.38</v>
      </c>
      <c r="L216" s="17">
        <f t="shared" si="3"/>
        <v>121510.62</v>
      </c>
    </row>
    <row r="217" spans="2:12" x14ac:dyDescent="0.25">
      <c r="B217" s="7" t="s">
        <v>239</v>
      </c>
      <c r="C217" s="7" t="s">
        <v>11</v>
      </c>
      <c r="D217" s="7" t="s">
        <v>50</v>
      </c>
      <c r="E217" s="7" t="s">
        <v>27</v>
      </c>
      <c r="F217" s="7" t="s">
        <v>14</v>
      </c>
      <c r="G217" s="7" t="s">
        <v>28</v>
      </c>
      <c r="H217" s="1">
        <v>45137</v>
      </c>
      <c r="I217" s="7">
        <v>396</v>
      </c>
      <c r="J217" s="7">
        <v>412.08</v>
      </c>
      <c r="K217" s="7">
        <v>301.77</v>
      </c>
      <c r="L217" s="17">
        <f t="shared" si="3"/>
        <v>163183.67999999999</v>
      </c>
    </row>
    <row r="218" spans="2:12" x14ac:dyDescent="0.25">
      <c r="B218" s="7" t="s">
        <v>240</v>
      </c>
      <c r="C218" s="7" t="s">
        <v>11</v>
      </c>
      <c r="D218" s="7" t="s">
        <v>50</v>
      </c>
      <c r="E218" s="7" t="s">
        <v>23</v>
      </c>
      <c r="F218" s="7" t="s">
        <v>24</v>
      </c>
      <c r="G218" s="7" t="s">
        <v>20</v>
      </c>
      <c r="H218" s="1">
        <v>45138</v>
      </c>
      <c r="I218" s="7">
        <v>266</v>
      </c>
      <c r="J218" s="7">
        <v>218.28</v>
      </c>
      <c r="K218" s="7">
        <v>109.19</v>
      </c>
      <c r="L218" s="17">
        <f t="shared" si="3"/>
        <v>58062.48</v>
      </c>
    </row>
    <row r="219" spans="2:12" x14ac:dyDescent="0.25">
      <c r="B219" s="7" t="s">
        <v>241</v>
      </c>
      <c r="C219" s="7" t="s">
        <v>22</v>
      </c>
      <c r="D219" s="7" t="s">
        <v>12</v>
      </c>
      <c r="E219" s="7" t="s">
        <v>42</v>
      </c>
      <c r="F219" s="7" t="s">
        <v>24</v>
      </c>
      <c r="G219" s="7" t="s">
        <v>15</v>
      </c>
      <c r="H219" s="1">
        <v>45139</v>
      </c>
      <c r="I219" s="7">
        <v>67</v>
      </c>
      <c r="J219" s="7">
        <v>448.87</v>
      </c>
      <c r="K219" s="7">
        <v>216.74</v>
      </c>
      <c r="L219" s="17">
        <f t="shared" si="3"/>
        <v>30074.29</v>
      </c>
    </row>
    <row r="220" spans="2:12" x14ac:dyDescent="0.25">
      <c r="B220" s="7" t="s">
        <v>242</v>
      </c>
      <c r="C220" s="7" t="s">
        <v>11</v>
      </c>
      <c r="D220" s="7" t="s">
        <v>26</v>
      </c>
      <c r="E220" s="7" t="s">
        <v>27</v>
      </c>
      <c r="F220" s="7" t="s">
        <v>14</v>
      </c>
      <c r="G220" s="7" t="s">
        <v>20</v>
      </c>
      <c r="H220" s="1">
        <v>45140</v>
      </c>
      <c r="I220" s="7">
        <v>389</v>
      </c>
      <c r="J220" s="7">
        <v>40.28</v>
      </c>
      <c r="K220" s="7">
        <v>291.72000000000003</v>
      </c>
      <c r="L220" s="17">
        <f t="shared" si="3"/>
        <v>15668.92</v>
      </c>
    </row>
    <row r="221" spans="2:12" x14ac:dyDescent="0.25">
      <c r="B221" s="7" t="s">
        <v>243</v>
      </c>
      <c r="C221" s="7" t="s">
        <v>11</v>
      </c>
      <c r="D221" s="7" t="s">
        <v>18</v>
      </c>
      <c r="E221" s="7" t="s">
        <v>42</v>
      </c>
      <c r="F221" s="7" t="s">
        <v>14</v>
      </c>
      <c r="G221" s="7" t="s">
        <v>28</v>
      </c>
      <c r="H221" s="1">
        <v>45141</v>
      </c>
      <c r="I221" s="7">
        <v>431</v>
      </c>
      <c r="J221" s="7">
        <v>477.56</v>
      </c>
      <c r="K221" s="7">
        <v>44.96</v>
      </c>
      <c r="L221" s="17">
        <f t="shared" si="3"/>
        <v>205828.36000000002</v>
      </c>
    </row>
    <row r="222" spans="2:12" x14ac:dyDescent="0.25">
      <c r="B222" s="7" t="s">
        <v>244</v>
      </c>
      <c r="C222" s="7" t="s">
        <v>22</v>
      </c>
      <c r="D222" s="7" t="s">
        <v>12</v>
      </c>
      <c r="E222" s="7" t="s">
        <v>42</v>
      </c>
      <c r="F222" s="7" t="s">
        <v>24</v>
      </c>
      <c r="G222" s="7" t="s">
        <v>20</v>
      </c>
      <c r="H222" s="1">
        <v>45142</v>
      </c>
      <c r="I222" s="7">
        <v>24</v>
      </c>
      <c r="J222" s="7">
        <v>329.07</v>
      </c>
      <c r="K222" s="7">
        <v>274.75</v>
      </c>
      <c r="L222" s="17">
        <f t="shared" si="3"/>
        <v>7897.68</v>
      </c>
    </row>
    <row r="223" spans="2:12" x14ac:dyDescent="0.25">
      <c r="B223" s="7" t="s">
        <v>245</v>
      </c>
      <c r="C223" s="7" t="s">
        <v>17</v>
      </c>
      <c r="D223" s="7" t="s">
        <v>31</v>
      </c>
      <c r="E223" s="7" t="s">
        <v>23</v>
      </c>
      <c r="F223" s="7" t="s">
        <v>24</v>
      </c>
      <c r="G223" s="7" t="s">
        <v>20</v>
      </c>
      <c r="H223" s="1">
        <v>45143</v>
      </c>
      <c r="I223" s="7">
        <v>171</v>
      </c>
      <c r="J223" s="7">
        <v>193.14</v>
      </c>
      <c r="K223" s="7">
        <v>38.56</v>
      </c>
      <c r="L223" s="17">
        <f t="shared" si="3"/>
        <v>33026.939999999995</v>
      </c>
    </row>
    <row r="224" spans="2:12" x14ac:dyDescent="0.25">
      <c r="B224" s="7" t="s">
        <v>246</v>
      </c>
      <c r="C224" s="7" t="s">
        <v>22</v>
      </c>
      <c r="D224" s="7" t="s">
        <v>12</v>
      </c>
      <c r="E224" s="7" t="s">
        <v>13</v>
      </c>
      <c r="F224" s="7" t="s">
        <v>14</v>
      </c>
      <c r="G224" s="7" t="s">
        <v>20</v>
      </c>
      <c r="H224" s="1">
        <v>45144</v>
      </c>
      <c r="I224" s="7">
        <v>454</v>
      </c>
      <c r="J224" s="7">
        <v>102.59</v>
      </c>
      <c r="K224" s="7">
        <v>386.12</v>
      </c>
      <c r="L224" s="17">
        <f t="shared" si="3"/>
        <v>46575.86</v>
      </c>
    </row>
    <row r="225" spans="2:12" x14ac:dyDescent="0.25">
      <c r="B225" s="7" t="s">
        <v>247</v>
      </c>
      <c r="C225" s="7" t="s">
        <v>17</v>
      </c>
      <c r="D225" s="7" t="s">
        <v>12</v>
      </c>
      <c r="E225" s="7" t="s">
        <v>42</v>
      </c>
      <c r="F225" s="7" t="s">
        <v>24</v>
      </c>
      <c r="G225" s="7" t="s">
        <v>20</v>
      </c>
      <c r="H225" s="1">
        <v>45145</v>
      </c>
      <c r="I225" s="7">
        <v>172</v>
      </c>
      <c r="J225" s="7">
        <v>242.2</v>
      </c>
      <c r="K225" s="7">
        <v>196.38</v>
      </c>
      <c r="L225" s="17">
        <f t="shared" si="3"/>
        <v>41658.400000000001</v>
      </c>
    </row>
    <row r="226" spans="2:12" x14ac:dyDescent="0.25">
      <c r="B226" s="7" t="s">
        <v>248</v>
      </c>
      <c r="C226" s="7" t="s">
        <v>11</v>
      </c>
      <c r="D226" s="7" t="s">
        <v>26</v>
      </c>
      <c r="E226" s="7" t="s">
        <v>27</v>
      </c>
      <c r="F226" s="7" t="s">
        <v>14</v>
      </c>
      <c r="G226" s="7" t="s">
        <v>15</v>
      </c>
      <c r="H226" s="1">
        <v>45146</v>
      </c>
      <c r="I226" s="7">
        <v>329</v>
      </c>
      <c r="J226" s="7">
        <v>101.31</v>
      </c>
      <c r="K226" s="7">
        <v>61.97</v>
      </c>
      <c r="L226" s="17">
        <f t="shared" si="3"/>
        <v>33330.99</v>
      </c>
    </row>
    <row r="227" spans="2:12" x14ac:dyDescent="0.25">
      <c r="B227" s="7" t="s">
        <v>249</v>
      </c>
      <c r="C227" s="7" t="s">
        <v>11</v>
      </c>
      <c r="D227" s="7" t="s">
        <v>31</v>
      </c>
      <c r="E227" s="7" t="s">
        <v>19</v>
      </c>
      <c r="F227" s="7" t="s">
        <v>14</v>
      </c>
      <c r="G227" s="7" t="s">
        <v>15</v>
      </c>
      <c r="H227" s="1">
        <v>45147</v>
      </c>
      <c r="I227" s="7">
        <v>290</v>
      </c>
      <c r="J227" s="7">
        <v>87.33</v>
      </c>
      <c r="K227" s="7">
        <v>138.27000000000001</v>
      </c>
      <c r="L227" s="17">
        <f t="shared" si="3"/>
        <v>25325.7</v>
      </c>
    </row>
    <row r="228" spans="2:12" x14ac:dyDescent="0.25">
      <c r="B228" s="7" t="s">
        <v>250</v>
      </c>
      <c r="C228" s="7" t="s">
        <v>11</v>
      </c>
      <c r="D228" s="7" t="s">
        <v>12</v>
      </c>
      <c r="E228" s="7" t="s">
        <v>42</v>
      </c>
      <c r="F228" s="7" t="s">
        <v>14</v>
      </c>
      <c r="G228" s="7" t="s">
        <v>28</v>
      </c>
      <c r="H228" s="1">
        <v>45148</v>
      </c>
      <c r="I228" s="7">
        <v>289</v>
      </c>
      <c r="J228" s="7">
        <v>310.58999999999997</v>
      </c>
      <c r="K228" s="7">
        <v>166.54</v>
      </c>
      <c r="L228" s="17">
        <f t="shared" si="3"/>
        <v>89760.51</v>
      </c>
    </row>
    <row r="229" spans="2:12" x14ac:dyDescent="0.25">
      <c r="B229" s="7" t="s">
        <v>251</v>
      </c>
      <c r="C229" s="7" t="s">
        <v>48</v>
      </c>
      <c r="D229" s="7" t="s">
        <v>18</v>
      </c>
      <c r="E229" s="7" t="s">
        <v>42</v>
      </c>
      <c r="F229" s="7" t="s">
        <v>14</v>
      </c>
      <c r="G229" s="7" t="s">
        <v>15</v>
      </c>
      <c r="H229" s="1">
        <v>45149</v>
      </c>
      <c r="I229" s="7">
        <v>21</v>
      </c>
      <c r="J229" s="7">
        <v>263.93</v>
      </c>
      <c r="K229" s="7">
        <v>303.76</v>
      </c>
      <c r="L229" s="17">
        <f t="shared" si="3"/>
        <v>5542.53</v>
      </c>
    </row>
    <row r="230" spans="2:12" x14ac:dyDescent="0.25">
      <c r="B230" s="7" t="s">
        <v>252</v>
      </c>
      <c r="C230" s="7" t="s">
        <v>17</v>
      </c>
      <c r="D230" s="7" t="s">
        <v>18</v>
      </c>
      <c r="E230" s="7" t="s">
        <v>23</v>
      </c>
      <c r="F230" s="7" t="s">
        <v>14</v>
      </c>
      <c r="G230" s="7" t="s">
        <v>15</v>
      </c>
      <c r="H230" s="1">
        <v>45150</v>
      </c>
      <c r="I230" s="7">
        <v>283</v>
      </c>
      <c r="J230" s="7">
        <v>336.7</v>
      </c>
      <c r="K230" s="7">
        <v>297.88</v>
      </c>
      <c r="L230" s="17">
        <f t="shared" si="3"/>
        <v>95286.099999999991</v>
      </c>
    </row>
    <row r="231" spans="2:12" x14ac:dyDescent="0.25">
      <c r="B231" s="7" t="s">
        <v>253</v>
      </c>
      <c r="C231" s="7" t="s">
        <v>48</v>
      </c>
      <c r="D231" s="7" t="s">
        <v>50</v>
      </c>
      <c r="E231" s="7" t="s">
        <v>13</v>
      </c>
      <c r="F231" s="7" t="s">
        <v>24</v>
      </c>
      <c r="G231" s="7" t="s">
        <v>28</v>
      </c>
      <c r="H231" s="1">
        <v>45151</v>
      </c>
      <c r="I231" s="7">
        <v>280</v>
      </c>
      <c r="J231" s="7">
        <v>465.15</v>
      </c>
      <c r="K231" s="7">
        <v>245.55</v>
      </c>
      <c r="L231" s="17">
        <f t="shared" si="3"/>
        <v>130242</v>
      </c>
    </row>
    <row r="232" spans="2:12" x14ac:dyDescent="0.25">
      <c r="B232" s="7" t="s">
        <v>254</v>
      </c>
      <c r="C232" s="7" t="s">
        <v>48</v>
      </c>
      <c r="D232" s="7" t="s">
        <v>31</v>
      </c>
      <c r="E232" s="7" t="s">
        <v>19</v>
      </c>
      <c r="F232" s="7" t="s">
        <v>24</v>
      </c>
      <c r="G232" s="7" t="s">
        <v>15</v>
      </c>
      <c r="H232" s="1">
        <v>45152</v>
      </c>
      <c r="I232" s="7">
        <v>217</v>
      </c>
      <c r="J232" s="7">
        <v>268.47000000000003</v>
      </c>
      <c r="K232" s="7">
        <v>44.16</v>
      </c>
      <c r="L232" s="17">
        <f t="shared" si="3"/>
        <v>58257.990000000005</v>
      </c>
    </row>
    <row r="233" spans="2:12" x14ac:dyDescent="0.25">
      <c r="B233" s="7" t="s">
        <v>255</v>
      </c>
      <c r="C233" s="7" t="s">
        <v>22</v>
      </c>
      <c r="D233" s="7" t="s">
        <v>31</v>
      </c>
      <c r="E233" s="7" t="s">
        <v>27</v>
      </c>
      <c r="F233" s="7" t="s">
        <v>24</v>
      </c>
      <c r="G233" s="7" t="s">
        <v>15</v>
      </c>
      <c r="H233" s="1">
        <v>45153</v>
      </c>
      <c r="I233" s="7">
        <v>36</v>
      </c>
      <c r="J233" s="7">
        <v>292.56</v>
      </c>
      <c r="K233" s="7">
        <v>62.32</v>
      </c>
      <c r="L233" s="17">
        <f t="shared" si="3"/>
        <v>10532.16</v>
      </c>
    </row>
    <row r="234" spans="2:12" x14ac:dyDescent="0.25">
      <c r="B234" s="7" t="s">
        <v>256</v>
      </c>
      <c r="C234" s="7" t="s">
        <v>48</v>
      </c>
      <c r="D234" s="7" t="s">
        <v>50</v>
      </c>
      <c r="E234" s="7" t="s">
        <v>19</v>
      </c>
      <c r="F234" s="7" t="s">
        <v>24</v>
      </c>
      <c r="G234" s="7" t="s">
        <v>28</v>
      </c>
      <c r="H234" s="1">
        <v>45154</v>
      </c>
      <c r="I234" s="7">
        <v>255.9</v>
      </c>
      <c r="J234" s="7">
        <v>49.37</v>
      </c>
      <c r="K234" s="7">
        <v>39.32</v>
      </c>
      <c r="L234" s="17">
        <f t="shared" si="3"/>
        <v>12633.782999999999</v>
      </c>
    </row>
    <row r="235" spans="2:12" x14ac:dyDescent="0.25">
      <c r="B235" s="7" t="s">
        <v>257</v>
      </c>
      <c r="C235" s="7" t="s">
        <v>22</v>
      </c>
      <c r="D235" s="7" t="s">
        <v>12</v>
      </c>
      <c r="E235" s="7" t="s">
        <v>27</v>
      </c>
      <c r="F235" s="7" t="s">
        <v>14</v>
      </c>
      <c r="G235" s="7" t="s">
        <v>28</v>
      </c>
      <c r="H235" s="1">
        <v>45155</v>
      </c>
      <c r="I235" s="7">
        <v>69</v>
      </c>
      <c r="J235" s="7">
        <v>360.23</v>
      </c>
      <c r="K235" s="7">
        <v>231.71</v>
      </c>
      <c r="L235" s="17">
        <f t="shared" si="3"/>
        <v>24855.870000000003</v>
      </c>
    </row>
    <row r="236" spans="2:12" x14ac:dyDescent="0.25">
      <c r="B236" s="7" t="s">
        <v>258</v>
      </c>
      <c r="C236" s="7" t="s">
        <v>22</v>
      </c>
      <c r="D236" s="7" t="s">
        <v>31</v>
      </c>
      <c r="E236" s="7" t="s">
        <v>13</v>
      </c>
      <c r="F236" s="7" t="s">
        <v>14</v>
      </c>
      <c r="G236" s="7" t="s">
        <v>28</v>
      </c>
      <c r="H236" s="1">
        <v>45156</v>
      </c>
      <c r="I236" s="7">
        <v>439</v>
      </c>
      <c r="J236" s="7">
        <v>202.95</v>
      </c>
      <c r="K236" s="7">
        <v>351.1</v>
      </c>
      <c r="L236" s="17">
        <f t="shared" si="3"/>
        <v>89095.049999999988</v>
      </c>
    </row>
    <row r="237" spans="2:12" x14ac:dyDescent="0.25">
      <c r="B237" s="7" t="s">
        <v>259</v>
      </c>
      <c r="C237" s="7" t="s">
        <v>48</v>
      </c>
      <c r="D237" s="7" t="s">
        <v>18</v>
      </c>
      <c r="E237" s="7" t="s">
        <v>27</v>
      </c>
      <c r="F237" s="7" t="s">
        <v>14</v>
      </c>
      <c r="G237" s="7" t="s">
        <v>20</v>
      </c>
      <c r="H237" s="1">
        <v>45157</v>
      </c>
      <c r="I237" s="7">
        <v>482</v>
      </c>
      <c r="J237" s="7">
        <v>488.48</v>
      </c>
      <c r="K237" s="7">
        <v>174.65</v>
      </c>
      <c r="L237" s="17">
        <f t="shared" si="3"/>
        <v>235447.36000000002</v>
      </c>
    </row>
    <row r="238" spans="2:12" x14ac:dyDescent="0.25">
      <c r="B238" s="7" t="s">
        <v>260</v>
      </c>
      <c r="C238" s="7" t="s">
        <v>17</v>
      </c>
      <c r="D238" s="7" t="s">
        <v>18</v>
      </c>
      <c r="E238" s="7" t="s">
        <v>23</v>
      </c>
      <c r="F238" s="7" t="s">
        <v>14</v>
      </c>
      <c r="G238" s="7" t="s">
        <v>20</v>
      </c>
      <c r="H238" s="1">
        <v>45158</v>
      </c>
      <c r="I238" s="7">
        <v>154</v>
      </c>
      <c r="J238" s="7">
        <v>412.47</v>
      </c>
      <c r="K238" s="7">
        <v>66.02</v>
      </c>
      <c r="L238" s="17">
        <f t="shared" si="3"/>
        <v>63520.380000000005</v>
      </c>
    </row>
    <row r="239" spans="2:12" x14ac:dyDescent="0.25">
      <c r="B239" s="7" t="s">
        <v>261</v>
      </c>
      <c r="C239" s="7" t="s">
        <v>17</v>
      </c>
      <c r="D239" s="7" t="s">
        <v>26</v>
      </c>
      <c r="E239" s="7" t="s">
        <v>23</v>
      </c>
      <c r="F239" s="7" t="s">
        <v>24</v>
      </c>
      <c r="G239" s="7" t="s">
        <v>28</v>
      </c>
      <c r="H239" s="1">
        <v>45159</v>
      </c>
      <c r="I239" s="7">
        <v>102</v>
      </c>
      <c r="J239" s="7">
        <v>263.63</v>
      </c>
      <c r="K239" s="7">
        <v>224.1</v>
      </c>
      <c r="L239" s="17">
        <f t="shared" si="3"/>
        <v>26890.26</v>
      </c>
    </row>
    <row r="240" spans="2:12" x14ac:dyDescent="0.25">
      <c r="B240" s="7" t="s">
        <v>262</v>
      </c>
      <c r="C240" s="7" t="s">
        <v>17</v>
      </c>
      <c r="D240" s="7" t="s">
        <v>31</v>
      </c>
      <c r="E240" s="7" t="s">
        <v>23</v>
      </c>
      <c r="F240" s="7" t="s">
        <v>14</v>
      </c>
      <c r="G240" s="7" t="s">
        <v>28</v>
      </c>
      <c r="H240" s="1">
        <v>45160</v>
      </c>
      <c r="I240" s="7">
        <v>318</v>
      </c>
      <c r="J240" s="7">
        <v>66</v>
      </c>
      <c r="K240" s="7">
        <v>325.08</v>
      </c>
      <c r="L240" s="17">
        <f t="shared" si="3"/>
        <v>20988</v>
      </c>
    </row>
    <row r="241" spans="2:12" x14ac:dyDescent="0.25">
      <c r="B241" s="7" t="s">
        <v>263</v>
      </c>
      <c r="C241" s="7" t="s">
        <v>17</v>
      </c>
      <c r="D241" s="7" t="s">
        <v>12</v>
      </c>
      <c r="E241" s="7" t="s">
        <v>23</v>
      </c>
      <c r="F241" s="7" t="s">
        <v>14</v>
      </c>
      <c r="G241" s="7" t="s">
        <v>28</v>
      </c>
      <c r="H241" s="1">
        <v>45161</v>
      </c>
      <c r="I241" s="7">
        <v>17</v>
      </c>
      <c r="J241" s="7">
        <v>430.41</v>
      </c>
      <c r="K241" s="7">
        <v>297.2</v>
      </c>
      <c r="L241" s="17">
        <f t="shared" si="3"/>
        <v>7316.97</v>
      </c>
    </row>
    <row r="242" spans="2:12" x14ac:dyDescent="0.25">
      <c r="B242" s="7" t="s">
        <v>264</v>
      </c>
      <c r="C242" s="7" t="s">
        <v>17</v>
      </c>
      <c r="D242" s="7" t="s">
        <v>50</v>
      </c>
      <c r="E242" s="7" t="s">
        <v>19</v>
      </c>
      <c r="F242" s="7" t="s">
        <v>24</v>
      </c>
      <c r="G242" s="7" t="s">
        <v>20</v>
      </c>
      <c r="H242" s="1">
        <v>45162</v>
      </c>
      <c r="I242" s="7">
        <v>88</v>
      </c>
      <c r="J242" s="7">
        <v>400.89</v>
      </c>
      <c r="K242" s="7">
        <v>352.82</v>
      </c>
      <c r="L242" s="17">
        <f t="shared" si="3"/>
        <v>35278.32</v>
      </c>
    </row>
    <row r="243" spans="2:12" x14ac:dyDescent="0.25">
      <c r="B243" s="7" t="s">
        <v>265</v>
      </c>
      <c r="C243" s="7" t="s">
        <v>48</v>
      </c>
      <c r="D243" s="7" t="s">
        <v>50</v>
      </c>
      <c r="E243" s="7" t="s">
        <v>13</v>
      </c>
      <c r="F243" s="7" t="s">
        <v>24</v>
      </c>
      <c r="G243" s="7" t="s">
        <v>20</v>
      </c>
      <c r="H243" s="1">
        <v>45163</v>
      </c>
      <c r="I243" s="7">
        <v>36</v>
      </c>
      <c r="J243" s="7">
        <v>96.37</v>
      </c>
      <c r="K243" s="7">
        <v>112.61</v>
      </c>
      <c r="L243" s="17">
        <f t="shared" si="3"/>
        <v>3469.32</v>
      </c>
    </row>
    <row r="244" spans="2:12" x14ac:dyDescent="0.25">
      <c r="B244" s="7" t="s">
        <v>266</v>
      </c>
      <c r="C244" s="7" t="s">
        <v>48</v>
      </c>
      <c r="D244" s="7" t="s">
        <v>12</v>
      </c>
      <c r="E244" s="7" t="s">
        <v>27</v>
      </c>
      <c r="F244" s="7" t="s">
        <v>24</v>
      </c>
      <c r="G244" s="7" t="s">
        <v>15</v>
      </c>
      <c r="H244" s="1">
        <v>45164</v>
      </c>
      <c r="I244" s="7">
        <v>183</v>
      </c>
      <c r="J244" s="7">
        <v>151.16</v>
      </c>
      <c r="K244" s="7">
        <v>79.19</v>
      </c>
      <c r="L244" s="17">
        <f t="shared" si="3"/>
        <v>27662.28</v>
      </c>
    </row>
    <row r="245" spans="2:12" x14ac:dyDescent="0.25">
      <c r="B245" s="7" t="s">
        <v>267</v>
      </c>
      <c r="C245" s="7" t="s">
        <v>11</v>
      </c>
      <c r="D245" s="7" t="s">
        <v>26</v>
      </c>
      <c r="E245" s="7" t="s">
        <v>27</v>
      </c>
      <c r="F245" s="7" t="s">
        <v>24</v>
      </c>
      <c r="G245" s="7" t="s">
        <v>15</v>
      </c>
      <c r="H245" s="1">
        <v>45165</v>
      </c>
      <c r="I245" s="7">
        <v>59</v>
      </c>
      <c r="J245" s="7">
        <v>397.74</v>
      </c>
      <c r="K245" s="7">
        <v>352.17</v>
      </c>
      <c r="L245" s="17">
        <f t="shared" si="3"/>
        <v>23466.66</v>
      </c>
    </row>
    <row r="246" spans="2:12" x14ac:dyDescent="0.25">
      <c r="B246" s="7" t="s">
        <v>268</v>
      </c>
      <c r="C246" s="7" t="s">
        <v>17</v>
      </c>
      <c r="D246" s="7" t="s">
        <v>50</v>
      </c>
      <c r="E246" s="7" t="s">
        <v>23</v>
      </c>
      <c r="F246" s="7" t="s">
        <v>14</v>
      </c>
      <c r="G246" s="7" t="s">
        <v>28</v>
      </c>
      <c r="H246" s="1">
        <v>45166</v>
      </c>
      <c r="I246" s="7">
        <v>208</v>
      </c>
      <c r="J246" s="7">
        <v>96.69</v>
      </c>
      <c r="K246" s="7">
        <v>263.70999999999998</v>
      </c>
      <c r="L246" s="17">
        <f t="shared" si="3"/>
        <v>20111.52</v>
      </c>
    </row>
    <row r="247" spans="2:12" x14ac:dyDescent="0.25">
      <c r="B247" s="7" t="s">
        <v>269</v>
      </c>
      <c r="C247" s="7" t="s">
        <v>48</v>
      </c>
      <c r="D247" s="7" t="s">
        <v>31</v>
      </c>
      <c r="E247" s="7" t="s">
        <v>23</v>
      </c>
      <c r="F247" s="7" t="s">
        <v>14</v>
      </c>
      <c r="G247" s="7" t="s">
        <v>20</v>
      </c>
      <c r="H247" s="1">
        <v>45167</v>
      </c>
      <c r="I247" s="7">
        <v>396</v>
      </c>
      <c r="J247" s="7">
        <v>459.29</v>
      </c>
      <c r="K247" s="7">
        <v>125.75</v>
      </c>
      <c r="L247" s="17">
        <f t="shared" si="3"/>
        <v>181878.84</v>
      </c>
    </row>
    <row r="248" spans="2:12" x14ac:dyDescent="0.25">
      <c r="B248" s="7" t="s">
        <v>270</v>
      </c>
      <c r="C248" s="7" t="s">
        <v>11</v>
      </c>
      <c r="D248" s="7" t="s">
        <v>26</v>
      </c>
      <c r="E248" s="7" t="s">
        <v>42</v>
      </c>
      <c r="F248" s="7" t="s">
        <v>24</v>
      </c>
      <c r="G248" s="7" t="s">
        <v>20</v>
      </c>
      <c r="H248" s="1">
        <v>45168</v>
      </c>
      <c r="I248" s="7">
        <v>358</v>
      </c>
      <c r="J248" s="7">
        <v>215.14</v>
      </c>
      <c r="K248" s="7">
        <v>297.45</v>
      </c>
      <c r="L248" s="17">
        <f t="shared" si="3"/>
        <v>77020.12</v>
      </c>
    </row>
    <row r="249" spans="2:12" x14ac:dyDescent="0.25">
      <c r="B249" s="7" t="s">
        <v>271</v>
      </c>
      <c r="C249" s="7" t="s">
        <v>17</v>
      </c>
      <c r="D249" s="7" t="s">
        <v>31</v>
      </c>
      <c r="E249" s="7" t="s">
        <v>13</v>
      </c>
      <c r="F249" s="7" t="s">
        <v>14</v>
      </c>
      <c r="G249" s="7" t="s">
        <v>20</v>
      </c>
      <c r="H249" s="1">
        <v>45169</v>
      </c>
      <c r="I249" s="7">
        <v>457</v>
      </c>
      <c r="J249" s="7">
        <v>48.08</v>
      </c>
      <c r="K249" s="7">
        <v>326.42</v>
      </c>
      <c r="L249" s="17">
        <f t="shared" si="3"/>
        <v>21972.559999999998</v>
      </c>
    </row>
    <row r="250" spans="2:12" x14ac:dyDescent="0.25">
      <c r="B250" s="7" t="s">
        <v>272</v>
      </c>
      <c r="C250" s="7" t="s">
        <v>22</v>
      </c>
      <c r="D250" s="7" t="s">
        <v>18</v>
      </c>
      <c r="E250" s="7" t="s">
        <v>19</v>
      </c>
      <c r="F250" s="7" t="s">
        <v>14</v>
      </c>
      <c r="G250" s="7" t="s">
        <v>28</v>
      </c>
      <c r="H250" s="1">
        <v>45170</v>
      </c>
      <c r="I250" s="7">
        <v>437</v>
      </c>
      <c r="J250" s="7">
        <v>408.8</v>
      </c>
      <c r="K250" s="7">
        <v>246.76</v>
      </c>
      <c r="L250" s="17">
        <f t="shared" si="3"/>
        <v>178645.6</v>
      </c>
    </row>
    <row r="251" spans="2:12" x14ac:dyDescent="0.25">
      <c r="B251" s="7" t="s">
        <v>273</v>
      </c>
      <c r="C251" s="7" t="s">
        <v>11</v>
      </c>
      <c r="D251" s="7" t="s">
        <v>26</v>
      </c>
      <c r="E251" s="7" t="s">
        <v>27</v>
      </c>
      <c r="F251" s="7" t="s">
        <v>14</v>
      </c>
      <c r="G251" s="7" t="s">
        <v>15</v>
      </c>
      <c r="H251" s="1">
        <v>45171</v>
      </c>
      <c r="I251" s="7">
        <v>190</v>
      </c>
      <c r="J251" s="7">
        <v>189.89</v>
      </c>
      <c r="K251" s="7">
        <v>275.77999999999997</v>
      </c>
      <c r="L251" s="17">
        <f t="shared" si="3"/>
        <v>36079.1</v>
      </c>
    </row>
    <row r="252" spans="2:12" x14ac:dyDescent="0.25">
      <c r="B252" s="7" t="s">
        <v>274</v>
      </c>
      <c r="C252" s="7" t="s">
        <v>48</v>
      </c>
      <c r="D252" s="7" t="s">
        <v>50</v>
      </c>
      <c r="E252" s="7" t="s">
        <v>42</v>
      </c>
      <c r="F252" s="7" t="s">
        <v>24</v>
      </c>
      <c r="G252" s="7" t="s">
        <v>28</v>
      </c>
      <c r="H252" s="1">
        <v>45172</v>
      </c>
      <c r="I252" s="7">
        <v>33</v>
      </c>
      <c r="J252" s="7">
        <v>265.62</v>
      </c>
      <c r="K252" s="7">
        <v>151.35</v>
      </c>
      <c r="L252" s="17">
        <f t="shared" si="3"/>
        <v>8765.4600000000009</v>
      </c>
    </row>
    <row r="253" spans="2:12" x14ac:dyDescent="0.25">
      <c r="B253" s="7" t="s">
        <v>275</v>
      </c>
      <c r="C253" s="7" t="s">
        <v>22</v>
      </c>
      <c r="D253" s="7" t="s">
        <v>26</v>
      </c>
      <c r="E253" s="7" t="s">
        <v>42</v>
      </c>
      <c r="F253" s="7" t="s">
        <v>14</v>
      </c>
      <c r="G253" s="7" t="s">
        <v>15</v>
      </c>
      <c r="H253" s="1">
        <v>45173</v>
      </c>
      <c r="I253" s="7">
        <v>325</v>
      </c>
      <c r="J253" s="7">
        <v>60.59</v>
      </c>
      <c r="K253" s="7">
        <v>216.4</v>
      </c>
      <c r="L253" s="17">
        <f t="shared" si="3"/>
        <v>19691.75</v>
      </c>
    </row>
    <row r="254" spans="2:12" x14ac:dyDescent="0.25">
      <c r="B254" s="7" t="s">
        <v>276</v>
      </c>
      <c r="C254" s="7" t="s">
        <v>22</v>
      </c>
      <c r="D254" s="7" t="s">
        <v>26</v>
      </c>
      <c r="E254" s="7" t="s">
        <v>27</v>
      </c>
      <c r="F254" s="7" t="s">
        <v>24</v>
      </c>
      <c r="G254" s="7" t="s">
        <v>15</v>
      </c>
      <c r="H254" s="1">
        <v>45174</v>
      </c>
      <c r="I254" s="7">
        <v>387</v>
      </c>
      <c r="J254" s="7">
        <v>6.28</v>
      </c>
      <c r="K254" s="7">
        <v>210.62</v>
      </c>
      <c r="L254" s="17">
        <f t="shared" si="3"/>
        <v>2430.36</v>
      </c>
    </row>
    <row r="255" spans="2:12" x14ac:dyDescent="0.25">
      <c r="B255" s="7" t="s">
        <v>277</v>
      </c>
      <c r="C255" s="7" t="s">
        <v>22</v>
      </c>
      <c r="D255" s="7" t="s">
        <v>26</v>
      </c>
      <c r="E255" s="7" t="s">
        <v>19</v>
      </c>
      <c r="F255" s="7" t="s">
        <v>14</v>
      </c>
      <c r="G255" s="7" t="s">
        <v>28</v>
      </c>
      <c r="H255" s="1">
        <v>45175</v>
      </c>
      <c r="I255" s="7">
        <v>396</v>
      </c>
      <c r="J255" s="7">
        <v>320.8</v>
      </c>
      <c r="K255" s="7">
        <v>339.52</v>
      </c>
      <c r="L255" s="17">
        <f t="shared" si="3"/>
        <v>127036.8</v>
      </c>
    </row>
    <row r="256" spans="2:12" x14ac:dyDescent="0.25">
      <c r="B256" s="7" t="s">
        <v>278</v>
      </c>
      <c r="C256" s="7" t="s">
        <v>11</v>
      </c>
      <c r="D256" s="7" t="s">
        <v>26</v>
      </c>
      <c r="E256" s="7" t="s">
        <v>42</v>
      </c>
      <c r="F256" s="7" t="s">
        <v>14</v>
      </c>
      <c r="G256" s="7" t="s">
        <v>15</v>
      </c>
      <c r="H256" s="1">
        <v>45176</v>
      </c>
      <c r="I256" s="7">
        <v>413</v>
      </c>
      <c r="J256" s="7">
        <v>260.01</v>
      </c>
      <c r="K256" s="7">
        <v>336.31</v>
      </c>
      <c r="L256" s="17">
        <f t="shared" si="3"/>
        <v>107384.12999999999</v>
      </c>
    </row>
    <row r="257" spans="2:12" x14ac:dyDescent="0.25">
      <c r="B257" s="7" t="s">
        <v>279</v>
      </c>
      <c r="C257" s="7" t="s">
        <v>48</v>
      </c>
      <c r="D257" s="7" t="s">
        <v>31</v>
      </c>
      <c r="E257" s="7" t="s">
        <v>42</v>
      </c>
      <c r="F257" s="7" t="s">
        <v>14</v>
      </c>
      <c r="G257" s="7" t="s">
        <v>15</v>
      </c>
      <c r="H257" s="1">
        <v>45177</v>
      </c>
      <c r="I257" s="7">
        <v>255.9</v>
      </c>
      <c r="J257" s="7">
        <v>298.8</v>
      </c>
      <c r="K257" s="7">
        <v>333.41</v>
      </c>
      <c r="L257" s="17">
        <f t="shared" si="3"/>
        <v>76462.92</v>
      </c>
    </row>
    <row r="258" spans="2:12" x14ac:dyDescent="0.25">
      <c r="B258" s="7" t="s">
        <v>280</v>
      </c>
      <c r="C258" s="7" t="s">
        <v>22</v>
      </c>
      <c r="D258" s="7" t="s">
        <v>18</v>
      </c>
      <c r="E258" s="7" t="s">
        <v>13</v>
      </c>
      <c r="F258" s="7" t="s">
        <v>24</v>
      </c>
      <c r="G258" s="7" t="s">
        <v>20</v>
      </c>
      <c r="H258" s="1">
        <v>45178</v>
      </c>
      <c r="I258" s="7">
        <v>24</v>
      </c>
      <c r="J258" s="7">
        <v>397.9</v>
      </c>
      <c r="K258" s="7">
        <v>6.39</v>
      </c>
      <c r="L258" s="17">
        <f t="shared" si="3"/>
        <v>9549.5999999999985</v>
      </c>
    </row>
    <row r="259" spans="2:12" x14ac:dyDescent="0.25">
      <c r="B259" s="7" t="s">
        <v>281</v>
      </c>
      <c r="C259" s="7" t="s">
        <v>17</v>
      </c>
      <c r="D259" s="7" t="s">
        <v>12</v>
      </c>
      <c r="E259" s="7" t="s">
        <v>13</v>
      </c>
      <c r="F259" s="7" t="s">
        <v>14</v>
      </c>
      <c r="G259" s="7" t="s">
        <v>15</v>
      </c>
      <c r="H259" s="1">
        <v>45179</v>
      </c>
      <c r="I259" s="7">
        <v>162</v>
      </c>
      <c r="J259" s="7">
        <v>325.07</v>
      </c>
      <c r="K259" s="7">
        <v>300.32</v>
      </c>
      <c r="L259" s="17">
        <f t="shared" si="3"/>
        <v>52661.34</v>
      </c>
    </row>
    <row r="260" spans="2:12" x14ac:dyDescent="0.25">
      <c r="B260" s="7" t="s">
        <v>282</v>
      </c>
      <c r="C260" s="7" t="s">
        <v>22</v>
      </c>
      <c r="D260" s="7" t="s">
        <v>26</v>
      </c>
      <c r="E260" s="7" t="s">
        <v>42</v>
      </c>
      <c r="F260" s="7" t="s">
        <v>24</v>
      </c>
      <c r="G260" s="7" t="s">
        <v>28</v>
      </c>
      <c r="H260" s="1">
        <v>45180</v>
      </c>
      <c r="I260" s="7">
        <v>231</v>
      </c>
      <c r="J260" s="7">
        <v>91.51</v>
      </c>
      <c r="K260" s="7">
        <v>303.95</v>
      </c>
      <c r="L260" s="17">
        <f t="shared" si="3"/>
        <v>21138.81</v>
      </c>
    </row>
    <row r="261" spans="2:12" x14ac:dyDescent="0.25">
      <c r="B261" s="7" t="s">
        <v>283</v>
      </c>
      <c r="C261" s="7" t="s">
        <v>22</v>
      </c>
      <c r="D261" s="7" t="s">
        <v>50</v>
      </c>
      <c r="E261" s="7" t="s">
        <v>19</v>
      </c>
      <c r="F261" s="7" t="s">
        <v>24</v>
      </c>
      <c r="G261" s="7" t="s">
        <v>28</v>
      </c>
      <c r="H261" s="1">
        <v>45181</v>
      </c>
      <c r="I261" s="7">
        <v>215</v>
      </c>
      <c r="J261" s="7">
        <v>183.58</v>
      </c>
      <c r="K261" s="7">
        <v>271.99</v>
      </c>
      <c r="L261" s="17">
        <f t="shared" si="3"/>
        <v>39469.700000000004</v>
      </c>
    </row>
    <row r="262" spans="2:12" x14ac:dyDescent="0.25">
      <c r="B262" s="7" t="s">
        <v>284</v>
      </c>
      <c r="C262" s="7" t="s">
        <v>11</v>
      </c>
      <c r="D262" s="7" t="s">
        <v>26</v>
      </c>
      <c r="E262" s="7" t="s">
        <v>27</v>
      </c>
      <c r="F262" s="7" t="s">
        <v>24</v>
      </c>
      <c r="G262" s="7" t="s">
        <v>15</v>
      </c>
      <c r="H262" s="1">
        <v>45182</v>
      </c>
      <c r="I262" s="7">
        <v>464</v>
      </c>
      <c r="J262" s="7">
        <v>453.42</v>
      </c>
      <c r="K262" s="7">
        <v>302.99</v>
      </c>
      <c r="L262" s="17">
        <f t="shared" si="3"/>
        <v>210386.88</v>
      </c>
    </row>
    <row r="263" spans="2:12" x14ac:dyDescent="0.25">
      <c r="B263" s="7" t="s">
        <v>285</v>
      </c>
      <c r="C263" s="7" t="s">
        <v>11</v>
      </c>
      <c r="D263" s="7" t="s">
        <v>50</v>
      </c>
      <c r="E263" s="7" t="s">
        <v>23</v>
      </c>
      <c r="F263" s="7" t="s">
        <v>14</v>
      </c>
      <c r="G263" s="7" t="s">
        <v>20</v>
      </c>
      <c r="H263" s="1">
        <v>45183</v>
      </c>
      <c r="I263" s="7">
        <v>282</v>
      </c>
      <c r="J263" s="7">
        <v>249.64</v>
      </c>
      <c r="K263" s="7">
        <v>337.1</v>
      </c>
      <c r="L263" s="17">
        <f t="shared" si="3"/>
        <v>70398.48</v>
      </c>
    </row>
    <row r="264" spans="2:12" x14ac:dyDescent="0.25">
      <c r="B264" s="7" t="s">
        <v>286</v>
      </c>
      <c r="C264" s="7" t="s">
        <v>48</v>
      </c>
      <c r="D264" s="7" t="s">
        <v>31</v>
      </c>
      <c r="E264" s="7" t="s">
        <v>42</v>
      </c>
      <c r="F264" s="7" t="s">
        <v>14</v>
      </c>
      <c r="G264" s="7" t="s">
        <v>20</v>
      </c>
      <c r="H264" s="1">
        <v>45184</v>
      </c>
      <c r="I264" s="7">
        <v>391</v>
      </c>
      <c r="J264" s="7">
        <v>280.54000000000002</v>
      </c>
      <c r="K264" s="7">
        <v>189.19</v>
      </c>
      <c r="L264" s="17">
        <f t="shared" ref="L264:L327" si="4">$I264*$J264</f>
        <v>109691.14000000001</v>
      </c>
    </row>
    <row r="265" spans="2:12" x14ac:dyDescent="0.25">
      <c r="B265" s="7" t="s">
        <v>287</v>
      </c>
      <c r="C265" s="7" t="s">
        <v>17</v>
      </c>
      <c r="D265" s="7" t="s">
        <v>50</v>
      </c>
      <c r="E265" s="7" t="s">
        <v>13</v>
      </c>
      <c r="F265" s="7" t="s">
        <v>14</v>
      </c>
      <c r="G265" s="7" t="s">
        <v>15</v>
      </c>
      <c r="H265" s="1">
        <v>45185</v>
      </c>
      <c r="I265" s="7">
        <v>245</v>
      </c>
      <c r="J265" s="7">
        <v>131.54</v>
      </c>
      <c r="K265" s="7">
        <v>201.82</v>
      </c>
      <c r="L265" s="17">
        <f t="shared" si="4"/>
        <v>32227.3</v>
      </c>
    </row>
    <row r="266" spans="2:12" x14ac:dyDescent="0.25">
      <c r="B266" s="7" t="s">
        <v>288</v>
      </c>
      <c r="C266" s="7" t="s">
        <v>11</v>
      </c>
      <c r="D266" s="7" t="s">
        <v>12</v>
      </c>
      <c r="E266" s="7" t="s">
        <v>27</v>
      </c>
      <c r="F266" s="7" t="s">
        <v>14</v>
      </c>
      <c r="G266" s="7" t="s">
        <v>15</v>
      </c>
      <c r="H266" s="1">
        <v>45186</v>
      </c>
      <c r="I266" s="7">
        <v>349</v>
      </c>
      <c r="J266" s="7">
        <v>154.52000000000001</v>
      </c>
      <c r="K266" s="7">
        <v>51.64</v>
      </c>
      <c r="L266" s="17">
        <f t="shared" si="4"/>
        <v>53927.48</v>
      </c>
    </row>
    <row r="267" spans="2:12" x14ac:dyDescent="0.25">
      <c r="B267" s="7" t="s">
        <v>289</v>
      </c>
      <c r="C267" s="7" t="s">
        <v>22</v>
      </c>
      <c r="D267" s="7" t="s">
        <v>18</v>
      </c>
      <c r="E267" s="7" t="s">
        <v>19</v>
      </c>
      <c r="F267" s="7" t="s">
        <v>24</v>
      </c>
      <c r="G267" s="7" t="s">
        <v>28</v>
      </c>
      <c r="H267" s="1">
        <v>45187</v>
      </c>
      <c r="I267" s="7">
        <v>237</v>
      </c>
      <c r="J267" s="7">
        <v>249.64</v>
      </c>
      <c r="K267" s="7">
        <v>155.38</v>
      </c>
      <c r="L267" s="17">
        <f t="shared" si="4"/>
        <v>59164.68</v>
      </c>
    </row>
    <row r="268" spans="2:12" x14ac:dyDescent="0.25">
      <c r="B268" s="7" t="s">
        <v>290</v>
      </c>
      <c r="C268" s="7" t="s">
        <v>48</v>
      </c>
      <c r="D268" s="7" t="s">
        <v>50</v>
      </c>
      <c r="E268" s="7" t="s">
        <v>27</v>
      </c>
      <c r="F268" s="7" t="s">
        <v>24</v>
      </c>
      <c r="G268" s="7" t="s">
        <v>15</v>
      </c>
      <c r="H268" s="1">
        <v>45188</v>
      </c>
      <c r="I268" s="7">
        <v>18</v>
      </c>
      <c r="J268" s="7">
        <v>426.33</v>
      </c>
      <c r="K268" s="7">
        <v>258.06</v>
      </c>
      <c r="L268" s="17">
        <f t="shared" si="4"/>
        <v>7673.94</v>
      </c>
    </row>
    <row r="269" spans="2:12" x14ac:dyDescent="0.25">
      <c r="B269" s="7" t="s">
        <v>291</v>
      </c>
      <c r="C269" s="7" t="s">
        <v>22</v>
      </c>
      <c r="D269" s="7" t="s">
        <v>50</v>
      </c>
      <c r="E269" s="7" t="s">
        <v>42</v>
      </c>
      <c r="F269" s="7" t="s">
        <v>24</v>
      </c>
      <c r="G269" s="7" t="s">
        <v>20</v>
      </c>
      <c r="H269" s="1">
        <v>45189</v>
      </c>
      <c r="I269" s="7">
        <v>175</v>
      </c>
      <c r="J269" s="7">
        <v>337.36</v>
      </c>
      <c r="K269" s="7">
        <v>312.60000000000002</v>
      </c>
      <c r="L269" s="17">
        <f t="shared" si="4"/>
        <v>59038</v>
      </c>
    </row>
    <row r="270" spans="2:12" x14ac:dyDescent="0.25">
      <c r="B270" s="7" t="s">
        <v>292</v>
      </c>
      <c r="C270" s="7" t="s">
        <v>22</v>
      </c>
      <c r="D270" s="7" t="s">
        <v>18</v>
      </c>
      <c r="E270" s="7" t="s">
        <v>42</v>
      </c>
      <c r="F270" s="7" t="s">
        <v>14</v>
      </c>
      <c r="G270" s="7" t="s">
        <v>15</v>
      </c>
      <c r="H270" s="1">
        <v>45190</v>
      </c>
      <c r="I270" s="7">
        <v>441</v>
      </c>
      <c r="J270" s="7">
        <v>405.72</v>
      </c>
      <c r="K270" s="7">
        <v>88.45</v>
      </c>
      <c r="L270" s="17">
        <f t="shared" si="4"/>
        <v>178922.52000000002</v>
      </c>
    </row>
    <row r="271" spans="2:12" x14ac:dyDescent="0.25">
      <c r="B271" s="7" t="s">
        <v>293</v>
      </c>
      <c r="C271" s="7" t="s">
        <v>11</v>
      </c>
      <c r="D271" s="7" t="s">
        <v>12</v>
      </c>
      <c r="E271" s="7" t="s">
        <v>23</v>
      </c>
      <c r="F271" s="7" t="s">
        <v>24</v>
      </c>
      <c r="G271" s="7" t="s">
        <v>28</v>
      </c>
      <c r="H271" s="1">
        <v>45191</v>
      </c>
      <c r="I271" s="7">
        <v>453</v>
      </c>
      <c r="J271" s="7">
        <v>384.49</v>
      </c>
      <c r="K271" s="7">
        <v>56.85</v>
      </c>
      <c r="L271" s="17">
        <f t="shared" si="4"/>
        <v>174173.97</v>
      </c>
    </row>
    <row r="272" spans="2:12" x14ac:dyDescent="0.25">
      <c r="B272" s="7" t="s">
        <v>294</v>
      </c>
      <c r="C272" s="7" t="s">
        <v>48</v>
      </c>
      <c r="D272" s="7" t="s">
        <v>26</v>
      </c>
      <c r="E272" s="7" t="s">
        <v>27</v>
      </c>
      <c r="F272" s="7" t="s">
        <v>14</v>
      </c>
      <c r="G272" s="7" t="s">
        <v>28</v>
      </c>
      <c r="H272" s="1">
        <v>45192</v>
      </c>
      <c r="I272" s="7">
        <v>328</v>
      </c>
      <c r="J272" s="7">
        <v>79.099999999999994</v>
      </c>
      <c r="K272" s="7">
        <v>265.89</v>
      </c>
      <c r="L272" s="17">
        <f t="shared" si="4"/>
        <v>25944.799999999999</v>
      </c>
    </row>
    <row r="273" spans="2:12" x14ac:dyDescent="0.25">
      <c r="B273" s="7" t="s">
        <v>295</v>
      </c>
      <c r="C273" s="7" t="s">
        <v>17</v>
      </c>
      <c r="D273" s="7" t="s">
        <v>50</v>
      </c>
      <c r="E273" s="7" t="s">
        <v>42</v>
      </c>
      <c r="F273" s="7" t="s">
        <v>24</v>
      </c>
      <c r="G273" s="7" t="s">
        <v>28</v>
      </c>
      <c r="H273" s="1">
        <v>45193</v>
      </c>
      <c r="I273" s="7">
        <v>223</v>
      </c>
      <c r="J273" s="7">
        <v>214.85</v>
      </c>
      <c r="K273" s="7">
        <v>2.75</v>
      </c>
      <c r="L273" s="17">
        <f t="shared" si="4"/>
        <v>47911.549999999996</v>
      </c>
    </row>
    <row r="274" spans="2:12" x14ac:dyDescent="0.25">
      <c r="B274" s="7" t="s">
        <v>296</v>
      </c>
      <c r="C274" s="7" t="s">
        <v>17</v>
      </c>
      <c r="D274" s="7" t="s">
        <v>18</v>
      </c>
      <c r="E274" s="7" t="s">
        <v>13</v>
      </c>
      <c r="F274" s="7" t="s">
        <v>14</v>
      </c>
      <c r="G274" s="7" t="s">
        <v>28</v>
      </c>
      <c r="H274" s="1">
        <v>45194</v>
      </c>
      <c r="I274" s="7">
        <v>126</v>
      </c>
      <c r="J274" s="7">
        <v>80.73</v>
      </c>
      <c r="K274" s="7">
        <v>72.989999999999995</v>
      </c>
      <c r="L274" s="17">
        <f t="shared" si="4"/>
        <v>10171.980000000001</v>
      </c>
    </row>
    <row r="275" spans="2:12" x14ac:dyDescent="0.25">
      <c r="B275" s="7" t="s">
        <v>297</v>
      </c>
      <c r="C275" s="7" t="s">
        <v>11</v>
      </c>
      <c r="D275" s="7" t="s">
        <v>31</v>
      </c>
      <c r="E275" s="7" t="s">
        <v>19</v>
      </c>
      <c r="F275" s="7" t="s">
        <v>14</v>
      </c>
      <c r="G275" s="7" t="s">
        <v>28</v>
      </c>
      <c r="H275" s="1">
        <v>45195</v>
      </c>
      <c r="I275" s="7">
        <v>395</v>
      </c>
      <c r="J275" s="7">
        <v>121.44</v>
      </c>
      <c r="K275" s="7">
        <v>13.57</v>
      </c>
      <c r="L275" s="17">
        <f t="shared" si="4"/>
        <v>47968.799999999996</v>
      </c>
    </row>
    <row r="276" spans="2:12" x14ac:dyDescent="0.25">
      <c r="B276" s="7" t="s">
        <v>298</v>
      </c>
      <c r="C276" s="7" t="s">
        <v>11</v>
      </c>
      <c r="D276" s="7" t="s">
        <v>18</v>
      </c>
      <c r="E276" s="7" t="s">
        <v>27</v>
      </c>
      <c r="F276" s="7" t="s">
        <v>24</v>
      </c>
      <c r="G276" s="7" t="s">
        <v>15</v>
      </c>
      <c r="H276" s="1">
        <v>45196</v>
      </c>
      <c r="I276" s="7">
        <v>353</v>
      </c>
      <c r="J276" s="7">
        <v>435.28</v>
      </c>
      <c r="K276" s="7">
        <v>68.42</v>
      </c>
      <c r="L276" s="17">
        <f t="shared" si="4"/>
        <v>153653.84</v>
      </c>
    </row>
    <row r="277" spans="2:12" x14ac:dyDescent="0.25">
      <c r="B277" s="7" t="s">
        <v>299</v>
      </c>
      <c r="C277" s="7" t="s">
        <v>48</v>
      </c>
      <c r="D277" s="7" t="s">
        <v>31</v>
      </c>
      <c r="E277" s="7" t="s">
        <v>27</v>
      </c>
      <c r="F277" s="7" t="s">
        <v>24</v>
      </c>
      <c r="G277" s="7" t="s">
        <v>15</v>
      </c>
      <c r="H277" s="1">
        <v>45197</v>
      </c>
      <c r="I277" s="7">
        <v>81</v>
      </c>
      <c r="J277" s="7">
        <v>239.08</v>
      </c>
      <c r="K277" s="7">
        <v>74.17</v>
      </c>
      <c r="L277" s="17">
        <f t="shared" si="4"/>
        <v>19365.48</v>
      </c>
    </row>
    <row r="278" spans="2:12" x14ac:dyDescent="0.25">
      <c r="B278" s="7" t="s">
        <v>300</v>
      </c>
      <c r="C278" s="7" t="s">
        <v>17</v>
      </c>
      <c r="D278" s="7" t="s">
        <v>12</v>
      </c>
      <c r="E278" s="7" t="s">
        <v>23</v>
      </c>
      <c r="F278" s="7" t="s">
        <v>24</v>
      </c>
      <c r="G278" s="7" t="s">
        <v>15</v>
      </c>
      <c r="H278" s="1">
        <v>45198</v>
      </c>
      <c r="I278" s="7">
        <v>404</v>
      </c>
      <c r="J278" s="7">
        <v>270</v>
      </c>
      <c r="K278" s="7">
        <v>156.29</v>
      </c>
      <c r="L278" s="17">
        <f t="shared" si="4"/>
        <v>109080</v>
      </c>
    </row>
    <row r="279" spans="2:12" x14ac:dyDescent="0.25">
      <c r="B279" s="7" t="s">
        <v>301</v>
      </c>
      <c r="C279" s="7" t="s">
        <v>17</v>
      </c>
      <c r="D279" s="7" t="s">
        <v>26</v>
      </c>
      <c r="E279" s="7" t="s">
        <v>23</v>
      </c>
      <c r="F279" s="7" t="s">
        <v>24</v>
      </c>
      <c r="G279" s="7" t="s">
        <v>15</v>
      </c>
      <c r="H279" s="1">
        <v>45199</v>
      </c>
      <c r="I279" s="7">
        <v>73</v>
      </c>
      <c r="J279" s="7">
        <v>93.33</v>
      </c>
      <c r="K279" s="7">
        <v>162.13</v>
      </c>
      <c r="L279" s="17">
        <f t="shared" si="4"/>
        <v>6813.09</v>
      </c>
    </row>
    <row r="280" spans="2:12" x14ac:dyDescent="0.25">
      <c r="B280" s="7" t="s">
        <v>302</v>
      </c>
      <c r="C280" s="7" t="s">
        <v>17</v>
      </c>
      <c r="D280" s="7" t="s">
        <v>18</v>
      </c>
      <c r="E280" s="7" t="s">
        <v>13</v>
      </c>
      <c r="F280" s="7" t="s">
        <v>14</v>
      </c>
      <c r="G280" s="7" t="s">
        <v>28</v>
      </c>
      <c r="H280" s="1">
        <v>45200</v>
      </c>
      <c r="I280" s="7">
        <v>214</v>
      </c>
      <c r="J280" s="7">
        <v>159.57</v>
      </c>
      <c r="K280" s="7">
        <v>349.96</v>
      </c>
      <c r="L280" s="17">
        <f t="shared" si="4"/>
        <v>34147.979999999996</v>
      </c>
    </row>
    <row r="281" spans="2:12" x14ac:dyDescent="0.25">
      <c r="B281" s="7" t="s">
        <v>303</v>
      </c>
      <c r="C281" s="7" t="s">
        <v>22</v>
      </c>
      <c r="D281" s="7" t="s">
        <v>50</v>
      </c>
      <c r="E281" s="7" t="s">
        <v>13</v>
      </c>
      <c r="F281" s="7" t="s">
        <v>24</v>
      </c>
      <c r="G281" s="7" t="s">
        <v>20</v>
      </c>
      <c r="H281" s="1">
        <v>45201</v>
      </c>
      <c r="I281" s="7">
        <v>218</v>
      </c>
      <c r="J281" s="7">
        <v>118.97</v>
      </c>
      <c r="K281" s="7">
        <v>205.02</v>
      </c>
      <c r="L281" s="17">
        <f t="shared" si="4"/>
        <v>25935.46</v>
      </c>
    </row>
    <row r="282" spans="2:12" x14ac:dyDescent="0.25">
      <c r="B282" s="7" t="s">
        <v>304</v>
      </c>
      <c r="C282" s="7" t="s">
        <v>17</v>
      </c>
      <c r="D282" s="7" t="s">
        <v>12</v>
      </c>
      <c r="E282" s="7" t="s">
        <v>42</v>
      </c>
      <c r="F282" s="7" t="s">
        <v>24</v>
      </c>
      <c r="G282" s="7" t="s">
        <v>15</v>
      </c>
      <c r="H282" s="1">
        <v>45202</v>
      </c>
      <c r="I282" s="7">
        <v>81</v>
      </c>
      <c r="J282" s="7">
        <v>107.06</v>
      </c>
      <c r="K282" s="7">
        <v>289.92</v>
      </c>
      <c r="L282" s="17">
        <f t="shared" si="4"/>
        <v>8671.86</v>
      </c>
    </row>
    <row r="283" spans="2:12" x14ac:dyDescent="0.25">
      <c r="B283" s="7" t="s">
        <v>305</v>
      </c>
      <c r="C283" s="7" t="s">
        <v>22</v>
      </c>
      <c r="D283" s="7" t="s">
        <v>18</v>
      </c>
      <c r="E283" s="7" t="s">
        <v>42</v>
      </c>
      <c r="F283" s="7" t="s">
        <v>24</v>
      </c>
      <c r="G283" s="7" t="s">
        <v>20</v>
      </c>
      <c r="H283" s="1">
        <v>45203</v>
      </c>
      <c r="I283" s="7">
        <v>286</v>
      </c>
      <c r="J283" s="7">
        <v>320.79000000000002</v>
      </c>
      <c r="K283" s="7">
        <v>43.45</v>
      </c>
      <c r="L283" s="17">
        <f t="shared" si="4"/>
        <v>91745.94</v>
      </c>
    </row>
    <row r="284" spans="2:12" x14ac:dyDescent="0.25">
      <c r="B284" s="7" t="s">
        <v>306</v>
      </c>
      <c r="C284" s="7" t="s">
        <v>48</v>
      </c>
      <c r="D284" s="7" t="s">
        <v>50</v>
      </c>
      <c r="E284" s="7" t="s">
        <v>13</v>
      </c>
      <c r="F284" s="7" t="s">
        <v>14</v>
      </c>
      <c r="G284" s="7" t="s">
        <v>15</v>
      </c>
      <c r="H284" s="1">
        <v>45204</v>
      </c>
      <c r="I284" s="7">
        <v>283</v>
      </c>
      <c r="J284" s="7">
        <v>132.16</v>
      </c>
      <c r="K284" s="7">
        <v>91.72</v>
      </c>
      <c r="L284" s="17">
        <f t="shared" si="4"/>
        <v>37401.279999999999</v>
      </c>
    </row>
    <row r="285" spans="2:12" x14ac:dyDescent="0.25">
      <c r="B285" s="7" t="s">
        <v>307</v>
      </c>
      <c r="C285" s="7" t="s">
        <v>22</v>
      </c>
      <c r="D285" s="7" t="s">
        <v>18</v>
      </c>
      <c r="E285" s="7" t="s">
        <v>13</v>
      </c>
      <c r="F285" s="7" t="s">
        <v>14</v>
      </c>
      <c r="G285" s="7" t="s">
        <v>15</v>
      </c>
      <c r="H285" s="1">
        <v>45205</v>
      </c>
      <c r="I285" s="7">
        <v>487</v>
      </c>
      <c r="J285" s="7">
        <v>317.85000000000002</v>
      </c>
      <c r="K285" s="7">
        <v>281.77</v>
      </c>
      <c r="L285" s="17">
        <f t="shared" si="4"/>
        <v>154792.95000000001</v>
      </c>
    </row>
    <row r="286" spans="2:12" x14ac:dyDescent="0.25">
      <c r="B286" s="7" t="s">
        <v>308</v>
      </c>
      <c r="C286" s="7" t="s">
        <v>48</v>
      </c>
      <c r="D286" s="7" t="s">
        <v>31</v>
      </c>
      <c r="E286" s="7" t="s">
        <v>19</v>
      </c>
      <c r="F286" s="7" t="s">
        <v>24</v>
      </c>
      <c r="G286" s="7" t="s">
        <v>20</v>
      </c>
      <c r="H286" s="1">
        <v>45206</v>
      </c>
      <c r="I286" s="7">
        <v>329</v>
      </c>
      <c r="J286" s="7">
        <v>33.94</v>
      </c>
      <c r="K286" s="7">
        <v>23.02</v>
      </c>
      <c r="L286" s="17">
        <f t="shared" si="4"/>
        <v>11166.259999999998</v>
      </c>
    </row>
    <row r="287" spans="2:12" x14ac:dyDescent="0.25">
      <c r="B287" s="7" t="s">
        <v>309</v>
      </c>
      <c r="C287" s="7" t="s">
        <v>17</v>
      </c>
      <c r="D287" s="7" t="s">
        <v>18</v>
      </c>
      <c r="E287" s="7" t="s">
        <v>23</v>
      </c>
      <c r="F287" s="7" t="s">
        <v>14</v>
      </c>
      <c r="G287" s="7" t="s">
        <v>28</v>
      </c>
      <c r="H287" s="1">
        <v>45207</v>
      </c>
      <c r="I287" s="7">
        <v>347</v>
      </c>
      <c r="J287" s="7">
        <v>75.180000000000007</v>
      </c>
      <c r="K287" s="7">
        <v>195.67</v>
      </c>
      <c r="L287" s="17">
        <f t="shared" si="4"/>
        <v>26087.460000000003</v>
      </c>
    </row>
    <row r="288" spans="2:12" x14ac:dyDescent="0.25">
      <c r="B288" s="7" t="s">
        <v>310</v>
      </c>
      <c r="C288" s="7" t="s">
        <v>17</v>
      </c>
      <c r="D288" s="7" t="s">
        <v>18</v>
      </c>
      <c r="E288" s="7" t="s">
        <v>42</v>
      </c>
      <c r="F288" s="7" t="s">
        <v>24</v>
      </c>
      <c r="G288" s="7" t="s">
        <v>15</v>
      </c>
      <c r="H288" s="1">
        <v>45208</v>
      </c>
      <c r="I288" s="7">
        <v>375</v>
      </c>
      <c r="J288" s="7">
        <v>140.9</v>
      </c>
      <c r="K288" s="7">
        <v>240.55</v>
      </c>
      <c r="L288" s="17">
        <f t="shared" si="4"/>
        <v>52837.5</v>
      </c>
    </row>
    <row r="289" spans="2:12" x14ac:dyDescent="0.25">
      <c r="B289" s="7" t="s">
        <v>311</v>
      </c>
      <c r="C289" s="7" t="s">
        <v>48</v>
      </c>
      <c r="D289" s="7" t="s">
        <v>18</v>
      </c>
      <c r="E289" s="7" t="s">
        <v>23</v>
      </c>
      <c r="F289" s="7" t="s">
        <v>14</v>
      </c>
      <c r="G289" s="7" t="s">
        <v>15</v>
      </c>
      <c r="H289" s="1">
        <v>45209</v>
      </c>
      <c r="I289" s="7">
        <v>104</v>
      </c>
      <c r="J289" s="7">
        <v>300.54000000000002</v>
      </c>
      <c r="K289" s="7">
        <v>241.65</v>
      </c>
      <c r="L289" s="17">
        <f t="shared" si="4"/>
        <v>31256.160000000003</v>
      </c>
    </row>
    <row r="290" spans="2:12" x14ac:dyDescent="0.25">
      <c r="B290" s="7" t="s">
        <v>312</v>
      </c>
      <c r="C290" s="7" t="s">
        <v>11</v>
      </c>
      <c r="D290" s="7" t="s">
        <v>12</v>
      </c>
      <c r="E290" s="7" t="s">
        <v>23</v>
      </c>
      <c r="F290" s="7" t="s">
        <v>14</v>
      </c>
      <c r="G290" s="7" t="s">
        <v>15</v>
      </c>
      <c r="H290" s="1">
        <v>45210</v>
      </c>
      <c r="I290" s="7">
        <v>175</v>
      </c>
      <c r="J290" s="7">
        <v>339.54</v>
      </c>
      <c r="K290" s="7">
        <v>11.13</v>
      </c>
      <c r="L290" s="17">
        <f t="shared" si="4"/>
        <v>59419.5</v>
      </c>
    </row>
    <row r="291" spans="2:12" x14ac:dyDescent="0.25">
      <c r="B291" s="7" t="s">
        <v>313</v>
      </c>
      <c r="C291" s="7" t="s">
        <v>48</v>
      </c>
      <c r="D291" s="7" t="s">
        <v>18</v>
      </c>
      <c r="E291" s="7" t="s">
        <v>13</v>
      </c>
      <c r="F291" s="7" t="s">
        <v>14</v>
      </c>
      <c r="G291" s="7" t="s">
        <v>20</v>
      </c>
      <c r="H291" s="1">
        <v>45211</v>
      </c>
      <c r="I291" s="7">
        <v>41</v>
      </c>
      <c r="J291" s="7">
        <v>224.14</v>
      </c>
      <c r="K291" s="7">
        <v>130.19999999999999</v>
      </c>
      <c r="L291" s="17">
        <f t="shared" si="4"/>
        <v>9189.74</v>
      </c>
    </row>
    <row r="292" spans="2:12" x14ac:dyDescent="0.25">
      <c r="B292" s="7" t="s">
        <v>314</v>
      </c>
      <c r="C292" s="7" t="s">
        <v>11</v>
      </c>
      <c r="D292" s="7" t="s">
        <v>50</v>
      </c>
      <c r="E292" s="7" t="s">
        <v>19</v>
      </c>
      <c r="F292" s="7" t="s">
        <v>14</v>
      </c>
      <c r="G292" s="7" t="s">
        <v>28</v>
      </c>
      <c r="H292" s="1">
        <v>45212</v>
      </c>
      <c r="I292" s="7">
        <v>20</v>
      </c>
      <c r="J292" s="7">
        <v>225.67</v>
      </c>
      <c r="K292" s="7">
        <v>255.32</v>
      </c>
      <c r="L292" s="17">
        <f t="shared" si="4"/>
        <v>4513.3999999999996</v>
      </c>
    </row>
    <row r="293" spans="2:12" x14ac:dyDescent="0.25">
      <c r="B293" s="7" t="s">
        <v>315</v>
      </c>
      <c r="C293" s="7" t="s">
        <v>22</v>
      </c>
      <c r="D293" s="7" t="s">
        <v>31</v>
      </c>
      <c r="E293" s="7" t="s">
        <v>27</v>
      </c>
      <c r="F293" s="7" t="s">
        <v>24</v>
      </c>
      <c r="G293" s="7" t="s">
        <v>20</v>
      </c>
      <c r="H293" s="1">
        <v>45213</v>
      </c>
      <c r="I293" s="7">
        <v>310</v>
      </c>
      <c r="J293" s="7">
        <v>363.64</v>
      </c>
      <c r="K293" s="7">
        <v>61.3</v>
      </c>
      <c r="L293" s="17">
        <f t="shared" si="4"/>
        <v>112728.4</v>
      </c>
    </row>
    <row r="294" spans="2:12" x14ac:dyDescent="0.25">
      <c r="B294" s="7" t="s">
        <v>316</v>
      </c>
      <c r="C294" s="7" t="s">
        <v>22</v>
      </c>
      <c r="D294" s="7" t="s">
        <v>31</v>
      </c>
      <c r="E294" s="7" t="s">
        <v>19</v>
      </c>
      <c r="F294" s="7" t="s">
        <v>24</v>
      </c>
      <c r="G294" s="7" t="s">
        <v>20</v>
      </c>
      <c r="H294" s="1">
        <v>45214</v>
      </c>
      <c r="I294" s="7">
        <v>226</v>
      </c>
      <c r="J294" s="7">
        <v>249.64</v>
      </c>
      <c r="K294" s="7">
        <v>278.77999999999997</v>
      </c>
      <c r="L294" s="17">
        <f t="shared" si="4"/>
        <v>56418.64</v>
      </c>
    </row>
    <row r="295" spans="2:12" x14ac:dyDescent="0.25">
      <c r="B295" s="7" t="s">
        <v>317</v>
      </c>
      <c r="C295" s="7" t="s">
        <v>22</v>
      </c>
      <c r="D295" s="7" t="s">
        <v>18</v>
      </c>
      <c r="E295" s="7" t="s">
        <v>19</v>
      </c>
      <c r="F295" s="7" t="s">
        <v>24</v>
      </c>
      <c r="G295" s="7" t="s">
        <v>28</v>
      </c>
      <c r="H295" s="1">
        <v>45215</v>
      </c>
      <c r="I295" s="7">
        <v>255.9</v>
      </c>
      <c r="J295" s="7">
        <v>173.84</v>
      </c>
      <c r="K295" s="7">
        <v>298.88</v>
      </c>
      <c r="L295" s="17">
        <f t="shared" si="4"/>
        <v>44485.656000000003</v>
      </c>
    </row>
    <row r="296" spans="2:12" x14ac:dyDescent="0.25">
      <c r="B296" s="7" t="s">
        <v>318</v>
      </c>
      <c r="C296" s="7" t="s">
        <v>17</v>
      </c>
      <c r="D296" s="7" t="s">
        <v>12</v>
      </c>
      <c r="E296" s="7" t="s">
        <v>23</v>
      </c>
      <c r="F296" s="7" t="s">
        <v>14</v>
      </c>
      <c r="G296" s="7" t="s">
        <v>20</v>
      </c>
      <c r="H296" s="1">
        <v>45216</v>
      </c>
      <c r="I296" s="7">
        <v>111</v>
      </c>
      <c r="J296" s="7">
        <v>410.26</v>
      </c>
      <c r="K296" s="7">
        <v>392.82</v>
      </c>
      <c r="L296" s="17">
        <f t="shared" si="4"/>
        <v>45538.86</v>
      </c>
    </row>
    <row r="297" spans="2:12" x14ac:dyDescent="0.25">
      <c r="B297" s="7" t="s">
        <v>319</v>
      </c>
      <c r="C297" s="7" t="s">
        <v>22</v>
      </c>
      <c r="D297" s="7" t="s">
        <v>12</v>
      </c>
      <c r="E297" s="7" t="s">
        <v>19</v>
      </c>
      <c r="F297" s="7" t="s">
        <v>24</v>
      </c>
      <c r="G297" s="7" t="s">
        <v>28</v>
      </c>
      <c r="H297" s="1">
        <v>45217</v>
      </c>
      <c r="I297" s="7">
        <v>434</v>
      </c>
      <c r="J297" s="7">
        <v>303.58999999999997</v>
      </c>
      <c r="K297" s="7">
        <v>85.52</v>
      </c>
      <c r="L297" s="17">
        <f t="shared" si="4"/>
        <v>131758.06</v>
      </c>
    </row>
    <row r="298" spans="2:12" x14ac:dyDescent="0.25">
      <c r="B298" s="7" t="s">
        <v>320</v>
      </c>
      <c r="C298" s="7" t="s">
        <v>11</v>
      </c>
      <c r="D298" s="7" t="s">
        <v>50</v>
      </c>
      <c r="E298" s="7" t="s">
        <v>42</v>
      </c>
      <c r="F298" s="7" t="s">
        <v>24</v>
      </c>
      <c r="G298" s="7" t="s">
        <v>15</v>
      </c>
      <c r="H298" s="1">
        <v>45218</v>
      </c>
      <c r="I298" s="7">
        <v>401</v>
      </c>
      <c r="J298" s="7">
        <v>171.93</v>
      </c>
      <c r="K298" s="7">
        <v>330.4</v>
      </c>
      <c r="L298" s="17">
        <f t="shared" si="4"/>
        <v>68943.930000000008</v>
      </c>
    </row>
    <row r="299" spans="2:12" x14ac:dyDescent="0.25">
      <c r="B299" s="7" t="s">
        <v>321</v>
      </c>
      <c r="C299" s="7" t="s">
        <v>22</v>
      </c>
      <c r="D299" s="7" t="s">
        <v>18</v>
      </c>
      <c r="E299" s="7" t="s">
        <v>23</v>
      </c>
      <c r="F299" s="7" t="s">
        <v>24</v>
      </c>
      <c r="G299" s="7" t="s">
        <v>28</v>
      </c>
      <c r="H299" s="1">
        <v>45219</v>
      </c>
      <c r="I299" s="7">
        <v>276</v>
      </c>
      <c r="J299" s="7">
        <v>453.23</v>
      </c>
      <c r="K299" s="7">
        <v>209.08</v>
      </c>
      <c r="L299" s="17">
        <f t="shared" si="4"/>
        <v>125091.48000000001</v>
      </c>
    </row>
    <row r="300" spans="2:12" x14ac:dyDescent="0.25">
      <c r="B300" s="7" t="s">
        <v>322</v>
      </c>
      <c r="C300" s="7" t="s">
        <v>48</v>
      </c>
      <c r="D300" s="7" t="s">
        <v>31</v>
      </c>
      <c r="E300" s="7" t="s">
        <v>42</v>
      </c>
      <c r="F300" s="7" t="s">
        <v>14</v>
      </c>
      <c r="G300" s="7" t="s">
        <v>15</v>
      </c>
      <c r="H300" s="1">
        <v>45220</v>
      </c>
      <c r="I300" s="7">
        <v>255.9</v>
      </c>
      <c r="J300" s="7">
        <v>387.45</v>
      </c>
      <c r="K300" s="7">
        <v>150.63999999999999</v>
      </c>
      <c r="L300" s="17">
        <f t="shared" si="4"/>
        <v>99148.455000000002</v>
      </c>
    </row>
    <row r="301" spans="2:12" x14ac:dyDescent="0.25">
      <c r="B301" s="7" t="s">
        <v>323</v>
      </c>
      <c r="C301" s="7" t="s">
        <v>48</v>
      </c>
      <c r="D301" s="7" t="s">
        <v>12</v>
      </c>
      <c r="E301" s="7" t="s">
        <v>27</v>
      </c>
      <c r="F301" s="7" t="s">
        <v>14</v>
      </c>
      <c r="G301" s="7" t="s">
        <v>20</v>
      </c>
      <c r="H301" s="1">
        <v>45221</v>
      </c>
      <c r="I301" s="7">
        <v>188</v>
      </c>
      <c r="J301" s="7">
        <v>136.12</v>
      </c>
      <c r="K301" s="7">
        <v>50.71</v>
      </c>
      <c r="L301" s="17">
        <f t="shared" si="4"/>
        <v>25590.560000000001</v>
      </c>
    </row>
    <row r="302" spans="2:12" x14ac:dyDescent="0.25">
      <c r="B302" s="7" t="s">
        <v>324</v>
      </c>
      <c r="C302" s="7" t="s">
        <v>17</v>
      </c>
      <c r="D302" s="7" t="s">
        <v>18</v>
      </c>
      <c r="E302" s="7" t="s">
        <v>23</v>
      </c>
      <c r="F302" s="7" t="s">
        <v>14</v>
      </c>
      <c r="G302" s="7" t="s">
        <v>20</v>
      </c>
      <c r="H302" s="1">
        <v>45222</v>
      </c>
      <c r="I302" s="7">
        <v>97</v>
      </c>
      <c r="J302" s="7">
        <v>324.42</v>
      </c>
      <c r="K302" s="7">
        <v>294.73</v>
      </c>
      <c r="L302" s="17">
        <f t="shared" si="4"/>
        <v>31468.74</v>
      </c>
    </row>
    <row r="303" spans="2:12" x14ac:dyDescent="0.25">
      <c r="B303" s="7" t="s">
        <v>325</v>
      </c>
      <c r="C303" s="7" t="s">
        <v>48</v>
      </c>
      <c r="D303" s="7" t="s">
        <v>12</v>
      </c>
      <c r="E303" s="7" t="s">
        <v>27</v>
      </c>
      <c r="F303" s="7" t="s">
        <v>24</v>
      </c>
      <c r="G303" s="7" t="s">
        <v>15</v>
      </c>
      <c r="H303" s="1">
        <v>45223</v>
      </c>
      <c r="I303" s="7">
        <v>50</v>
      </c>
      <c r="J303" s="7">
        <v>299.89999999999998</v>
      </c>
      <c r="K303" s="7">
        <v>95.87</v>
      </c>
      <c r="L303" s="17">
        <f t="shared" si="4"/>
        <v>14994.999999999998</v>
      </c>
    </row>
    <row r="304" spans="2:12" x14ac:dyDescent="0.25">
      <c r="B304" s="7" t="s">
        <v>326</v>
      </c>
      <c r="C304" s="7" t="s">
        <v>11</v>
      </c>
      <c r="D304" s="7" t="s">
        <v>12</v>
      </c>
      <c r="E304" s="7" t="s">
        <v>23</v>
      </c>
      <c r="F304" s="7" t="s">
        <v>24</v>
      </c>
      <c r="G304" s="7" t="s">
        <v>20</v>
      </c>
      <c r="H304" s="1">
        <v>45224</v>
      </c>
      <c r="I304" s="7">
        <v>410</v>
      </c>
      <c r="J304" s="7">
        <v>203.59</v>
      </c>
      <c r="K304" s="7">
        <v>149.83000000000001</v>
      </c>
      <c r="L304" s="17">
        <f t="shared" si="4"/>
        <v>83471.899999999994</v>
      </c>
    </row>
    <row r="305" spans="2:12" x14ac:dyDescent="0.25">
      <c r="B305" s="7" t="s">
        <v>327</v>
      </c>
      <c r="C305" s="7" t="s">
        <v>22</v>
      </c>
      <c r="D305" s="7" t="s">
        <v>31</v>
      </c>
      <c r="E305" s="7" t="s">
        <v>13</v>
      </c>
      <c r="F305" s="7" t="s">
        <v>24</v>
      </c>
      <c r="G305" s="7" t="s">
        <v>28</v>
      </c>
      <c r="H305" s="1">
        <v>45225</v>
      </c>
      <c r="I305" s="7">
        <v>85</v>
      </c>
      <c r="J305" s="7">
        <v>186.64</v>
      </c>
      <c r="K305" s="7">
        <v>26.89</v>
      </c>
      <c r="L305" s="17">
        <f t="shared" si="4"/>
        <v>15864.4</v>
      </c>
    </row>
    <row r="306" spans="2:12" x14ac:dyDescent="0.25">
      <c r="B306" s="7" t="s">
        <v>328</v>
      </c>
      <c r="C306" s="7" t="s">
        <v>17</v>
      </c>
      <c r="D306" s="7" t="s">
        <v>26</v>
      </c>
      <c r="E306" s="7" t="s">
        <v>19</v>
      </c>
      <c r="F306" s="7" t="s">
        <v>14</v>
      </c>
      <c r="G306" s="7" t="s">
        <v>15</v>
      </c>
      <c r="H306" s="1">
        <v>45226</v>
      </c>
      <c r="I306" s="7">
        <v>386</v>
      </c>
      <c r="J306" s="7">
        <v>175.06</v>
      </c>
      <c r="K306" s="7">
        <v>320.94</v>
      </c>
      <c r="L306" s="17">
        <f t="shared" si="4"/>
        <v>67573.16</v>
      </c>
    </row>
    <row r="307" spans="2:12" x14ac:dyDescent="0.25">
      <c r="B307" s="7" t="s">
        <v>329</v>
      </c>
      <c r="C307" s="7" t="s">
        <v>22</v>
      </c>
      <c r="D307" s="7" t="s">
        <v>50</v>
      </c>
      <c r="E307" s="7" t="s">
        <v>13</v>
      </c>
      <c r="F307" s="7" t="s">
        <v>14</v>
      </c>
      <c r="G307" s="7" t="s">
        <v>20</v>
      </c>
      <c r="H307" s="1">
        <v>45227</v>
      </c>
      <c r="I307" s="7">
        <v>55</v>
      </c>
      <c r="J307" s="7">
        <v>310.49</v>
      </c>
      <c r="K307" s="7">
        <v>307.10000000000002</v>
      </c>
      <c r="L307" s="17">
        <f t="shared" si="4"/>
        <v>17076.95</v>
      </c>
    </row>
    <row r="308" spans="2:12" x14ac:dyDescent="0.25">
      <c r="B308" s="7" t="s">
        <v>330</v>
      </c>
      <c r="C308" s="7" t="s">
        <v>22</v>
      </c>
      <c r="D308" s="7" t="s">
        <v>50</v>
      </c>
      <c r="E308" s="7" t="s">
        <v>27</v>
      </c>
      <c r="F308" s="7" t="s">
        <v>24</v>
      </c>
      <c r="G308" s="7" t="s">
        <v>15</v>
      </c>
      <c r="H308" s="1">
        <v>45228</v>
      </c>
      <c r="I308" s="7">
        <v>169</v>
      </c>
      <c r="J308" s="7">
        <v>223.99</v>
      </c>
      <c r="K308" s="7">
        <v>293.98</v>
      </c>
      <c r="L308" s="17">
        <f t="shared" si="4"/>
        <v>37854.310000000005</v>
      </c>
    </row>
    <row r="309" spans="2:12" x14ac:dyDescent="0.25">
      <c r="B309" s="7" t="s">
        <v>331</v>
      </c>
      <c r="C309" s="7" t="s">
        <v>11</v>
      </c>
      <c r="D309" s="7" t="s">
        <v>31</v>
      </c>
      <c r="E309" s="7" t="s">
        <v>19</v>
      </c>
      <c r="F309" s="7" t="s">
        <v>14</v>
      </c>
      <c r="G309" s="7" t="s">
        <v>28</v>
      </c>
      <c r="H309" s="1">
        <v>45229</v>
      </c>
      <c r="I309" s="7">
        <v>472</v>
      </c>
      <c r="J309" s="7">
        <v>416.77</v>
      </c>
      <c r="K309" s="7">
        <v>121.18</v>
      </c>
      <c r="L309" s="17">
        <f t="shared" si="4"/>
        <v>196715.44</v>
      </c>
    </row>
    <row r="310" spans="2:12" x14ac:dyDescent="0.25">
      <c r="B310" s="7" t="s">
        <v>332</v>
      </c>
      <c r="C310" s="7" t="s">
        <v>48</v>
      </c>
      <c r="D310" s="7" t="s">
        <v>12</v>
      </c>
      <c r="E310" s="7" t="s">
        <v>23</v>
      </c>
      <c r="F310" s="7" t="s">
        <v>14</v>
      </c>
      <c r="G310" s="7" t="s">
        <v>28</v>
      </c>
      <c r="H310" s="1">
        <v>45230</v>
      </c>
      <c r="I310" s="7">
        <v>89</v>
      </c>
      <c r="J310" s="7">
        <v>336.45</v>
      </c>
      <c r="K310" s="7">
        <v>71.05</v>
      </c>
      <c r="L310" s="17">
        <f t="shared" si="4"/>
        <v>29944.05</v>
      </c>
    </row>
    <row r="311" spans="2:12" x14ac:dyDescent="0.25">
      <c r="B311" s="7" t="s">
        <v>333</v>
      </c>
      <c r="C311" s="7" t="s">
        <v>48</v>
      </c>
      <c r="D311" s="7" t="s">
        <v>18</v>
      </c>
      <c r="E311" s="7" t="s">
        <v>19</v>
      </c>
      <c r="F311" s="7" t="s">
        <v>14</v>
      </c>
      <c r="G311" s="7" t="s">
        <v>20</v>
      </c>
      <c r="H311" s="1">
        <v>45231</v>
      </c>
      <c r="I311" s="7">
        <v>319</v>
      </c>
      <c r="J311" s="7">
        <v>39.619999999999997</v>
      </c>
      <c r="K311" s="7">
        <v>255.75</v>
      </c>
      <c r="L311" s="17">
        <f t="shared" si="4"/>
        <v>12638.779999999999</v>
      </c>
    </row>
    <row r="312" spans="2:12" x14ac:dyDescent="0.25">
      <c r="B312" s="7" t="s">
        <v>334</v>
      </c>
      <c r="C312" s="7" t="s">
        <v>22</v>
      </c>
      <c r="D312" s="7" t="s">
        <v>12</v>
      </c>
      <c r="E312" s="7" t="s">
        <v>19</v>
      </c>
      <c r="F312" s="7" t="s">
        <v>14</v>
      </c>
      <c r="G312" s="7" t="s">
        <v>28</v>
      </c>
      <c r="H312" s="1">
        <v>45232</v>
      </c>
      <c r="I312" s="7">
        <v>95</v>
      </c>
      <c r="J312" s="7">
        <v>321.88</v>
      </c>
      <c r="K312" s="7">
        <v>199.47</v>
      </c>
      <c r="L312" s="17">
        <f t="shared" si="4"/>
        <v>30578.6</v>
      </c>
    </row>
    <row r="313" spans="2:12" x14ac:dyDescent="0.25">
      <c r="B313" s="7" t="s">
        <v>335</v>
      </c>
      <c r="C313" s="7" t="s">
        <v>17</v>
      </c>
      <c r="D313" s="7" t="s">
        <v>31</v>
      </c>
      <c r="E313" s="7" t="s">
        <v>19</v>
      </c>
      <c r="F313" s="7" t="s">
        <v>24</v>
      </c>
      <c r="G313" s="7" t="s">
        <v>15</v>
      </c>
      <c r="H313" s="1">
        <v>45233</v>
      </c>
      <c r="I313" s="7">
        <v>101</v>
      </c>
      <c r="J313" s="7">
        <v>139.22</v>
      </c>
      <c r="K313" s="7">
        <v>72.94</v>
      </c>
      <c r="L313" s="17">
        <f t="shared" si="4"/>
        <v>14061.22</v>
      </c>
    </row>
    <row r="314" spans="2:12" x14ac:dyDescent="0.25">
      <c r="B314" s="7" t="s">
        <v>336</v>
      </c>
      <c r="C314" s="7" t="s">
        <v>48</v>
      </c>
      <c r="D314" s="7" t="s">
        <v>50</v>
      </c>
      <c r="E314" s="7" t="s">
        <v>19</v>
      </c>
      <c r="F314" s="7" t="s">
        <v>14</v>
      </c>
      <c r="G314" s="7" t="s">
        <v>28</v>
      </c>
      <c r="H314" s="1">
        <v>45234</v>
      </c>
      <c r="I314" s="7">
        <v>157</v>
      </c>
      <c r="J314" s="7">
        <v>249.64</v>
      </c>
      <c r="K314" s="7">
        <v>274.99</v>
      </c>
      <c r="L314" s="17">
        <f t="shared" si="4"/>
        <v>39193.479999999996</v>
      </c>
    </row>
    <row r="315" spans="2:12" x14ac:dyDescent="0.25">
      <c r="B315" s="7" t="s">
        <v>337</v>
      </c>
      <c r="C315" s="7" t="s">
        <v>17</v>
      </c>
      <c r="D315" s="7" t="s">
        <v>12</v>
      </c>
      <c r="E315" s="7" t="s">
        <v>19</v>
      </c>
      <c r="F315" s="7" t="s">
        <v>14</v>
      </c>
      <c r="G315" s="7" t="s">
        <v>15</v>
      </c>
      <c r="H315" s="1">
        <v>45235</v>
      </c>
      <c r="I315" s="7">
        <v>170</v>
      </c>
      <c r="J315" s="7">
        <v>341.67</v>
      </c>
      <c r="K315" s="7">
        <v>396.47</v>
      </c>
      <c r="L315" s="17">
        <f t="shared" si="4"/>
        <v>58083.9</v>
      </c>
    </row>
    <row r="316" spans="2:12" x14ac:dyDescent="0.25">
      <c r="B316" s="7" t="s">
        <v>338</v>
      </c>
      <c r="C316" s="7" t="s">
        <v>48</v>
      </c>
      <c r="D316" s="7" t="s">
        <v>50</v>
      </c>
      <c r="E316" s="7" t="s">
        <v>42</v>
      </c>
      <c r="F316" s="7" t="s">
        <v>14</v>
      </c>
      <c r="G316" s="7" t="s">
        <v>15</v>
      </c>
      <c r="H316" s="1">
        <v>45236</v>
      </c>
      <c r="I316" s="7">
        <v>211</v>
      </c>
      <c r="J316" s="7">
        <v>119.26</v>
      </c>
      <c r="K316" s="7">
        <v>299.39</v>
      </c>
      <c r="L316" s="17">
        <f t="shared" si="4"/>
        <v>25163.86</v>
      </c>
    </row>
    <row r="317" spans="2:12" x14ac:dyDescent="0.25">
      <c r="B317" s="7" t="s">
        <v>339</v>
      </c>
      <c r="C317" s="7" t="s">
        <v>17</v>
      </c>
      <c r="D317" s="7" t="s">
        <v>18</v>
      </c>
      <c r="E317" s="7" t="s">
        <v>27</v>
      </c>
      <c r="F317" s="7" t="s">
        <v>14</v>
      </c>
      <c r="G317" s="7" t="s">
        <v>28</v>
      </c>
      <c r="H317" s="1">
        <v>45237</v>
      </c>
      <c r="I317" s="7">
        <v>433</v>
      </c>
      <c r="J317" s="7">
        <v>231.15</v>
      </c>
      <c r="K317" s="7">
        <v>296.51</v>
      </c>
      <c r="L317" s="17">
        <f t="shared" si="4"/>
        <v>100087.95</v>
      </c>
    </row>
    <row r="318" spans="2:12" x14ac:dyDescent="0.25">
      <c r="B318" s="7" t="s">
        <v>340</v>
      </c>
      <c r="C318" s="7" t="s">
        <v>11</v>
      </c>
      <c r="D318" s="7" t="s">
        <v>50</v>
      </c>
      <c r="E318" s="7" t="s">
        <v>13</v>
      </c>
      <c r="F318" s="7" t="s">
        <v>24</v>
      </c>
      <c r="G318" s="7" t="s">
        <v>20</v>
      </c>
      <c r="H318" s="1">
        <v>45238</v>
      </c>
      <c r="I318" s="7">
        <v>425</v>
      </c>
      <c r="J318" s="7">
        <v>99.21</v>
      </c>
      <c r="K318" s="7">
        <v>380.22</v>
      </c>
      <c r="L318" s="17">
        <f t="shared" si="4"/>
        <v>42164.25</v>
      </c>
    </row>
    <row r="319" spans="2:12" x14ac:dyDescent="0.25">
      <c r="B319" s="7" t="s">
        <v>341</v>
      </c>
      <c r="C319" s="7" t="s">
        <v>17</v>
      </c>
      <c r="D319" s="7" t="s">
        <v>50</v>
      </c>
      <c r="E319" s="7" t="s">
        <v>23</v>
      </c>
      <c r="F319" s="7" t="s">
        <v>24</v>
      </c>
      <c r="G319" s="7" t="s">
        <v>28</v>
      </c>
      <c r="H319" s="1">
        <v>45239</v>
      </c>
      <c r="I319" s="7">
        <v>251</v>
      </c>
      <c r="J319" s="7">
        <v>30.91</v>
      </c>
      <c r="K319" s="7">
        <v>82.77</v>
      </c>
      <c r="L319" s="17">
        <f t="shared" si="4"/>
        <v>7758.41</v>
      </c>
    </row>
    <row r="320" spans="2:12" x14ac:dyDescent="0.25">
      <c r="B320" s="7" t="s">
        <v>342</v>
      </c>
      <c r="C320" s="7" t="s">
        <v>11</v>
      </c>
      <c r="D320" s="7" t="s">
        <v>26</v>
      </c>
      <c r="E320" s="7" t="s">
        <v>19</v>
      </c>
      <c r="F320" s="7" t="s">
        <v>14</v>
      </c>
      <c r="G320" s="7" t="s">
        <v>15</v>
      </c>
      <c r="H320" s="1">
        <v>45240</v>
      </c>
      <c r="I320" s="7">
        <v>255.9</v>
      </c>
      <c r="J320" s="7">
        <v>192.35</v>
      </c>
      <c r="K320" s="7">
        <v>227.09</v>
      </c>
      <c r="L320" s="17">
        <f t="shared" si="4"/>
        <v>49222.364999999998</v>
      </c>
    </row>
    <row r="321" spans="2:12" x14ac:dyDescent="0.25">
      <c r="B321" s="7" t="s">
        <v>343</v>
      </c>
      <c r="C321" s="7" t="s">
        <v>11</v>
      </c>
      <c r="D321" s="7" t="s">
        <v>26</v>
      </c>
      <c r="E321" s="7" t="s">
        <v>13</v>
      </c>
      <c r="F321" s="7" t="s">
        <v>14</v>
      </c>
      <c r="G321" s="7" t="s">
        <v>15</v>
      </c>
      <c r="H321" s="1">
        <v>45241</v>
      </c>
      <c r="I321" s="7">
        <v>11</v>
      </c>
      <c r="J321" s="7">
        <v>184.66</v>
      </c>
      <c r="K321" s="7">
        <v>391.9</v>
      </c>
      <c r="L321" s="17">
        <f t="shared" si="4"/>
        <v>2031.26</v>
      </c>
    </row>
    <row r="322" spans="2:12" x14ac:dyDescent="0.25">
      <c r="B322" s="7" t="s">
        <v>344</v>
      </c>
      <c r="C322" s="7" t="s">
        <v>17</v>
      </c>
      <c r="D322" s="7" t="s">
        <v>26</v>
      </c>
      <c r="E322" s="7" t="s">
        <v>23</v>
      </c>
      <c r="F322" s="7" t="s">
        <v>14</v>
      </c>
      <c r="G322" s="7" t="s">
        <v>28</v>
      </c>
      <c r="H322" s="1">
        <v>45242</v>
      </c>
      <c r="I322" s="7">
        <v>234</v>
      </c>
      <c r="J322" s="7">
        <v>497.76</v>
      </c>
      <c r="K322" s="7">
        <v>67.790000000000006</v>
      </c>
      <c r="L322" s="17">
        <f t="shared" si="4"/>
        <v>116475.84</v>
      </c>
    </row>
    <row r="323" spans="2:12" x14ac:dyDescent="0.25">
      <c r="B323" s="7" t="s">
        <v>345</v>
      </c>
      <c r="C323" s="7" t="s">
        <v>11</v>
      </c>
      <c r="D323" s="7" t="s">
        <v>50</v>
      </c>
      <c r="E323" s="7" t="s">
        <v>23</v>
      </c>
      <c r="F323" s="7" t="s">
        <v>14</v>
      </c>
      <c r="G323" s="7" t="s">
        <v>20</v>
      </c>
      <c r="H323" s="1">
        <v>45243</v>
      </c>
      <c r="I323" s="7">
        <v>255.9</v>
      </c>
      <c r="J323" s="7">
        <v>225.94</v>
      </c>
      <c r="K323" s="7">
        <v>280.7</v>
      </c>
      <c r="L323" s="17">
        <f t="shared" si="4"/>
        <v>57818.046000000002</v>
      </c>
    </row>
    <row r="324" spans="2:12" x14ac:dyDescent="0.25">
      <c r="B324" s="7" t="s">
        <v>346</v>
      </c>
      <c r="C324" s="7" t="s">
        <v>22</v>
      </c>
      <c r="D324" s="7" t="s">
        <v>31</v>
      </c>
      <c r="E324" s="7" t="s">
        <v>42</v>
      </c>
      <c r="F324" s="7" t="s">
        <v>14</v>
      </c>
      <c r="G324" s="7" t="s">
        <v>20</v>
      </c>
      <c r="H324" s="1">
        <v>45244</v>
      </c>
      <c r="I324" s="7">
        <v>242</v>
      </c>
      <c r="J324" s="7">
        <v>170.12</v>
      </c>
      <c r="K324" s="7">
        <v>235.15</v>
      </c>
      <c r="L324" s="17">
        <f t="shared" si="4"/>
        <v>41169.040000000001</v>
      </c>
    </row>
    <row r="325" spans="2:12" x14ac:dyDescent="0.25">
      <c r="B325" s="7" t="s">
        <v>347</v>
      </c>
      <c r="C325" s="7" t="s">
        <v>11</v>
      </c>
      <c r="D325" s="7" t="s">
        <v>50</v>
      </c>
      <c r="E325" s="7" t="s">
        <v>27</v>
      </c>
      <c r="F325" s="7" t="s">
        <v>14</v>
      </c>
      <c r="G325" s="7" t="s">
        <v>15</v>
      </c>
      <c r="H325" s="1">
        <v>45245</v>
      </c>
      <c r="I325" s="7">
        <v>470</v>
      </c>
      <c r="J325" s="7">
        <v>292.33999999999997</v>
      </c>
      <c r="K325" s="7">
        <v>235.42</v>
      </c>
      <c r="L325" s="17">
        <f t="shared" si="4"/>
        <v>137399.79999999999</v>
      </c>
    </row>
    <row r="326" spans="2:12" x14ac:dyDescent="0.25">
      <c r="B326" s="7" t="s">
        <v>348</v>
      </c>
      <c r="C326" s="7" t="s">
        <v>48</v>
      </c>
      <c r="D326" s="7" t="s">
        <v>31</v>
      </c>
      <c r="E326" s="7" t="s">
        <v>27</v>
      </c>
      <c r="F326" s="7" t="s">
        <v>24</v>
      </c>
      <c r="G326" s="7" t="s">
        <v>15</v>
      </c>
      <c r="H326" s="1">
        <v>45246</v>
      </c>
      <c r="I326" s="7">
        <v>423</v>
      </c>
      <c r="J326" s="7">
        <v>48.94</v>
      </c>
      <c r="K326" s="7">
        <v>279.67</v>
      </c>
      <c r="L326" s="17">
        <f t="shared" si="4"/>
        <v>20701.62</v>
      </c>
    </row>
    <row r="327" spans="2:12" x14ac:dyDescent="0.25">
      <c r="B327" s="7" t="s">
        <v>349</v>
      </c>
      <c r="C327" s="7" t="s">
        <v>17</v>
      </c>
      <c r="D327" s="7" t="s">
        <v>31</v>
      </c>
      <c r="E327" s="7" t="s">
        <v>13</v>
      </c>
      <c r="F327" s="7" t="s">
        <v>14</v>
      </c>
      <c r="G327" s="7" t="s">
        <v>20</v>
      </c>
      <c r="H327" s="1">
        <v>45247</v>
      </c>
      <c r="I327" s="7">
        <v>426</v>
      </c>
      <c r="J327" s="7">
        <v>481.02</v>
      </c>
      <c r="K327" s="7">
        <v>371.99</v>
      </c>
      <c r="L327" s="17">
        <f t="shared" si="4"/>
        <v>204914.52</v>
      </c>
    </row>
    <row r="328" spans="2:12" x14ac:dyDescent="0.25">
      <c r="B328" s="7" t="s">
        <v>350</v>
      </c>
      <c r="C328" s="7" t="s">
        <v>22</v>
      </c>
      <c r="D328" s="7" t="s">
        <v>26</v>
      </c>
      <c r="E328" s="7" t="s">
        <v>27</v>
      </c>
      <c r="F328" s="7" t="s">
        <v>24</v>
      </c>
      <c r="G328" s="7" t="s">
        <v>28</v>
      </c>
      <c r="H328" s="1">
        <v>45248</v>
      </c>
      <c r="I328" s="7">
        <v>86</v>
      </c>
      <c r="J328" s="7">
        <v>319.31</v>
      </c>
      <c r="K328" s="7">
        <v>313.47000000000003</v>
      </c>
      <c r="L328" s="17">
        <f t="shared" ref="L328:L356" si="5">$I328*$J328</f>
        <v>27460.66</v>
      </c>
    </row>
    <row r="329" spans="2:12" x14ac:dyDescent="0.25">
      <c r="B329" s="7" t="s">
        <v>351</v>
      </c>
      <c r="C329" s="7" t="s">
        <v>17</v>
      </c>
      <c r="D329" s="7" t="s">
        <v>12</v>
      </c>
      <c r="E329" s="7" t="s">
        <v>19</v>
      </c>
      <c r="F329" s="7" t="s">
        <v>24</v>
      </c>
      <c r="G329" s="7" t="s">
        <v>15</v>
      </c>
      <c r="H329" s="1">
        <v>45249</v>
      </c>
      <c r="I329" s="7">
        <v>125</v>
      </c>
      <c r="J329" s="7">
        <v>378.64</v>
      </c>
      <c r="K329" s="7">
        <v>24.34</v>
      </c>
      <c r="L329" s="17">
        <f t="shared" si="5"/>
        <v>47330</v>
      </c>
    </row>
    <row r="330" spans="2:12" x14ac:dyDescent="0.25">
      <c r="B330" s="7" t="s">
        <v>352</v>
      </c>
      <c r="C330" s="7" t="s">
        <v>48</v>
      </c>
      <c r="D330" s="7" t="s">
        <v>18</v>
      </c>
      <c r="E330" s="7" t="s">
        <v>19</v>
      </c>
      <c r="F330" s="7" t="s">
        <v>14</v>
      </c>
      <c r="G330" s="7" t="s">
        <v>15</v>
      </c>
      <c r="H330" s="1">
        <v>45250</v>
      </c>
      <c r="I330" s="7">
        <v>163</v>
      </c>
      <c r="J330" s="7">
        <v>89.39</v>
      </c>
      <c r="K330" s="7">
        <v>341.39</v>
      </c>
      <c r="L330" s="17">
        <f t="shared" si="5"/>
        <v>14570.57</v>
      </c>
    </row>
    <row r="331" spans="2:12" x14ac:dyDescent="0.25">
      <c r="B331" s="7" t="s">
        <v>353</v>
      </c>
      <c r="C331" s="7" t="s">
        <v>48</v>
      </c>
      <c r="D331" s="7" t="s">
        <v>26</v>
      </c>
      <c r="E331" s="7" t="s">
        <v>13</v>
      </c>
      <c r="F331" s="7" t="s">
        <v>24</v>
      </c>
      <c r="G331" s="7" t="s">
        <v>20</v>
      </c>
      <c r="H331" s="1">
        <v>45251</v>
      </c>
      <c r="I331" s="7">
        <v>415</v>
      </c>
      <c r="J331" s="7">
        <v>207.69</v>
      </c>
      <c r="K331" s="7">
        <v>91.77</v>
      </c>
      <c r="L331" s="17">
        <f t="shared" si="5"/>
        <v>86191.35</v>
      </c>
    </row>
    <row r="332" spans="2:12" x14ac:dyDescent="0.25">
      <c r="B332" s="7" t="s">
        <v>354</v>
      </c>
      <c r="C332" s="7" t="s">
        <v>48</v>
      </c>
      <c r="D332" s="7" t="s">
        <v>26</v>
      </c>
      <c r="E332" s="7" t="s">
        <v>27</v>
      </c>
      <c r="F332" s="7" t="s">
        <v>24</v>
      </c>
      <c r="G332" s="7" t="s">
        <v>28</v>
      </c>
      <c r="H332" s="1">
        <v>45252</v>
      </c>
      <c r="I332" s="7">
        <v>112</v>
      </c>
      <c r="J332" s="7">
        <v>214.23</v>
      </c>
      <c r="K332" s="7">
        <v>152.01</v>
      </c>
      <c r="L332" s="17">
        <f t="shared" si="5"/>
        <v>23993.759999999998</v>
      </c>
    </row>
    <row r="333" spans="2:12" x14ac:dyDescent="0.25">
      <c r="B333" s="7" t="s">
        <v>355</v>
      </c>
      <c r="C333" s="7" t="s">
        <v>11</v>
      </c>
      <c r="D333" s="7" t="s">
        <v>12</v>
      </c>
      <c r="E333" s="7" t="s">
        <v>19</v>
      </c>
      <c r="F333" s="7" t="s">
        <v>24</v>
      </c>
      <c r="G333" s="7" t="s">
        <v>20</v>
      </c>
      <c r="H333" s="1">
        <v>45253</v>
      </c>
      <c r="I333" s="7">
        <v>203</v>
      </c>
      <c r="J333" s="7">
        <v>411.79</v>
      </c>
      <c r="K333" s="7">
        <v>185.77</v>
      </c>
      <c r="L333" s="17">
        <f t="shared" si="5"/>
        <v>83593.37000000001</v>
      </c>
    </row>
    <row r="334" spans="2:12" x14ac:dyDescent="0.25">
      <c r="B334" s="7" t="s">
        <v>356</v>
      </c>
      <c r="C334" s="7" t="s">
        <v>11</v>
      </c>
      <c r="D334" s="7" t="s">
        <v>18</v>
      </c>
      <c r="E334" s="7" t="s">
        <v>42</v>
      </c>
      <c r="F334" s="7" t="s">
        <v>24</v>
      </c>
      <c r="G334" s="7" t="s">
        <v>28</v>
      </c>
      <c r="H334" s="1">
        <v>45254</v>
      </c>
      <c r="I334" s="7">
        <v>255.9</v>
      </c>
      <c r="J334" s="7">
        <v>5.61</v>
      </c>
      <c r="K334" s="7">
        <v>193.4</v>
      </c>
      <c r="L334" s="17">
        <f t="shared" si="5"/>
        <v>1435.5990000000002</v>
      </c>
    </row>
    <row r="335" spans="2:12" x14ac:dyDescent="0.25">
      <c r="B335" s="7" t="s">
        <v>357</v>
      </c>
      <c r="C335" s="7" t="s">
        <v>17</v>
      </c>
      <c r="D335" s="7" t="s">
        <v>50</v>
      </c>
      <c r="E335" s="7" t="s">
        <v>13</v>
      </c>
      <c r="F335" s="7" t="s">
        <v>24</v>
      </c>
      <c r="G335" s="7" t="s">
        <v>28</v>
      </c>
      <c r="H335" s="1">
        <v>45255</v>
      </c>
      <c r="I335" s="7">
        <v>368</v>
      </c>
      <c r="J335" s="7">
        <v>153.91999999999999</v>
      </c>
      <c r="K335" s="7">
        <v>175.2</v>
      </c>
      <c r="L335" s="17">
        <f t="shared" si="5"/>
        <v>56642.559999999998</v>
      </c>
    </row>
    <row r="336" spans="2:12" x14ac:dyDescent="0.25">
      <c r="B336" s="7" t="s">
        <v>358</v>
      </c>
      <c r="C336" s="7" t="s">
        <v>17</v>
      </c>
      <c r="D336" s="7" t="s">
        <v>50</v>
      </c>
      <c r="E336" s="7" t="s">
        <v>42</v>
      </c>
      <c r="F336" s="7" t="s">
        <v>24</v>
      </c>
      <c r="G336" s="7" t="s">
        <v>28</v>
      </c>
      <c r="H336" s="1">
        <v>45256</v>
      </c>
      <c r="I336" s="7">
        <v>99</v>
      </c>
      <c r="J336" s="7">
        <v>490.71</v>
      </c>
      <c r="K336" s="7">
        <v>375.07</v>
      </c>
      <c r="L336" s="17">
        <f t="shared" si="5"/>
        <v>48580.29</v>
      </c>
    </row>
    <row r="337" spans="2:12" x14ac:dyDescent="0.25">
      <c r="B337" s="7" t="s">
        <v>359</v>
      </c>
      <c r="C337" s="7" t="s">
        <v>22</v>
      </c>
      <c r="D337" s="7" t="s">
        <v>26</v>
      </c>
      <c r="E337" s="7" t="s">
        <v>42</v>
      </c>
      <c r="F337" s="7" t="s">
        <v>14</v>
      </c>
      <c r="G337" s="7" t="s">
        <v>15</v>
      </c>
      <c r="H337" s="1">
        <v>45257</v>
      </c>
      <c r="I337" s="7">
        <v>183</v>
      </c>
      <c r="J337" s="7">
        <v>240.07</v>
      </c>
      <c r="K337" s="7">
        <v>283</v>
      </c>
      <c r="L337" s="17">
        <f t="shared" si="5"/>
        <v>43932.81</v>
      </c>
    </row>
    <row r="338" spans="2:12" x14ac:dyDescent="0.25">
      <c r="B338" s="7" t="s">
        <v>360</v>
      </c>
      <c r="C338" s="7" t="s">
        <v>22</v>
      </c>
      <c r="D338" s="7" t="s">
        <v>18</v>
      </c>
      <c r="E338" s="7" t="s">
        <v>42</v>
      </c>
      <c r="F338" s="7" t="s">
        <v>24</v>
      </c>
      <c r="G338" s="7" t="s">
        <v>20</v>
      </c>
      <c r="H338" s="1">
        <v>45258</v>
      </c>
      <c r="I338" s="7">
        <v>131</v>
      </c>
      <c r="J338" s="7">
        <v>194.35</v>
      </c>
      <c r="K338" s="7">
        <v>253.21</v>
      </c>
      <c r="L338" s="17">
        <f t="shared" si="5"/>
        <v>25459.85</v>
      </c>
    </row>
    <row r="339" spans="2:12" x14ac:dyDescent="0.25">
      <c r="B339" s="7" t="s">
        <v>361</v>
      </c>
      <c r="C339" s="7" t="s">
        <v>17</v>
      </c>
      <c r="D339" s="7" t="s">
        <v>26</v>
      </c>
      <c r="E339" s="7" t="s">
        <v>23</v>
      </c>
      <c r="F339" s="7" t="s">
        <v>24</v>
      </c>
      <c r="G339" s="7" t="s">
        <v>20</v>
      </c>
      <c r="H339" s="1">
        <v>45259</v>
      </c>
      <c r="I339" s="7">
        <v>152</v>
      </c>
      <c r="J339" s="7">
        <v>64.319999999999993</v>
      </c>
      <c r="K339" s="7">
        <v>21.84</v>
      </c>
      <c r="L339" s="17">
        <f t="shared" si="5"/>
        <v>9776.64</v>
      </c>
    </row>
    <row r="340" spans="2:12" x14ac:dyDescent="0.25">
      <c r="B340" s="7" t="s">
        <v>362</v>
      </c>
      <c r="C340" s="7" t="s">
        <v>11</v>
      </c>
      <c r="D340" s="7" t="s">
        <v>31</v>
      </c>
      <c r="E340" s="7" t="s">
        <v>23</v>
      </c>
      <c r="F340" s="7" t="s">
        <v>24</v>
      </c>
      <c r="G340" s="7" t="s">
        <v>28</v>
      </c>
      <c r="H340" s="1">
        <v>45260</v>
      </c>
      <c r="I340" s="7">
        <v>491</v>
      </c>
      <c r="J340" s="7">
        <v>487.21</v>
      </c>
      <c r="K340" s="7">
        <v>361.76</v>
      </c>
      <c r="L340" s="17">
        <f t="shared" si="5"/>
        <v>239220.11</v>
      </c>
    </row>
    <row r="341" spans="2:12" x14ac:dyDescent="0.25">
      <c r="B341" s="7" t="s">
        <v>363</v>
      </c>
      <c r="C341" s="7" t="s">
        <v>48</v>
      </c>
      <c r="D341" s="7" t="s">
        <v>26</v>
      </c>
      <c r="E341" s="7" t="s">
        <v>42</v>
      </c>
      <c r="F341" s="7" t="s">
        <v>14</v>
      </c>
      <c r="G341" s="7" t="s">
        <v>15</v>
      </c>
      <c r="H341" s="1">
        <v>45261</v>
      </c>
      <c r="I341" s="7">
        <v>115</v>
      </c>
      <c r="J341" s="7">
        <v>14.91</v>
      </c>
      <c r="K341" s="7">
        <v>363.94</v>
      </c>
      <c r="L341" s="17">
        <f t="shared" si="5"/>
        <v>1714.65</v>
      </c>
    </row>
    <row r="342" spans="2:12" x14ac:dyDescent="0.25">
      <c r="B342" s="7" t="s">
        <v>364</v>
      </c>
      <c r="C342" s="7" t="s">
        <v>17</v>
      </c>
      <c r="D342" s="7" t="s">
        <v>26</v>
      </c>
      <c r="E342" s="7" t="s">
        <v>13</v>
      </c>
      <c r="F342" s="7" t="s">
        <v>24</v>
      </c>
      <c r="G342" s="7" t="s">
        <v>15</v>
      </c>
      <c r="H342" s="1">
        <v>45262</v>
      </c>
      <c r="I342" s="7">
        <v>384</v>
      </c>
      <c r="J342" s="7">
        <v>369.9</v>
      </c>
      <c r="K342" s="7">
        <v>312.52</v>
      </c>
      <c r="L342" s="17">
        <f t="shared" si="5"/>
        <v>142041.59999999998</v>
      </c>
    </row>
    <row r="343" spans="2:12" x14ac:dyDescent="0.25">
      <c r="B343" s="7" t="s">
        <v>365</v>
      </c>
      <c r="C343" s="7" t="s">
        <v>22</v>
      </c>
      <c r="D343" s="7" t="s">
        <v>50</v>
      </c>
      <c r="E343" s="7" t="s">
        <v>19</v>
      </c>
      <c r="F343" s="7" t="s">
        <v>14</v>
      </c>
      <c r="G343" s="7" t="s">
        <v>20</v>
      </c>
      <c r="H343" s="1">
        <v>45263</v>
      </c>
      <c r="I343" s="7">
        <v>437</v>
      </c>
      <c r="J343" s="7">
        <v>385.46</v>
      </c>
      <c r="K343" s="7">
        <v>4.8</v>
      </c>
      <c r="L343" s="17">
        <f t="shared" si="5"/>
        <v>168446.02</v>
      </c>
    </row>
    <row r="344" spans="2:12" x14ac:dyDescent="0.25">
      <c r="B344" s="7" t="s">
        <v>366</v>
      </c>
      <c r="C344" s="7" t="s">
        <v>11</v>
      </c>
      <c r="D344" s="7" t="s">
        <v>50</v>
      </c>
      <c r="E344" s="7" t="s">
        <v>19</v>
      </c>
      <c r="F344" s="7" t="s">
        <v>24</v>
      </c>
      <c r="G344" s="7" t="s">
        <v>15</v>
      </c>
      <c r="H344" s="1">
        <v>45264</v>
      </c>
      <c r="I344" s="7">
        <v>314</v>
      </c>
      <c r="J344" s="7">
        <v>125.61</v>
      </c>
      <c r="K344" s="7">
        <v>24.8</v>
      </c>
      <c r="L344" s="17">
        <f t="shared" si="5"/>
        <v>39441.54</v>
      </c>
    </row>
    <row r="345" spans="2:12" x14ac:dyDescent="0.25">
      <c r="B345" s="7" t="s">
        <v>367</v>
      </c>
      <c r="C345" s="7" t="s">
        <v>17</v>
      </c>
      <c r="D345" s="7" t="s">
        <v>50</v>
      </c>
      <c r="E345" s="7" t="s">
        <v>27</v>
      </c>
      <c r="F345" s="7" t="s">
        <v>14</v>
      </c>
      <c r="G345" s="7" t="s">
        <v>15</v>
      </c>
      <c r="H345" s="1">
        <v>45265</v>
      </c>
      <c r="I345" s="7">
        <v>369</v>
      </c>
      <c r="J345" s="7">
        <v>337.42</v>
      </c>
      <c r="K345" s="7">
        <v>91.64</v>
      </c>
      <c r="L345" s="17">
        <f t="shared" si="5"/>
        <v>124507.98000000001</v>
      </c>
    </row>
    <row r="346" spans="2:12" x14ac:dyDescent="0.25">
      <c r="B346" s="7" t="s">
        <v>368</v>
      </c>
      <c r="C346" s="7" t="s">
        <v>17</v>
      </c>
      <c r="D346" s="7" t="s">
        <v>31</v>
      </c>
      <c r="E346" s="7" t="s">
        <v>13</v>
      </c>
      <c r="F346" s="7" t="s">
        <v>14</v>
      </c>
      <c r="G346" s="7" t="s">
        <v>28</v>
      </c>
      <c r="H346" s="1">
        <v>45266</v>
      </c>
      <c r="I346" s="7">
        <v>468</v>
      </c>
      <c r="J346" s="7">
        <v>51</v>
      </c>
      <c r="K346" s="7">
        <v>54.28</v>
      </c>
      <c r="L346" s="17">
        <f t="shared" si="5"/>
        <v>23868</v>
      </c>
    </row>
    <row r="347" spans="2:12" x14ac:dyDescent="0.25">
      <c r="B347" s="7" t="s">
        <v>369</v>
      </c>
      <c r="C347" s="7" t="s">
        <v>11</v>
      </c>
      <c r="D347" s="7" t="s">
        <v>50</v>
      </c>
      <c r="E347" s="7" t="s">
        <v>23</v>
      </c>
      <c r="F347" s="7" t="s">
        <v>24</v>
      </c>
      <c r="G347" s="7" t="s">
        <v>15</v>
      </c>
      <c r="H347" s="1">
        <v>45267</v>
      </c>
      <c r="I347" s="7">
        <v>326</v>
      </c>
      <c r="J347" s="7">
        <v>132.24</v>
      </c>
      <c r="K347" s="7">
        <v>160.74</v>
      </c>
      <c r="L347" s="17">
        <f t="shared" si="5"/>
        <v>43110.240000000005</v>
      </c>
    </row>
    <row r="348" spans="2:12" x14ac:dyDescent="0.25">
      <c r="B348" s="7" t="s">
        <v>370</v>
      </c>
      <c r="C348" s="7" t="s">
        <v>17</v>
      </c>
      <c r="D348" s="7" t="s">
        <v>18</v>
      </c>
      <c r="E348" s="7" t="s">
        <v>42</v>
      </c>
      <c r="F348" s="7" t="s">
        <v>24</v>
      </c>
      <c r="G348" s="7" t="s">
        <v>28</v>
      </c>
      <c r="H348" s="1">
        <v>45268</v>
      </c>
      <c r="I348" s="7">
        <v>460</v>
      </c>
      <c r="J348" s="7">
        <v>395.01</v>
      </c>
      <c r="K348" s="7">
        <v>369.2</v>
      </c>
      <c r="L348" s="17">
        <f t="shared" si="5"/>
        <v>181704.6</v>
      </c>
    </row>
    <row r="349" spans="2:12" x14ac:dyDescent="0.25">
      <c r="B349" s="7" t="s">
        <v>371</v>
      </c>
      <c r="C349" s="7" t="s">
        <v>11</v>
      </c>
      <c r="D349" s="7" t="s">
        <v>12</v>
      </c>
      <c r="E349" s="7" t="s">
        <v>27</v>
      </c>
      <c r="F349" s="7" t="s">
        <v>14</v>
      </c>
      <c r="G349" s="7" t="s">
        <v>20</v>
      </c>
      <c r="H349" s="1">
        <v>45269</v>
      </c>
      <c r="I349" s="7">
        <v>132</v>
      </c>
      <c r="J349" s="7">
        <v>433.02</v>
      </c>
      <c r="K349" s="7">
        <v>189.88</v>
      </c>
      <c r="L349" s="17">
        <f t="shared" si="5"/>
        <v>57158.64</v>
      </c>
    </row>
    <row r="350" spans="2:12" x14ac:dyDescent="0.25">
      <c r="B350" s="7" t="s">
        <v>372</v>
      </c>
      <c r="C350" s="7" t="s">
        <v>48</v>
      </c>
      <c r="D350" s="7" t="s">
        <v>18</v>
      </c>
      <c r="E350" s="7" t="s">
        <v>19</v>
      </c>
      <c r="F350" s="7" t="s">
        <v>24</v>
      </c>
      <c r="G350" s="7" t="s">
        <v>15</v>
      </c>
      <c r="H350" s="1">
        <v>45270</v>
      </c>
      <c r="I350" s="7">
        <v>399</v>
      </c>
      <c r="J350" s="7">
        <v>306.2</v>
      </c>
      <c r="K350" s="7">
        <v>7.33</v>
      </c>
      <c r="L350" s="17">
        <f t="shared" si="5"/>
        <v>122173.79999999999</v>
      </c>
    </row>
    <row r="351" spans="2:12" x14ac:dyDescent="0.25">
      <c r="B351" s="7" t="s">
        <v>373</v>
      </c>
      <c r="C351" s="7" t="s">
        <v>11</v>
      </c>
      <c r="D351" s="7" t="s">
        <v>18</v>
      </c>
      <c r="E351" s="7" t="s">
        <v>23</v>
      </c>
      <c r="F351" s="7" t="s">
        <v>14</v>
      </c>
      <c r="G351" s="7" t="s">
        <v>20</v>
      </c>
      <c r="H351" s="1">
        <v>45271</v>
      </c>
      <c r="I351" s="7">
        <v>18</v>
      </c>
      <c r="J351" s="7">
        <v>255.89</v>
      </c>
      <c r="K351" s="7">
        <v>114.53</v>
      </c>
      <c r="L351" s="17">
        <f t="shared" si="5"/>
        <v>4606.0199999999995</v>
      </c>
    </row>
    <row r="352" spans="2:12" x14ac:dyDescent="0.25">
      <c r="B352" s="7" t="s">
        <v>374</v>
      </c>
      <c r="C352" s="7" t="s">
        <v>11</v>
      </c>
      <c r="D352" s="7" t="s">
        <v>50</v>
      </c>
      <c r="E352" s="7" t="s">
        <v>23</v>
      </c>
      <c r="F352" s="7" t="s">
        <v>14</v>
      </c>
      <c r="G352" s="7" t="s">
        <v>20</v>
      </c>
      <c r="H352" s="1">
        <v>45272</v>
      </c>
      <c r="I352" s="7">
        <v>271</v>
      </c>
      <c r="J352" s="7">
        <v>83.86</v>
      </c>
      <c r="K352" s="7">
        <v>19.75</v>
      </c>
      <c r="L352" s="17">
        <f t="shared" si="5"/>
        <v>22726.06</v>
      </c>
    </row>
    <row r="353" spans="2:12" x14ac:dyDescent="0.25">
      <c r="B353" s="7" t="s">
        <v>375</v>
      </c>
      <c r="C353" s="7" t="s">
        <v>11</v>
      </c>
      <c r="D353" s="7" t="s">
        <v>12</v>
      </c>
      <c r="E353" s="7" t="s">
        <v>42</v>
      </c>
      <c r="F353" s="7" t="s">
        <v>14</v>
      </c>
      <c r="G353" s="7" t="s">
        <v>15</v>
      </c>
      <c r="H353" s="1">
        <v>45273</v>
      </c>
      <c r="I353" s="7">
        <v>82</v>
      </c>
      <c r="J353" s="7">
        <v>36.24</v>
      </c>
      <c r="K353" s="7">
        <v>16.440000000000001</v>
      </c>
      <c r="L353" s="17">
        <f t="shared" si="5"/>
        <v>2971.6800000000003</v>
      </c>
    </row>
    <row r="354" spans="2:12" x14ac:dyDescent="0.25">
      <c r="B354" s="7" t="s">
        <v>376</v>
      </c>
      <c r="C354" s="7" t="s">
        <v>17</v>
      </c>
      <c r="D354" s="7" t="s">
        <v>12</v>
      </c>
      <c r="E354" s="7" t="s">
        <v>19</v>
      </c>
      <c r="F354" s="7" t="s">
        <v>14</v>
      </c>
      <c r="G354" s="7" t="s">
        <v>15</v>
      </c>
      <c r="H354" s="1">
        <v>45274</v>
      </c>
      <c r="I354" s="7">
        <v>368</v>
      </c>
      <c r="J354" s="7">
        <v>63.24</v>
      </c>
      <c r="K354" s="7">
        <v>111.74</v>
      </c>
      <c r="L354" s="17">
        <f t="shared" si="5"/>
        <v>23272.32</v>
      </c>
    </row>
    <row r="355" spans="2:12" x14ac:dyDescent="0.25">
      <c r="B355" s="7" t="s">
        <v>377</v>
      </c>
      <c r="C355" s="7" t="s">
        <v>17</v>
      </c>
      <c r="D355" s="7" t="s">
        <v>12</v>
      </c>
      <c r="E355" s="7" t="s">
        <v>13</v>
      </c>
      <c r="F355" s="7" t="s">
        <v>14</v>
      </c>
      <c r="G355" s="7" t="s">
        <v>20</v>
      </c>
      <c r="H355" s="1">
        <v>45275</v>
      </c>
      <c r="I355" s="7">
        <v>232</v>
      </c>
      <c r="J355" s="7">
        <v>117.54</v>
      </c>
      <c r="K355" s="7">
        <v>111.69</v>
      </c>
      <c r="L355" s="17">
        <f t="shared" si="5"/>
        <v>27269.280000000002</v>
      </c>
    </row>
    <row r="356" spans="2:12" x14ac:dyDescent="0.25">
      <c r="B356" s="7" t="s">
        <v>378</v>
      </c>
      <c r="C356" s="7" t="s">
        <v>11</v>
      </c>
      <c r="D356" s="7" t="s">
        <v>31</v>
      </c>
      <c r="E356" s="7" t="s">
        <v>23</v>
      </c>
      <c r="F356" s="7" t="s">
        <v>24</v>
      </c>
      <c r="G356" s="7" t="s">
        <v>15</v>
      </c>
      <c r="H356" s="1">
        <v>45276</v>
      </c>
      <c r="I356" s="7">
        <v>425</v>
      </c>
      <c r="J356" s="7">
        <v>174.13</v>
      </c>
      <c r="K356" s="7">
        <v>315.27999999999997</v>
      </c>
      <c r="L356" s="17">
        <f t="shared" si="5"/>
        <v>74005.25</v>
      </c>
    </row>
  </sheetData>
  <autoFilter ref="B6:L6" xr:uid="{E13BD7C7-A3D2-470F-BEB5-A2C26DD63253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29805-1898-45B3-BA84-A5ACF3917B0D}">
  <sheetPr filterMode="1"/>
  <dimension ref="A2:L356"/>
  <sheetViews>
    <sheetView workbookViewId="0">
      <selection activeCell="H361" sqref="H361"/>
    </sheetView>
  </sheetViews>
  <sheetFormatPr defaultRowHeight="15" x14ac:dyDescent="0.25"/>
  <cols>
    <col min="12" max="12" width="13.85546875" bestFit="1" customWidth="1"/>
  </cols>
  <sheetData>
    <row r="2" spans="1:12" ht="21" x14ac:dyDescent="0.35">
      <c r="A2" s="4" t="s">
        <v>379</v>
      </c>
      <c r="B2" s="4" t="s">
        <v>385</v>
      </c>
    </row>
    <row r="4" spans="1:12" ht="21" x14ac:dyDescent="0.35">
      <c r="A4" s="4" t="s">
        <v>381</v>
      </c>
    </row>
    <row r="6" spans="1:12" x14ac:dyDescent="0.25">
      <c r="B6" s="3" t="s">
        <v>0</v>
      </c>
      <c r="C6" s="3" t="s">
        <v>1</v>
      </c>
      <c r="D6" s="3" t="s">
        <v>2</v>
      </c>
      <c r="E6" s="3" t="s">
        <v>3</v>
      </c>
      <c r="F6" s="3" t="s">
        <v>4</v>
      </c>
      <c r="G6" s="3" t="s">
        <v>5</v>
      </c>
      <c r="H6" s="3" t="s">
        <v>6</v>
      </c>
      <c r="I6" s="3" t="s">
        <v>7</v>
      </c>
      <c r="J6" s="3" t="s">
        <v>8</v>
      </c>
      <c r="K6" s="3" t="s">
        <v>9</v>
      </c>
      <c r="L6" s="3" t="s">
        <v>390</v>
      </c>
    </row>
    <row r="7" spans="1:12" hidden="1" x14ac:dyDescent="0.25">
      <c r="B7" s="7" t="s">
        <v>10</v>
      </c>
      <c r="C7" s="7" t="s">
        <v>11</v>
      </c>
      <c r="D7" s="7" t="s">
        <v>12</v>
      </c>
      <c r="E7" s="7" t="s">
        <v>13</v>
      </c>
      <c r="F7" s="7" t="s">
        <v>14</v>
      </c>
      <c r="G7" s="7" t="s">
        <v>15</v>
      </c>
      <c r="H7" s="1">
        <v>44927</v>
      </c>
      <c r="I7" s="1">
        <v>235</v>
      </c>
      <c r="J7" s="1">
        <v>152.91999999999999</v>
      </c>
      <c r="K7" s="1">
        <v>153.6</v>
      </c>
      <c r="L7" s="17">
        <f>$I7*$J7</f>
        <v>35936.199999999997</v>
      </c>
    </row>
    <row r="8" spans="1:12" hidden="1" x14ac:dyDescent="0.25">
      <c r="B8" s="7" t="s">
        <v>16</v>
      </c>
      <c r="C8" s="7" t="s">
        <v>17</v>
      </c>
      <c r="D8" s="7" t="s">
        <v>18</v>
      </c>
      <c r="E8" s="7" t="s">
        <v>19</v>
      </c>
      <c r="F8" s="7" t="s">
        <v>14</v>
      </c>
      <c r="G8" s="7" t="s">
        <v>20</v>
      </c>
      <c r="H8" s="1">
        <v>44928</v>
      </c>
      <c r="I8" s="1">
        <v>341</v>
      </c>
      <c r="J8" s="1">
        <v>467.92</v>
      </c>
      <c r="K8" s="1">
        <v>139.84</v>
      </c>
      <c r="L8" s="17">
        <f t="shared" ref="L8:L71" si="0">$I8*$J8</f>
        <v>159560.72</v>
      </c>
    </row>
    <row r="9" spans="1:12" hidden="1" x14ac:dyDescent="0.25">
      <c r="B9" s="7" t="s">
        <v>21</v>
      </c>
      <c r="C9" s="7" t="s">
        <v>22</v>
      </c>
      <c r="D9" s="7" t="s">
        <v>18</v>
      </c>
      <c r="E9" s="7" t="s">
        <v>23</v>
      </c>
      <c r="F9" s="7" t="s">
        <v>24</v>
      </c>
      <c r="G9" s="7" t="s">
        <v>15</v>
      </c>
      <c r="H9" s="1">
        <v>44929</v>
      </c>
      <c r="I9" s="1">
        <v>179</v>
      </c>
      <c r="J9" s="1">
        <v>473.94</v>
      </c>
      <c r="K9" s="1">
        <v>97.14</v>
      </c>
      <c r="L9" s="17">
        <f t="shared" si="0"/>
        <v>84835.26</v>
      </c>
    </row>
    <row r="10" spans="1:12" hidden="1" x14ac:dyDescent="0.25">
      <c r="B10" s="7" t="s">
        <v>25</v>
      </c>
      <c r="C10" s="7" t="s">
        <v>11</v>
      </c>
      <c r="D10" s="7" t="s">
        <v>26</v>
      </c>
      <c r="E10" s="7" t="s">
        <v>27</v>
      </c>
      <c r="F10" s="7" t="s">
        <v>24</v>
      </c>
      <c r="G10" s="7" t="s">
        <v>28</v>
      </c>
      <c r="H10" s="1">
        <v>44930</v>
      </c>
      <c r="I10" s="7">
        <v>18</v>
      </c>
      <c r="J10" s="7">
        <v>314.52999999999997</v>
      </c>
      <c r="K10" s="7">
        <v>204.87</v>
      </c>
      <c r="L10" s="17">
        <f t="shared" si="0"/>
        <v>5661.5399999999991</v>
      </c>
    </row>
    <row r="11" spans="1:12" hidden="1" x14ac:dyDescent="0.25">
      <c r="B11" s="7" t="s">
        <v>29</v>
      </c>
      <c r="C11" s="7" t="s">
        <v>11</v>
      </c>
      <c r="D11" s="7" t="s">
        <v>18</v>
      </c>
      <c r="E11" s="7" t="s">
        <v>27</v>
      </c>
      <c r="F11" s="7" t="s">
        <v>24</v>
      </c>
      <c r="G11" s="7" t="s">
        <v>28</v>
      </c>
      <c r="H11" s="1">
        <v>44931</v>
      </c>
      <c r="I11" s="7">
        <v>472</v>
      </c>
      <c r="J11" s="7">
        <v>392.79</v>
      </c>
      <c r="K11" s="7">
        <v>330.46</v>
      </c>
      <c r="L11" s="17">
        <f t="shared" si="0"/>
        <v>185396.88</v>
      </c>
    </row>
    <row r="12" spans="1:12" hidden="1" x14ac:dyDescent="0.25">
      <c r="B12" s="7" t="s">
        <v>30</v>
      </c>
      <c r="C12" s="7" t="s">
        <v>17</v>
      </c>
      <c r="D12" s="7" t="s">
        <v>31</v>
      </c>
      <c r="E12" s="7" t="s">
        <v>23</v>
      </c>
      <c r="F12" s="7" t="s">
        <v>14</v>
      </c>
      <c r="G12" s="7" t="s">
        <v>15</v>
      </c>
      <c r="H12" s="1">
        <v>44932</v>
      </c>
      <c r="I12" s="7">
        <v>49</v>
      </c>
      <c r="J12" s="7">
        <v>308.07</v>
      </c>
      <c r="K12" s="7">
        <v>113.32</v>
      </c>
      <c r="L12" s="17">
        <f t="shared" si="0"/>
        <v>15095.43</v>
      </c>
    </row>
    <row r="13" spans="1:12" hidden="1" x14ac:dyDescent="0.25">
      <c r="B13" s="7" t="s">
        <v>32</v>
      </c>
      <c r="C13" s="7" t="s">
        <v>22</v>
      </c>
      <c r="D13" s="7" t="s">
        <v>12</v>
      </c>
      <c r="E13" s="7" t="s">
        <v>23</v>
      </c>
      <c r="F13" s="7" t="s">
        <v>14</v>
      </c>
      <c r="G13" s="7" t="s">
        <v>20</v>
      </c>
      <c r="H13" s="1">
        <v>44933</v>
      </c>
      <c r="I13" s="7">
        <v>34</v>
      </c>
      <c r="J13" s="7">
        <v>244.78</v>
      </c>
      <c r="K13" s="7">
        <v>377.07</v>
      </c>
      <c r="L13" s="17">
        <f t="shared" si="0"/>
        <v>8322.52</v>
      </c>
    </row>
    <row r="14" spans="1:12" hidden="1" x14ac:dyDescent="0.25">
      <c r="B14" s="7" t="s">
        <v>33</v>
      </c>
      <c r="C14" s="7" t="s">
        <v>22</v>
      </c>
      <c r="D14" s="7" t="s">
        <v>18</v>
      </c>
      <c r="E14" s="7" t="s">
        <v>13</v>
      </c>
      <c r="F14" s="7" t="s">
        <v>14</v>
      </c>
      <c r="G14" s="7" t="s">
        <v>15</v>
      </c>
      <c r="H14" s="1">
        <v>44934</v>
      </c>
      <c r="I14" s="7">
        <v>270</v>
      </c>
      <c r="J14" s="7">
        <v>332.11</v>
      </c>
      <c r="K14" s="7">
        <v>349.59</v>
      </c>
      <c r="L14" s="17">
        <f t="shared" si="0"/>
        <v>89669.7</v>
      </c>
    </row>
    <row r="15" spans="1:12" hidden="1" x14ac:dyDescent="0.25">
      <c r="B15" s="7" t="s">
        <v>34</v>
      </c>
      <c r="C15" s="7" t="s">
        <v>11</v>
      </c>
      <c r="D15" s="7" t="s">
        <v>18</v>
      </c>
      <c r="E15" s="7" t="s">
        <v>13</v>
      </c>
      <c r="F15" s="7" t="s">
        <v>14</v>
      </c>
      <c r="G15" s="7" t="s">
        <v>20</v>
      </c>
      <c r="H15" s="1">
        <v>44935</v>
      </c>
      <c r="I15" s="7">
        <v>404</v>
      </c>
      <c r="J15" s="7">
        <v>278.74</v>
      </c>
      <c r="K15" s="7">
        <v>66.38</v>
      </c>
      <c r="L15" s="17">
        <f t="shared" si="0"/>
        <v>112610.96</v>
      </c>
    </row>
    <row r="16" spans="1:12" hidden="1" x14ac:dyDescent="0.25">
      <c r="B16" s="7" t="s">
        <v>35</v>
      </c>
      <c r="C16" s="7" t="s">
        <v>11</v>
      </c>
      <c r="D16" s="7" t="s">
        <v>26</v>
      </c>
      <c r="E16" s="7" t="s">
        <v>27</v>
      </c>
      <c r="F16" s="7" t="s">
        <v>14</v>
      </c>
      <c r="G16" s="7" t="s">
        <v>28</v>
      </c>
      <c r="H16" s="1">
        <v>44936</v>
      </c>
      <c r="I16" s="7">
        <v>452</v>
      </c>
      <c r="J16" s="7">
        <v>300.75</v>
      </c>
      <c r="K16" s="7">
        <v>314.94</v>
      </c>
      <c r="L16" s="17">
        <f t="shared" si="0"/>
        <v>135939</v>
      </c>
    </row>
    <row r="17" spans="2:12" hidden="1" x14ac:dyDescent="0.25">
      <c r="B17" s="7" t="s">
        <v>36</v>
      </c>
      <c r="C17" s="7" t="s">
        <v>11</v>
      </c>
      <c r="D17" s="7" t="s">
        <v>26</v>
      </c>
      <c r="E17" s="7" t="s">
        <v>19</v>
      </c>
      <c r="F17" s="7" t="s">
        <v>14</v>
      </c>
      <c r="G17" s="7" t="s">
        <v>20</v>
      </c>
      <c r="H17" s="1">
        <v>44937</v>
      </c>
      <c r="I17" s="7">
        <v>235</v>
      </c>
      <c r="J17" s="7">
        <v>393</v>
      </c>
      <c r="K17" s="7">
        <v>230.69</v>
      </c>
      <c r="L17" s="17">
        <f t="shared" si="0"/>
        <v>92355</v>
      </c>
    </row>
    <row r="18" spans="2:12" hidden="1" x14ac:dyDescent="0.25">
      <c r="B18" s="7" t="s">
        <v>37</v>
      </c>
      <c r="C18" s="7" t="s">
        <v>11</v>
      </c>
      <c r="D18" s="7" t="s">
        <v>31</v>
      </c>
      <c r="E18" s="7" t="s">
        <v>27</v>
      </c>
      <c r="F18" s="7" t="s">
        <v>24</v>
      </c>
      <c r="G18" s="7" t="s">
        <v>28</v>
      </c>
      <c r="H18" s="1">
        <v>44938</v>
      </c>
      <c r="I18" s="7">
        <v>481</v>
      </c>
      <c r="J18" s="7">
        <v>243.05</v>
      </c>
      <c r="K18" s="7">
        <v>227.5</v>
      </c>
      <c r="L18" s="17">
        <f t="shared" si="0"/>
        <v>116907.05</v>
      </c>
    </row>
    <row r="19" spans="2:12" hidden="1" x14ac:dyDescent="0.25">
      <c r="B19" s="7" t="s">
        <v>38</v>
      </c>
      <c r="C19" s="7" t="s">
        <v>11</v>
      </c>
      <c r="D19" s="7" t="s">
        <v>12</v>
      </c>
      <c r="E19" s="7" t="s">
        <v>19</v>
      </c>
      <c r="F19" s="7" t="s">
        <v>24</v>
      </c>
      <c r="G19" s="7" t="s">
        <v>20</v>
      </c>
      <c r="H19" s="1">
        <v>44939</v>
      </c>
      <c r="I19" s="7">
        <v>133</v>
      </c>
      <c r="J19" s="7">
        <v>25.17</v>
      </c>
      <c r="K19" s="7">
        <v>157.63999999999999</v>
      </c>
      <c r="L19" s="17">
        <f t="shared" si="0"/>
        <v>3347.61</v>
      </c>
    </row>
    <row r="20" spans="2:12" hidden="1" x14ac:dyDescent="0.25">
      <c r="B20" s="7" t="s">
        <v>39</v>
      </c>
      <c r="C20" s="7" t="s">
        <v>11</v>
      </c>
      <c r="D20" s="7" t="s">
        <v>26</v>
      </c>
      <c r="E20" s="7" t="s">
        <v>19</v>
      </c>
      <c r="F20" s="7" t="s">
        <v>24</v>
      </c>
      <c r="G20" s="7" t="s">
        <v>20</v>
      </c>
      <c r="H20" s="1">
        <v>44940</v>
      </c>
      <c r="I20" s="7">
        <v>472</v>
      </c>
      <c r="J20" s="7">
        <v>86.18</v>
      </c>
      <c r="K20" s="7">
        <v>201.46</v>
      </c>
      <c r="L20" s="17">
        <f t="shared" si="0"/>
        <v>40676.960000000006</v>
      </c>
    </row>
    <row r="21" spans="2:12" hidden="1" x14ac:dyDescent="0.25">
      <c r="B21" s="7" t="s">
        <v>40</v>
      </c>
      <c r="C21" s="7" t="s">
        <v>17</v>
      </c>
      <c r="D21" s="7" t="s">
        <v>18</v>
      </c>
      <c r="E21" s="7" t="s">
        <v>13</v>
      </c>
      <c r="F21" s="7" t="s">
        <v>24</v>
      </c>
      <c r="G21" s="7" t="s">
        <v>20</v>
      </c>
      <c r="H21" s="1">
        <v>44941</v>
      </c>
      <c r="I21" s="7">
        <v>47</v>
      </c>
      <c r="J21" s="7">
        <v>222.11</v>
      </c>
      <c r="K21" s="7">
        <v>160.08000000000001</v>
      </c>
      <c r="L21" s="17">
        <f t="shared" si="0"/>
        <v>10439.17</v>
      </c>
    </row>
    <row r="22" spans="2:12" hidden="1" x14ac:dyDescent="0.25">
      <c r="B22" s="7" t="s">
        <v>41</v>
      </c>
      <c r="C22" s="7" t="s">
        <v>22</v>
      </c>
      <c r="D22" s="7" t="s">
        <v>12</v>
      </c>
      <c r="E22" s="7" t="s">
        <v>42</v>
      </c>
      <c r="F22" s="7" t="s">
        <v>14</v>
      </c>
      <c r="G22" s="7" t="s">
        <v>15</v>
      </c>
      <c r="H22" s="1">
        <v>44942</v>
      </c>
      <c r="I22" s="7">
        <v>337</v>
      </c>
      <c r="J22" s="7">
        <v>363.79</v>
      </c>
      <c r="K22" s="7">
        <v>216.81</v>
      </c>
      <c r="L22" s="17">
        <f t="shared" si="0"/>
        <v>122597.23000000001</v>
      </c>
    </row>
    <row r="23" spans="2:12" hidden="1" x14ac:dyDescent="0.25">
      <c r="B23" s="7" t="s">
        <v>43</v>
      </c>
      <c r="C23" s="7" t="s">
        <v>17</v>
      </c>
      <c r="D23" s="7" t="s">
        <v>12</v>
      </c>
      <c r="E23" s="7" t="s">
        <v>42</v>
      </c>
      <c r="F23" s="7" t="s">
        <v>14</v>
      </c>
      <c r="G23" s="7" t="s">
        <v>15</v>
      </c>
      <c r="H23" s="1">
        <v>44943</v>
      </c>
      <c r="I23" s="7">
        <v>260</v>
      </c>
      <c r="J23" s="7">
        <v>298.67</v>
      </c>
      <c r="K23" s="7">
        <v>251.92</v>
      </c>
      <c r="L23" s="17">
        <f t="shared" si="0"/>
        <v>77654.2</v>
      </c>
    </row>
    <row r="24" spans="2:12" hidden="1" x14ac:dyDescent="0.25">
      <c r="B24" s="7" t="s">
        <v>44</v>
      </c>
      <c r="C24" s="7" t="s">
        <v>17</v>
      </c>
      <c r="D24" s="7" t="s">
        <v>18</v>
      </c>
      <c r="E24" s="7" t="s">
        <v>23</v>
      </c>
      <c r="F24" s="7" t="s">
        <v>24</v>
      </c>
      <c r="G24" s="7" t="s">
        <v>28</v>
      </c>
      <c r="H24" s="1">
        <v>44944</v>
      </c>
      <c r="I24" s="7">
        <v>398</v>
      </c>
      <c r="J24" s="7">
        <v>326.89999999999998</v>
      </c>
      <c r="K24" s="7">
        <v>270.37</v>
      </c>
      <c r="L24" s="17">
        <f t="shared" si="0"/>
        <v>130106.2</v>
      </c>
    </row>
    <row r="25" spans="2:12" hidden="1" x14ac:dyDescent="0.25">
      <c r="B25" s="7" t="s">
        <v>45</v>
      </c>
      <c r="C25" s="7" t="s">
        <v>17</v>
      </c>
      <c r="D25" s="7" t="s">
        <v>26</v>
      </c>
      <c r="E25" s="7" t="s">
        <v>13</v>
      </c>
      <c r="F25" s="7" t="s">
        <v>14</v>
      </c>
      <c r="G25" s="7" t="s">
        <v>28</v>
      </c>
      <c r="H25" s="1">
        <v>44945</v>
      </c>
      <c r="I25" s="7">
        <v>185</v>
      </c>
      <c r="J25" s="7">
        <v>242.24</v>
      </c>
      <c r="K25" s="7">
        <v>213.93</v>
      </c>
      <c r="L25" s="17">
        <f t="shared" si="0"/>
        <v>44814.400000000001</v>
      </c>
    </row>
    <row r="26" spans="2:12" hidden="1" x14ac:dyDescent="0.25">
      <c r="B26" s="7" t="s">
        <v>46</v>
      </c>
      <c r="C26" s="7" t="s">
        <v>11</v>
      </c>
      <c r="D26" s="7" t="s">
        <v>18</v>
      </c>
      <c r="E26" s="7" t="s">
        <v>19</v>
      </c>
      <c r="F26" s="7" t="s">
        <v>24</v>
      </c>
      <c r="G26" s="7" t="s">
        <v>15</v>
      </c>
      <c r="H26" s="1">
        <v>44946</v>
      </c>
      <c r="I26" s="7">
        <v>99</v>
      </c>
      <c r="J26" s="7">
        <v>309.79000000000002</v>
      </c>
      <c r="K26" s="7">
        <v>289.13</v>
      </c>
      <c r="L26" s="17">
        <f t="shared" si="0"/>
        <v>30669.210000000003</v>
      </c>
    </row>
    <row r="27" spans="2:12" hidden="1" x14ac:dyDescent="0.25">
      <c r="B27" s="7" t="s">
        <v>47</v>
      </c>
      <c r="C27" s="7" t="s">
        <v>48</v>
      </c>
      <c r="D27" s="7" t="s">
        <v>12</v>
      </c>
      <c r="E27" s="7" t="s">
        <v>42</v>
      </c>
      <c r="F27" s="7" t="s">
        <v>24</v>
      </c>
      <c r="G27" s="7" t="s">
        <v>28</v>
      </c>
      <c r="H27" s="1">
        <v>44947</v>
      </c>
      <c r="I27" s="7">
        <v>411</v>
      </c>
      <c r="J27" s="7">
        <v>167.86</v>
      </c>
      <c r="K27" s="7">
        <v>58.23</v>
      </c>
      <c r="L27" s="17">
        <f t="shared" si="0"/>
        <v>68990.460000000006</v>
      </c>
    </row>
    <row r="28" spans="2:12" hidden="1" x14ac:dyDescent="0.25">
      <c r="B28" s="7" t="s">
        <v>49</v>
      </c>
      <c r="C28" s="7" t="s">
        <v>22</v>
      </c>
      <c r="D28" s="7" t="s">
        <v>50</v>
      </c>
      <c r="E28" s="7" t="s">
        <v>19</v>
      </c>
      <c r="F28" s="7" t="s">
        <v>24</v>
      </c>
      <c r="G28" s="7" t="s">
        <v>15</v>
      </c>
      <c r="H28" s="1">
        <v>44948</v>
      </c>
      <c r="I28" s="7">
        <v>463</v>
      </c>
      <c r="J28" s="7">
        <v>237.74</v>
      </c>
      <c r="K28" s="7">
        <v>86.37</v>
      </c>
      <c r="L28" s="17">
        <f t="shared" si="0"/>
        <v>110073.62000000001</v>
      </c>
    </row>
    <row r="29" spans="2:12" hidden="1" x14ac:dyDescent="0.25">
      <c r="B29" s="7" t="s">
        <v>51</v>
      </c>
      <c r="C29" s="7" t="s">
        <v>48</v>
      </c>
      <c r="D29" s="7" t="s">
        <v>50</v>
      </c>
      <c r="E29" s="7" t="s">
        <v>42</v>
      </c>
      <c r="F29" s="7" t="s">
        <v>14</v>
      </c>
      <c r="G29" s="7" t="s">
        <v>20</v>
      </c>
      <c r="H29" s="1">
        <v>44949</v>
      </c>
      <c r="I29" s="7">
        <v>46</v>
      </c>
      <c r="J29" s="7">
        <v>373.42</v>
      </c>
      <c r="K29" s="7">
        <v>327.86</v>
      </c>
      <c r="L29" s="17">
        <f t="shared" si="0"/>
        <v>17177.32</v>
      </c>
    </row>
    <row r="30" spans="2:12" hidden="1" x14ac:dyDescent="0.25">
      <c r="B30" s="7" t="s">
        <v>52</v>
      </c>
      <c r="C30" s="7" t="s">
        <v>17</v>
      </c>
      <c r="D30" s="7" t="s">
        <v>31</v>
      </c>
      <c r="E30" s="7" t="s">
        <v>42</v>
      </c>
      <c r="F30" s="7" t="s">
        <v>24</v>
      </c>
      <c r="G30" s="7" t="s">
        <v>28</v>
      </c>
      <c r="H30" s="1">
        <v>44950</v>
      </c>
      <c r="I30" s="7">
        <v>325</v>
      </c>
      <c r="J30" s="7">
        <v>436.56</v>
      </c>
      <c r="K30" s="7">
        <v>130.37</v>
      </c>
      <c r="L30" s="17">
        <f t="shared" si="0"/>
        <v>141882</v>
      </c>
    </row>
    <row r="31" spans="2:12" hidden="1" x14ac:dyDescent="0.25">
      <c r="B31" s="7" t="s">
        <v>53</v>
      </c>
      <c r="C31" s="7" t="s">
        <v>17</v>
      </c>
      <c r="D31" s="7" t="s">
        <v>18</v>
      </c>
      <c r="E31" s="7" t="s">
        <v>42</v>
      </c>
      <c r="F31" s="7" t="s">
        <v>24</v>
      </c>
      <c r="G31" s="7" t="s">
        <v>28</v>
      </c>
      <c r="H31" s="1">
        <v>44951</v>
      </c>
      <c r="I31" s="7">
        <v>185</v>
      </c>
      <c r="J31" s="7">
        <v>219.66</v>
      </c>
      <c r="K31" s="7">
        <v>11.11</v>
      </c>
      <c r="L31" s="17">
        <f t="shared" si="0"/>
        <v>40637.1</v>
      </c>
    </row>
    <row r="32" spans="2:12" hidden="1" x14ac:dyDescent="0.25">
      <c r="B32" s="7" t="s">
        <v>54</v>
      </c>
      <c r="C32" s="7" t="s">
        <v>48</v>
      </c>
      <c r="D32" s="7" t="s">
        <v>18</v>
      </c>
      <c r="E32" s="7" t="s">
        <v>13</v>
      </c>
      <c r="F32" s="7" t="s">
        <v>24</v>
      </c>
      <c r="G32" s="7" t="s">
        <v>15</v>
      </c>
      <c r="H32" s="1">
        <v>44952</v>
      </c>
      <c r="I32" s="7">
        <v>470</v>
      </c>
      <c r="J32" s="7">
        <v>26.61</v>
      </c>
      <c r="K32" s="7">
        <v>63.21</v>
      </c>
      <c r="L32" s="17">
        <f t="shared" si="0"/>
        <v>12506.699999999999</v>
      </c>
    </row>
    <row r="33" spans="2:12" hidden="1" x14ac:dyDescent="0.25">
      <c r="B33" s="7" t="s">
        <v>55</v>
      </c>
      <c r="C33" s="7" t="s">
        <v>48</v>
      </c>
      <c r="D33" s="7" t="s">
        <v>31</v>
      </c>
      <c r="E33" s="7" t="s">
        <v>27</v>
      </c>
      <c r="F33" s="7" t="s">
        <v>14</v>
      </c>
      <c r="G33" s="7" t="s">
        <v>28</v>
      </c>
      <c r="H33" s="1">
        <v>44953</v>
      </c>
      <c r="I33" s="7">
        <v>293</v>
      </c>
      <c r="J33" s="7">
        <v>85.03</v>
      </c>
      <c r="K33" s="7">
        <v>91</v>
      </c>
      <c r="L33" s="17">
        <f t="shared" si="0"/>
        <v>24913.79</v>
      </c>
    </row>
    <row r="34" spans="2:12" hidden="1" x14ac:dyDescent="0.25">
      <c r="B34" s="7" t="s">
        <v>56</v>
      </c>
      <c r="C34" s="7" t="s">
        <v>48</v>
      </c>
      <c r="D34" s="7" t="s">
        <v>31</v>
      </c>
      <c r="E34" s="7" t="s">
        <v>19</v>
      </c>
      <c r="F34" s="7" t="s">
        <v>14</v>
      </c>
      <c r="G34" s="7" t="s">
        <v>28</v>
      </c>
      <c r="H34" s="1">
        <v>44954</v>
      </c>
      <c r="I34" s="7">
        <v>462</v>
      </c>
      <c r="J34" s="7">
        <v>249.64</v>
      </c>
      <c r="K34" s="7">
        <v>383.01</v>
      </c>
      <c r="L34" s="17">
        <f t="shared" si="0"/>
        <v>115333.68</v>
      </c>
    </row>
    <row r="35" spans="2:12" hidden="1" x14ac:dyDescent="0.25">
      <c r="B35" s="7" t="s">
        <v>57</v>
      </c>
      <c r="C35" s="7" t="s">
        <v>17</v>
      </c>
      <c r="D35" s="7" t="s">
        <v>31</v>
      </c>
      <c r="E35" s="7" t="s">
        <v>13</v>
      </c>
      <c r="F35" s="7" t="s">
        <v>24</v>
      </c>
      <c r="G35" s="7" t="s">
        <v>20</v>
      </c>
      <c r="H35" s="1">
        <v>44955</v>
      </c>
      <c r="I35" s="7">
        <v>470</v>
      </c>
      <c r="J35" s="7">
        <v>328.37</v>
      </c>
      <c r="K35" s="7">
        <v>230.07</v>
      </c>
      <c r="L35" s="17">
        <f t="shared" si="0"/>
        <v>154333.9</v>
      </c>
    </row>
    <row r="36" spans="2:12" hidden="1" x14ac:dyDescent="0.25">
      <c r="B36" s="7" t="s">
        <v>58</v>
      </c>
      <c r="C36" s="7" t="s">
        <v>17</v>
      </c>
      <c r="D36" s="7" t="s">
        <v>12</v>
      </c>
      <c r="E36" s="7" t="s">
        <v>13</v>
      </c>
      <c r="F36" s="7" t="s">
        <v>14</v>
      </c>
      <c r="G36" s="7" t="s">
        <v>28</v>
      </c>
      <c r="H36" s="1">
        <v>44956</v>
      </c>
      <c r="I36" s="7">
        <v>90</v>
      </c>
      <c r="J36" s="7">
        <v>169.5</v>
      </c>
      <c r="K36" s="7">
        <v>373.23</v>
      </c>
      <c r="L36" s="17">
        <f t="shared" si="0"/>
        <v>15255</v>
      </c>
    </row>
    <row r="37" spans="2:12" hidden="1" x14ac:dyDescent="0.25">
      <c r="B37" s="7" t="s">
        <v>59</v>
      </c>
      <c r="C37" s="7" t="s">
        <v>17</v>
      </c>
      <c r="D37" s="7" t="s">
        <v>18</v>
      </c>
      <c r="E37" s="7" t="s">
        <v>13</v>
      </c>
      <c r="F37" s="7" t="s">
        <v>14</v>
      </c>
      <c r="G37" s="7" t="s">
        <v>20</v>
      </c>
      <c r="H37" s="1">
        <v>44957</v>
      </c>
      <c r="I37" s="7">
        <v>123</v>
      </c>
      <c r="J37" s="7">
        <v>273.52999999999997</v>
      </c>
      <c r="K37" s="7">
        <v>230.92</v>
      </c>
      <c r="L37" s="17">
        <f t="shared" si="0"/>
        <v>33644.189999999995</v>
      </c>
    </row>
    <row r="38" spans="2:12" hidden="1" x14ac:dyDescent="0.25">
      <c r="B38" s="7" t="s">
        <v>60</v>
      </c>
      <c r="C38" s="7" t="s">
        <v>22</v>
      </c>
      <c r="D38" s="7" t="s">
        <v>12</v>
      </c>
      <c r="E38" s="7" t="s">
        <v>13</v>
      </c>
      <c r="F38" s="7" t="s">
        <v>14</v>
      </c>
      <c r="G38" s="7" t="s">
        <v>15</v>
      </c>
      <c r="H38" s="1">
        <v>44958</v>
      </c>
      <c r="I38" s="7">
        <v>49</v>
      </c>
      <c r="J38" s="7">
        <v>249.17</v>
      </c>
      <c r="K38" s="7">
        <v>192.78</v>
      </c>
      <c r="L38" s="17">
        <f t="shared" si="0"/>
        <v>12209.33</v>
      </c>
    </row>
    <row r="39" spans="2:12" hidden="1" x14ac:dyDescent="0.25">
      <c r="B39" s="7" t="s">
        <v>61</v>
      </c>
      <c r="C39" s="7" t="s">
        <v>17</v>
      </c>
      <c r="D39" s="7" t="s">
        <v>31</v>
      </c>
      <c r="E39" s="7" t="s">
        <v>13</v>
      </c>
      <c r="F39" s="7" t="s">
        <v>14</v>
      </c>
      <c r="G39" s="7" t="s">
        <v>28</v>
      </c>
      <c r="H39" s="1">
        <v>44959</v>
      </c>
      <c r="I39" s="7">
        <v>310</v>
      </c>
      <c r="J39" s="7">
        <v>45.36</v>
      </c>
      <c r="K39" s="7">
        <v>126.86</v>
      </c>
      <c r="L39" s="17">
        <f t="shared" si="0"/>
        <v>14061.6</v>
      </c>
    </row>
    <row r="40" spans="2:12" hidden="1" x14ac:dyDescent="0.25">
      <c r="B40" s="7" t="s">
        <v>62</v>
      </c>
      <c r="C40" s="7" t="s">
        <v>48</v>
      </c>
      <c r="D40" s="7" t="s">
        <v>18</v>
      </c>
      <c r="E40" s="7" t="s">
        <v>23</v>
      </c>
      <c r="F40" s="7" t="s">
        <v>14</v>
      </c>
      <c r="G40" s="7" t="s">
        <v>20</v>
      </c>
      <c r="H40" s="1">
        <v>44960</v>
      </c>
      <c r="I40" s="7">
        <v>233</v>
      </c>
      <c r="J40" s="7">
        <v>204.61</v>
      </c>
      <c r="K40" s="7">
        <v>243.34</v>
      </c>
      <c r="L40" s="17">
        <f t="shared" si="0"/>
        <v>47674.130000000005</v>
      </c>
    </row>
    <row r="41" spans="2:12" hidden="1" x14ac:dyDescent="0.25">
      <c r="B41" s="7" t="s">
        <v>63</v>
      </c>
      <c r="C41" s="7" t="s">
        <v>48</v>
      </c>
      <c r="D41" s="7" t="s">
        <v>12</v>
      </c>
      <c r="E41" s="7" t="s">
        <v>19</v>
      </c>
      <c r="F41" s="7" t="s">
        <v>14</v>
      </c>
      <c r="G41" s="7" t="s">
        <v>15</v>
      </c>
      <c r="H41" s="1">
        <v>44961</v>
      </c>
      <c r="I41" s="7">
        <v>327</v>
      </c>
      <c r="J41" s="7">
        <v>114.18</v>
      </c>
      <c r="K41" s="7">
        <v>57.4</v>
      </c>
      <c r="L41" s="17">
        <f t="shared" si="0"/>
        <v>37336.86</v>
      </c>
    </row>
    <row r="42" spans="2:12" hidden="1" x14ac:dyDescent="0.25">
      <c r="B42" s="7" t="s">
        <v>64</v>
      </c>
      <c r="C42" s="7" t="s">
        <v>22</v>
      </c>
      <c r="D42" s="7" t="s">
        <v>12</v>
      </c>
      <c r="E42" s="7" t="s">
        <v>13</v>
      </c>
      <c r="F42" s="7" t="s">
        <v>14</v>
      </c>
      <c r="G42" s="7" t="s">
        <v>28</v>
      </c>
      <c r="H42" s="1">
        <v>44962</v>
      </c>
      <c r="I42" s="7">
        <v>358</v>
      </c>
      <c r="J42" s="7">
        <v>212.11</v>
      </c>
      <c r="K42" s="7">
        <v>359.51</v>
      </c>
      <c r="L42" s="17">
        <f t="shared" si="0"/>
        <v>75935.38</v>
      </c>
    </row>
    <row r="43" spans="2:12" hidden="1" x14ac:dyDescent="0.25">
      <c r="B43" s="7" t="s">
        <v>65</v>
      </c>
      <c r="C43" s="7" t="s">
        <v>17</v>
      </c>
      <c r="D43" s="7" t="s">
        <v>31</v>
      </c>
      <c r="E43" s="7" t="s">
        <v>19</v>
      </c>
      <c r="F43" s="7" t="s">
        <v>14</v>
      </c>
      <c r="G43" s="7" t="s">
        <v>15</v>
      </c>
      <c r="H43" s="1">
        <v>44963</v>
      </c>
      <c r="I43" s="7">
        <v>124</v>
      </c>
      <c r="J43" s="7">
        <v>249.64</v>
      </c>
      <c r="K43" s="7">
        <v>332.07</v>
      </c>
      <c r="L43" s="17">
        <f t="shared" si="0"/>
        <v>30955.359999999997</v>
      </c>
    </row>
    <row r="44" spans="2:12" hidden="1" x14ac:dyDescent="0.25">
      <c r="B44" s="7" t="s">
        <v>66</v>
      </c>
      <c r="C44" s="7" t="s">
        <v>22</v>
      </c>
      <c r="D44" s="7" t="s">
        <v>18</v>
      </c>
      <c r="E44" s="7" t="s">
        <v>23</v>
      </c>
      <c r="F44" s="7" t="s">
        <v>14</v>
      </c>
      <c r="G44" s="7" t="s">
        <v>28</v>
      </c>
      <c r="H44" s="1">
        <v>44964</v>
      </c>
      <c r="I44" s="7">
        <v>195</v>
      </c>
      <c r="J44" s="7">
        <v>421.02</v>
      </c>
      <c r="K44" s="7">
        <v>128.38</v>
      </c>
      <c r="L44" s="17">
        <f t="shared" si="0"/>
        <v>82098.899999999994</v>
      </c>
    </row>
    <row r="45" spans="2:12" hidden="1" x14ac:dyDescent="0.25">
      <c r="B45" s="7" t="s">
        <v>67</v>
      </c>
      <c r="C45" s="7" t="s">
        <v>22</v>
      </c>
      <c r="D45" s="7" t="s">
        <v>31</v>
      </c>
      <c r="E45" s="7" t="s">
        <v>23</v>
      </c>
      <c r="F45" s="7" t="s">
        <v>14</v>
      </c>
      <c r="G45" s="7" t="s">
        <v>15</v>
      </c>
      <c r="H45" s="1">
        <v>44965</v>
      </c>
      <c r="I45" s="7">
        <v>255.9</v>
      </c>
      <c r="J45" s="7">
        <v>91.23</v>
      </c>
      <c r="K45" s="7">
        <v>381.21</v>
      </c>
      <c r="L45" s="17">
        <f t="shared" si="0"/>
        <v>23345.757000000001</v>
      </c>
    </row>
    <row r="46" spans="2:12" hidden="1" x14ac:dyDescent="0.25">
      <c r="B46" s="7" t="s">
        <v>68</v>
      </c>
      <c r="C46" s="7" t="s">
        <v>11</v>
      </c>
      <c r="D46" s="7" t="s">
        <v>18</v>
      </c>
      <c r="E46" s="7" t="s">
        <v>19</v>
      </c>
      <c r="F46" s="7" t="s">
        <v>24</v>
      </c>
      <c r="G46" s="7" t="s">
        <v>15</v>
      </c>
      <c r="H46" s="1">
        <v>44966</v>
      </c>
      <c r="I46" s="7">
        <v>65</v>
      </c>
      <c r="J46" s="7">
        <v>480.59</v>
      </c>
      <c r="K46" s="7">
        <v>330.43</v>
      </c>
      <c r="L46" s="17">
        <f t="shared" si="0"/>
        <v>31238.35</v>
      </c>
    </row>
    <row r="47" spans="2:12" hidden="1" x14ac:dyDescent="0.25">
      <c r="B47" s="7" t="s">
        <v>69</v>
      </c>
      <c r="C47" s="7" t="s">
        <v>11</v>
      </c>
      <c r="D47" s="7" t="s">
        <v>50</v>
      </c>
      <c r="E47" s="7" t="s">
        <v>42</v>
      </c>
      <c r="F47" s="7" t="s">
        <v>24</v>
      </c>
      <c r="G47" s="7" t="s">
        <v>20</v>
      </c>
      <c r="H47" s="1">
        <v>44967</v>
      </c>
      <c r="I47" s="7">
        <v>49</v>
      </c>
      <c r="J47" s="7">
        <v>210.87</v>
      </c>
      <c r="K47" s="7">
        <v>267.19</v>
      </c>
      <c r="L47" s="17">
        <f t="shared" si="0"/>
        <v>10332.630000000001</v>
      </c>
    </row>
    <row r="48" spans="2:12" hidden="1" x14ac:dyDescent="0.25">
      <c r="B48" s="7" t="s">
        <v>70</v>
      </c>
      <c r="C48" s="7" t="s">
        <v>11</v>
      </c>
      <c r="D48" s="7" t="s">
        <v>26</v>
      </c>
      <c r="E48" s="7" t="s">
        <v>27</v>
      </c>
      <c r="F48" s="7" t="s">
        <v>14</v>
      </c>
      <c r="G48" s="7" t="s">
        <v>15</v>
      </c>
      <c r="H48" s="1">
        <v>44968</v>
      </c>
      <c r="I48" s="7">
        <v>363</v>
      </c>
      <c r="J48" s="7">
        <v>423.89</v>
      </c>
      <c r="K48" s="7">
        <v>50.46</v>
      </c>
      <c r="L48" s="17">
        <f t="shared" si="0"/>
        <v>153872.07</v>
      </c>
    </row>
    <row r="49" spans="2:12" hidden="1" x14ac:dyDescent="0.25">
      <c r="B49" s="7" t="s">
        <v>71</v>
      </c>
      <c r="C49" s="7" t="s">
        <v>48</v>
      </c>
      <c r="D49" s="7" t="s">
        <v>26</v>
      </c>
      <c r="E49" s="7" t="s">
        <v>42</v>
      </c>
      <c r="F49" s="7" t="s">
        <v>24</v>
      </c>
      <c r="G49" s="7" t="s">
        <v>28</v>
      </c>
      <c r="H49" s="1">
        <v>44969</v>
      </c>
      <c r="I49" s="7">
        <v>49</v>
      </c>
      <c r="J49" s="7">
        <v>316.24</v>
      </c>
      <c r="K49" s="7">
        <v>192.34</v>
      </c>
      <c r="L49" s="17">
        <f t="shared" si="0"/>
        <v>15495.76</v>
      </c>
    </row>
    <row r="50" spans="2:12" hidden="1" x14ac:dyDescent="0.25">
      <c r="B50" s="7" t="s">
        <v>72</v>
      </c>
      <c r="C50" s="7" t="s">
        <v>17</v>
      </c>
      <c r="D50" s="7" t="s">
        <v>26</v>
      </c>
      <c r="E50" s="7" t="s">
        <v>42</v>
      </c>
      <c r="F50" s="7" t="s">
        <v>24</v>
      </c>
      <c r="G50" s="7" t="s">
        <v>28</v>
      </c>
      <c r="H50" s="1">
        <v>44970</v>
      </c>
      <c r="I50" s="7">
        <v>356</v>
      </c>
      <c r="J50" s="7">
        <v>369</v>
      </c>
      <c r="K50" s="7">
        <v>203.43</v>
      </c>
      <c r="L50" s="17">
        <f t="shared" si="0"/>
        <v>131364</v>
      </c>
    </row>
    <row r="51" spans="2:12" hidden="1" x14ac:dyDescent="0.25">
      <c r="B51" s="7" t="s">
        <v>73</v>
      </c>
      <c r="C51" s="7" t="s">
        <v>17</v>
      </c>
      <c r="D51" s="7" t="s">
        <v>31</v>
      </c>
      <c r="E51" s="7" t="s">
        <v>42</v>
      </c>
      <c r="F51" s="7" t="s">
        <v>14</v>
      </c>
      <c r="G51" s="7" t="s">
        <v>20</v>
      </c>
      <c r="H51" s="1">
        <v>44971</v>
      </c>
      <c r="I51" s="7">
        <v>470</v>
      </c>
      <c r="J51" s="7">
        <v>249.64</v>
      </c>
      <c r="K51" s="7">
        <v>94.56</v>
      </c>
      <c r="L51" s="17">
        <f t="shared" si="0"/>
        <v>117330.79999999999</v>
      </c>
    </row>
    <row r="52" spans="2:12" hidden="1" x14ac:dyDescent="0.25">
      <c r="B52" s="7" t="s">
        <v>74</v>
      </c>
      <c r="C52" s="7" t="s">
        <v>17</v>
      </c>
      <c r="D52" s="7" t="s">
        <v>50</v>
      </c>
      <c r="E52" s="7" t="s">
        <v>13</v>
      </c>
      <c r="F52" s="7" t="s">
        <v>14</v>
      </c>
      <c r="G52" s="7" t="s">
        <v>28</v>
      </c>
      <c r="H52" s="1">
        <v>44972</v>
      </c>
      <c r="I52" s="7">
        <v>246</v>
      </c>
      <c r="J52" s="7">
        <v>254.9</v>
      </c>
      <c r="K52" s="7">
        <v>33.83</v>
      </c>
      <c r="L52" s="17">
        <f t="shared" si="0"/>
        <v>62705.4</v>
      </c>
    </row>
    <row r="53" spans="2:12" hidden="1" x14ac:dyDescent="0.25">
      <c r="B53" s="7" t="s">
        <v>75</v>
      </c>
      <c r="C53" s="7" t="s">
        <v>17</v>
      </c>
      <c r="D53" s="7" t="s">
        <v>18</v>
      </c>
      <c r="E53" s="7" t="s">
        <v>23</v>
      </c>
      <c r="F53" s="7" t="s">
        <v>14</v>
      </c>
      <c r="G53" s="7" t="s">
        <v>28</v>
      </c>
      <c r="H53" s="1">
        <v>44973</v>
      </c>
      <c r="I53" s="7">
        <v>298</v>
      </c>
      <c r="J53" s="7">
        <v>273.93</v>
      </c>
      <c r="K53" s="7">
        <v>311.14</v>
      </c>
      <c r="L53" s="17">
        <f t="shared" si="0"/>
        <v>81631.14</v>
      </c>
    </row>
    <row r="54" spans="2:12" hidden="1" x14ac:dyDescent="0.25">
      <c r="B54" s="7" t="s">
        <v>76</v>
      </c>
      <c r="C54" s="7" t="s">
        <v>11</v>
      </c>
      <c r="D54" s="7" t="s">
        <v>12</v>
      </c>
      <c r="E54" s="7" t="s">
        <v>42</v>
      </c>
      <c r="F54" s="7" t="s">
        <v>24</v>
      </c>
      <c r="G54" s="7" t="s">
        <v>28</v>
      </c>
      <c r="H54" s="1">
        <v>44974</v>
      </c>
      <c r="I54" s="7">
        <v>271</v>
      </c>
      <c r="J54" s="7">
        <v>259.43</v>
      </c>
      <c r="K54" s="7">
        <v>50.57</v>
      </c>
      <c r="L54" s="17">
        <f t="shared" si="0"/>
        <v>70305.53</v>
      </c>
    </row>
    <row r="55" spans="2:12" hidden="1" x14ac:dyDescent="0.25">
      <c r="B55" s="7" t="s">
        <v>77</v>
      </c>
      <c r="C55" s="7" t="s">
        <v>48</v>
      </c>
      <c r="D55" s="7" t="s">
        <v>18</v>
      </c>
      <c r="E55" s="7" t="s">
        <v>23</v>
      </c>
      <c r="F55" s="7" t="s">
        <v>24</v>
      </c>
      <c r="G55" s="7" t="s">
        <v>15</v>
      </c>
      <c r="H55" s="1">
        <v>44975</v>
      </c>
      <c r="I55" s="7">
        <v>225</v>
      </c>
      <c r="J55" s="7">
        <v>296.08999999999997</v>
      </c>
      <c r="K55" s="7">
        <v>238.53</v>
      </c>
      <c r="L55" s="17">
        <f t="shared" si="0"/>
        <v>66620.25</v>
      </c>
    </row>
    <row r="56" spans="2:12" hidden="1" x14ac:dyDescent="0.25">
      <c r="B56" s="7" t="s">
        <v>78</v>
      </c>
      <c r="C56" s="7" t="s">
        <v>48</v>
      </c>
      <c r="D56" s="7" t="s">
        <v>12</v>
      </c>
      <c r="E56" s="7" t="s">
        <v>19</v>
      </c>
      <c r="F56" s="7" t="s">
        <v>14</v>
      </c>
      <c r="G56" s="7" t="s">
        <v>15</v>
      </c>
      <c r="H56" s="1">
        <v>44976</v>
      </c>
      <c r="I56" s="7">
        <v>156</v>
      </c>
      <c r="J56" s="7">
        <v>19.55</v>
      </c>
      <c r="K56" s="7">
        <v>374.71</v>
      </c>
      <c r="L56" s="17">
        <f t="shared" si="0"/>
        <v>3049.8</v>
      </c>
    </row>
    <row r="57" spans="2:12" hidden="1" x14ac:dyDescent="0.25">
      <c r="B57" s="7" t="s">
        <v>79</v>
      </c>
      <c r="C57" s="7" t="s">
        <v>11</v>
      </c>
      <c r="D57" s="7" t="s">
        <v>18</v>
      </c>
      <c r="E57" s="7" t="s">
        <v>27</v>
      </c>
      <c r="F57" s="7" t="s">
        <v>14</v>
      </c>
      <c r="G57" s="7" t="s">
        <v>28</v>
      </c>
      <c r="H57" s="1">
        <v>44977</v>
      </c>
      <c r="I57" s="7">
        <v>345</v>
      </c>
      <c r="J57" s="7">
        <v>200.78</v>
      </c>
      <c r="K57" s="7">
        <v>350.69</v>
      </c>
      <c r="L57" s="17">
        <f t="shared" si="0"/>
        <v>69269.100000000006</v>
      </c>
    </row>
    <row r="58" spans="2:12" hidden="1" x14ac:dyDescent="0.25">
      <c r="B58" s="7" t="s">
        <v>80</v>
      </c>
      <c r="C58" s="7" t="s">
        <v>48</v>
      </c>
      <c r="D58" s="7" t="s">
        <v>50</v>
      </c>
      <c r="E58" s="7" t="s">
        <v>19</v>
      </c>
      <c r="F58" s="7" t="s">
        <v>14</v>
      </c>
      <c r="G58" s="7" t="s">
        <v>20</v>
      </c>
      <c r="H58" s="1">
        <v>44978</v>
      </c>
      <c r="I58" s="7">
        <v>177</v>
      </c>
      <c r="J58" s="7">
        <v>305.06</v>
      </c>
      <c r="K58" s="7">
        <v>112.55</v>
      </c>
      <c r="L58" s="17">
        <f t="shared" si="0"/>
        <v>53995.62</v>
      </c>
    </row>
    <row r="59" spans="2:12" hidden="1" x14ac:dyDescent="0.25">
      <c r="B59" s="7" t="s">
        <v>81</v>
      </c>
      <c r="C59" s="7" t="s">
        <v>11</v>
      </c>
      <c r="D59" s="7" t="s">
        <v>12</v>
      </c>
      <c r="E59" s="7" t="s">
        <v>19</v>
      </c>
      <c r="F59" s="7" t="s">
        <v>24</v>
      </c>
      <c r="G59" s="7" t="s">
        <v>15</v>
      </c>
      <c r="H59" s="1">
        <v>44979</v>
      </c>
      <c r="I59" s="7">
        <v>101</v>
      </c>
      <c r="J59" s="7">
        <v>300.87</v>
      </c>
      <c r="K59" s="7">
        <v>340.88</v>
      </c>
      <c r="L59" s="17">
        <f t="shared" si="0"/>
        <v>30387.87</v>
      </c>
    </row>
    <row r="60" spans="2:12" hidden="1" x14ac:dyDescent="0.25">
      <c r="B60" s="7" t="s">
        <v>82</v>
      </c>
      <c r="C60" s="7" t="s">
        <v>17</v>
      </c>
      <c r="D60" s="7" t="s">
        <v>31</v>
      </c>
      <c r="E60" s="7" t="s">
        <v>13</v>
      </c>
      <c r="F60" s="7" t="s">
        <v>24</v>
      </c>
      <c r="G60" s="7" t="s">
        <v>20</v>
      </c>
      <c r="H60" s="1">
        <v>44980</v>
      </c>
      <c r="I60" s="7">
        <v>362</v>
      </c>
      <c r="J60" s="7">
        <v>397.51</v>
      </c>
      <c r="K60" s="7">
        <v>2.13</v>
      </c>
      <c r="L60" s="17">
        <f t="shared" si="0"/>
        <v>143898.62</v>
      </c>
    </row>
    <row r="61" spans="2:12" hidden="1" x14ac:dyDescent="0.25">
      <c r="B61" s="7" t="s">
        <v>83</v>
      </c>
      <c r="C61" s="7" t="s">
        <v>11</v>
      </c>
      <c r="D61" s="7" t="s">
        <v>18</v>
      </c>
      <c r="E61" s="7" t="s">
        <v>27</v>
      </c>
      <c r="F61" s="7" t="s">
        <v>24</v>
      </c>
      <c r="G61" s="7" t="s">
        <v>28</v>
      </c>
      <c r="H61" s="1">
        <v>44981</v>
      </c>
      <c r="I61" s="7">
        <v>68</v>
      </c>
      <c r="J61" s="7">
        <v>329.23</v>
      </c>
      <c r="K61" s="7">
        <v>9.0399999999999991</v>
      </c>
      <c r="L61" s="17">
        <f t="shared" si="0"/>
        <v>22387.64</v>
      </c>
    </row>
    <row r="62" spans="2:12" hidden="1" x14ac:dyDescent="0.25">
      <c r="B62" s="7" t="s">
        <v>84</v>
      </c>
      <c r="C62" s="7" t="s">
        <v>17</v>
      </c>
      <c r="D62" s="7" t="s">
        <v>18</v>
      </c>
      <c r="E62" s="7" t="s">
        <v>19</v>
      </c>
      <c r="F62" s="7" t="s">
        <v>24</v>
      </c>
      <c r="G62" s="7" t="s">
        <v>28</v>
      </c>
      <c r="H62" s="1">
        <v>44982</v>
      </c>
      <c r="I62" s="7">
        <v>68</v>
      </c>
      <c r="J62" s="7">
        <v>496.11</v>
      </c>
      <c r="K62" s="7">
        <v>241.82</v>
      </c>
      <c r="L62" s="17">
        <f t="shared" si="0"/>
        <v>33735.480000000003</v>
      </c>
    </row>
    <row r="63" spans="2:12" hidden="1" x14ac:dyDescent="0.25">
      <c r="B63" s="7" t="s">
        <v>85</v>
      </c>
      <c r="C63" s="7" t="s">
        <v>17</v>
      </c>
      <c r="D63" s="7" t="s">
        <v>12</v>
      </c>
      <c r="E63" s="7" t="s">
        <v>19</v>
      </c>
      <c r="F63" s="7" t="s">
        <v>14</v>
      </c>
      <c r="G63" s="7" t="s">
        <v>15</v>
      </c>
      <c r="H63" s="1">
        <v>44983</v>
      </c>
      <c r="I63" s="7">
        <v>313</v>
      </c>
      <c r="J63" s="7">
        <v>145.51</v>
      </c>
      <c r="K63" s="7">
        <v>147.19</v>
      </c>
      <c r="L63" s="17">
        <f t="shared" si="0"/>
        <v>45544.63</v>
      </c>
    </row>
    <row r="64" spans="2:12" hidden="1" x14ac:dyDescent="0.25">
      <c r="B64" s="7" t="s">
        <v>86</v>
      </c>
      <c r="C64" s="7" t="s">
        <v>22</v>
      </c>
      <c r="D64" s="7" t="s">
        <v>31</v>
      </c>
      <c r="E64" s="7" t="s">
        <v>27</v>
      </c>
      <c r="F64" s="7" t="s">
        <v>14</v>
      </c>
      <c r="G64" s="7" t="s">
        <v>28</v>
      </c>
      <c r="H64" s="1">
        <v>44984</v>
      </c>
      <c r="I64" s="7">
        <v>178</v>
      </c>
      <c r="J64" s="7">
        <v>182.78</v>
      </c>
      <c r="K64" s="7">
        <v>155.81</v>
      </c>
      <c r="L64" s="17">
        <f t="shared" si="0"/>
        <v>32534.84</v>
      </c>
    </row>
    <row r="65" spans="2:12" hidden="1" x14ac:dyDescent="0.25">
      <c r="B65" s="7" t="s">
        <v>87</v>
      </c>
      <c r="C65" s="7" t="s">
        <v>11</v>
      </c>
      <c r="D65" s="7" t="s">
        <v>31</v>
      </c>
      <c r="E65" s="7" t="s">
        <v>27</v>
      </c>
      <c r="F65" s="7" t="s">
        <v>14</v>
      </c>
      <c r="G65" s="7" t="s">
        <v>15</v>
      </c>
      <c r="H65" s="1">
        <v>44985</v>
      </c>
      <c r="I65" s="7">
        <v>278</v>
      </c>
      <c r="J65" s="7">
        <v>195</v>
      </c>
      <c r="K65" s="7">
        <v>226.65</v>
      </c>
      <c r="L65" s="17">
        <f t="shared" si="0"/>
        <v>54210</v>
      </c>
    </row>
    <row r="66" spans="2:12" hidden="1" x14ac:dyDescent="0.25">
      <c r="B66" s="7" t="s">
        <v>88</v>
      </c>
      <c r="C66" s="7" t="s">
        <v>22</v>
      </c>
      <c r="D66" s="7" t="s">
        <v>50</v>
      </c>
      <c r="E66" s="7" t="s">
        <v>19</v>
      </c>
      <c r="F66" s="7" t="s">
        <v>14</v>
      </c>
      <c r="G66" s="7" t="s">
        <v>28</v>
      </c>
      <c r="H66" s="1">
        <v>44986</v>
      </c>
      <c r="I66" s="7">
        <v>372</v>
      </c>
      <c r="J66" s="7">
        <v>235.58</v>
      </c>
      <c r="K66" s="7">
        <v>78.33</v>
      </c>
      <c r="L66" s="17">
        <f t="shared" si="0"/>
        <v>87635.760000000009</v>
      </c>
    </row>
    <row r="67" spans="2:12" hidden="1" x14ac:dyDescent="0.25">
      <c r="B67" s="7" t="s">
        <v>89</v>
      </c>
      <c r="C67" s="7" t="s">
        <v>11</v>
      </c>
      <c r="D67" s="7" t="s">
        <v>31</v>
      </c>
      <c r="E67" s="7" t="s">
        <v>27</v>
      </c>
      <c r="F67" s="7" t="s">
        <v>24</v>
      </c>
      <c r="G67" s="7" t="s">
        <v>28</v>
      </c>
      <c r="H67" s="1">
        <v>44987</v>
      </c>
      <c r="I67" s="7">
        <v>54</v>
      </c>
      <c r="J67" s="7">
        <v>418.82</v>
      </c>
      <c r="K67" s="7">
        <v>86.28</v>
      </c>
      <c r="L67" s="17">
        <f t="shared" si="0"/>
        <v>22616.28</v>
      </c>
    </row>
    <row r="68" spans="2:12" hidden="1" x14ac:dyDescent="0.25">
      <c r="B68" s="7" t="s">
        <v>90</v>
      </c>
      <c r="C68" s="7" t="s">
        <v>11</v>
      </c>
      <c r="D68" s="7" t="s">
        <v>31</v>
      </c>
      <c r="E68" s="7" t="s">
        <v>19</v>
      </c>
      <c r="F68" s="7" t="s">
        <v>24</v>
      </c>
      <c r="G68" s="7" t="s">
        <v>15</v>
      </c>
      <c r="H68" s="1">
        <v>44988</v>
      </c>
      <c r="I68" s="7">
        <v>354</v>
      </c>
      <c r="J68" s="7">
        <v>121.72</v>
      </c>
      <c r="K68" s="7">
        <v>194.87</v>
      </c>
      <c r="L68" s="17">
        <f t="shared" si="0"/>
        <v>43088.88</v>
      </c>
    </row>
    <row r="69" spans="2:12" hidden="1" x14ac:dyDescent="0.25">
      <c r="B69" s="7" t="s">
        <v>91</v>
      </c>
      <c r="C69" s="7" t="s">
        <v>22</v>
      </c>
      <c r="D69" s="7" t="s">
        <v>31</v>
      </c>
      <c r="E69" s="7" t="s">
        <v>19</v>
      </c>
      <c r="F69" s="7" t="s">
        <v>14</v>
      </c>
      <c r="G69" s="7" t="s">
        <v>15</v>
      </c>
      <c r="H69" s="1">
        <v>44989</v>
      </c>
      <c r="I69" s="7">
        <v>190</v>
      </c>
      <c r="J69" s="7">
        <v>389.12</v>
      </c>
      <c r="K69" s="7">
        <v>302.19</v>
      </c>
      <c r="L69" s="17">
        <f t="shared" si="0"/>
        <v>73932.800000000003</v>
      </c>
    </row>
    <row r="70" spans="2:12" hidden="1" x14ac:dyDescent="0.25">
      <c r="B70" s="7" t="s">
        <v>92</v>
      </c>
      <c r="C70" s="7" t="s">
        <v>22</v>
      </c>
      <c r="D70" s="7" t="s">
        <v>26</v>
      </c>
      <c r="E70" s="7" t="s">
        <v>13</v>
      </c>
      <c r="F70" s="7" t="s">
        <v>14</v>
      </c>
      <c r="G70" s="7" t="s">
        <v>15</v>
      </c>
      <c r="H70" s="1">
        <v>44990</v>
      </c>
      <c r="I70" s="7">
        <v>179</v>
      </c>
      <c r="J70" s="7">
        <v>205.63</v>
      </c>
      <c r="K70" s="7">
        <v>248.56</v>
      </c>
      <c r="L70" s="17">
        <f t="shared" si="0"/>
        <v>36807.769999999997</v>
      </c>
    </row>
    <row r="71" spans="2:12" hidden="1" x14ac:dyDescent="0.25">
      <c r="B71" s="7" t="s">
        <v>93</v>
      </c>
      <c r="C71" s="7" t="s">
        <v>11</v>
      </c>
      <c r="D71" s="7" t="s">
        <v>50</v>
      </c>
      <c r="E71" s="7" t="s">
        <v>42</v>
      </c>
      <c r="F71" s="7" t="s">
        <v>24</v>
      </c>
      <c r="G71" s="7" t="s">
        <v>28</v>
      </c>
      <c r="H71" s="1">
        <v>44991</v>
      </c>
      <c r="I71" s="7">
        <v>365</v>
      </c>
      <c r="J71" s="7">
        <v>302.92</v>
      </c>
      <c r="K71" s="7">
        <v>120.35</v>
      </c>
      <c r="L71" s="17">
        <f t="shared" si="0"/>
        <v>110565.8</v>
      </c>
    </row>
    <row r="72" spans="2:12" hidden="1" x14ac:dyDescent="0.25">
      <c r="B72" s="7" t="s">
        <v>94</v>
      </c>
      <c r="C72" s="7" t="s">
        <v>48</v>
      </c>
      <c r="D72" s="7" t="s">
        <v>18</v>
      </c>
      <c r="E72" s="7" t="s">
        <v>19</v>
      </c>
      <c r="F72" s="7" t="s">
        <v>14</v>
      </c>
      <c r="G72" s="7" t="s">
        <v>28</v>
      </c>
      <c r="H72" s="1">
        <v>44992</v>
      </c>
      <c r="I72" s="7">
        <v>200</v>
      </c>
      <c r="J72" s="7">
        <v>318.11</v>
      </c>
      <c r="K72" s="7">
        <v>173.27</v>
      </c>
      <c r="L72" s="17">
        <f t="shared" ref="L72:L135" si="1">$I72*$J72</f>
        <v>63622</v>
      </c>
    </row>
    <row r="73" spans="2:12" hidden="1" x14ac:dyDescent="0.25">
      <c r="B73" s="7" t="s">
        <v>95</v>
      </c>
      <c r="C73" s="7" t="s">
        <v>17</v>
      </c>
      <c r="D73" s="7" t="s">
        <v>12</v>
      </c>
      <c r="E73" s="7" t="s">
        <v>23</v>
      </c>
      <c r="F73" s="7" t="s">
        <v>24</v>
      </c>
      <c r="G73" s="7" t="s">
        <v>20</v>
      </c>
      <c r="H73" s="1">
        <v>44993</v>
      </c>
      <c r="I73" s="7">
        <v>164</v>
      </c>
      <c r="J73" s="7">
        <v>189.56</v>
      </c>
      <c r="K73" s="7">
        <v>69.92</v>
      </c>
      <c r="L73" s="17">
        <f t="shared" si="1"/>
        <v>31087.84</v>
      </c>
    </row>
    <row r="74" spans="2:12" hidden="1" x14ac:dyDescent="0.25">
      <c r="B74" s="7" t="s">
        <v>96</v>
      </c>
      <c r="C74" s="7" t="s">
        <v>22</v>
      </c>
      <c r="D74" s="7" t="s">
        <v>18</v>
      </c>
      <c r="E74" s="7" t="s">
        <v>42</v>
      </c>
      <c r="F74" s="7" t="s">
        <v>14</v>
      </c>
      <c r="G74" s="7" t="s">
        <v>15</v>
      </c>
      <c r="H74" s="1">
        <v>44994</v>
      </c>
      <c r="I74" s="7">
        <v>431</v>
      </c>
      <c r="J74" s="7">
        <v>258.74</v>
      </c>
      <c r="K74" s="7">
        <v>31.7</v>
      </c>
      <c r="L74" s="17">
        <f t="shared" si="1"/>
        <v>111516.94</v>
      </c>
    </row>
    <row r="75" spans="2:12" hidden="1" x14ac:dyDescent="0.25">
      <c r="B75" s="7" t="s">
        <v>97</v>
      </c>
      <c r="C75" s="7" t="s">
        <v>17</v>
      </c>
      <c r="D75" s="7" t="s">
        <v>50</v>
      </c>
      <c r="E75" s="7" t="s">
        <v>42</v>
      </c>
      <c r="F75" s="7" t="s">
        <v>14</v>
      </c>
      <c r="G75" s="7" t="s">
        <v>28</v>
      </c>
      <c r="H75" s="1">
        <v>44995</v>
      </c>
      <c r="I75" s="7">
        <v>197</v>
      </c>
      <c r="J75" s="7">
        <v>209.45</v>
      </c>
      <c r="K75" s="7">
        <v>313.51</v>
      </c>
      <c r="L75" s="17">
        <f t="shared" si="1"/>
        <v>41261.649999999994</v>
      </c>
    </row>
    <row r="76" spans="2:12" hidden="1" x14ac:dyDescent="0.25">
      <c r="B76" s="7" t="s">
        <v>98</v>
      </c>
      <c r="C76" s="7" t="s">
        <v>48</v>
      </c>
      <c r="D76" s="7" t="s">
        <v>12</v>
      </c>
      <c r="E76" s="7" t="s">
        <v>42</v>
      </c>
      <c r="F76" s="7" t="s">
        <v>14</v>
      </c>
      <c r="G76" s="7" t="s">
        <v>28</v>
      </c>
      <c r="H76" s="1">
        <v>44996</v>
      </c>
      <c r="I76" s="7">
        <v>16</v>
      </c>
      <c r="J76" s="7">
        <v>39.22</v>
      </c>
      <c r="K76" s="7">
        <v>107.62</v>
      </c>
      <c r="L76" s="17">
        <f t="shared" si="1"/>
        <v>627.52</v>
      </c>
    </row>
    <row r="77" spans="2:12" hidden="1" x14ac:dyDescent="0.25">
      <c r="B77" s="7" t="s">
        <v>99</v>
      </c>
      <c r="C77" s="7" t="s">
        <v>48</v>
      </c>
      <c r="D77" s="7" t="s">
        <v>50</v>
      </c>
      <c r="E77" s="7" t="s">
        <v>13</v>
      </c>
      <c r="F77" s="7" t="s">
        <v>14</v>
      </c>
      <c r="G77" s="7" t="s">
        <v>15</v>
      </c>
      <c r="H77" s="1">
        <v>44997</v>
      </c>
      <c r="I77" s="7">
        <v>142</v>
      </c>
      <c r="J77" s="7">
        <v>221.4</v>
      </c>
      <c r="K77" s="7">
        <v>72.75</v>
      </c>
      <c r="L77" s="17">
        <f t="shared" si="1"/>
        <v>31438.799999999999</v>
      </c>
    </row>
    <row r="78" spans="2:12" hidden="1" x14ac:dyDescent="0.25">
      <c r="B78" s="7" t="s">
        <v>100</v>
      </c>
      <c r="C78" s="7" t="s">
        <v>48</v>
      </c>
      <c r="D78" s="7" t="s">
        <v>31</v>
      </c>
      <c r="E78" s="7" t="s">
        <v>19</v>
      </c>
      <c r="F78" s="7" t="s">
        <v>14</v>
      </c>
      <c r="G78" s="7" t="s">
        <v>20</v>
      </c>
      <c r="H78" s="1">
        <v>44998</v>
      </c>
      <c r="I78" s="7">
        <v>244</v>
      </c>
      <c r="J78" s="7">
        <v>53.21</v>
      </c>
      <c r="K78" s="7">
        <v>277.26</v>
      </c>
      <c r="L78" s="17">
        <f t="shared" si="1"/>
        <v>12983.24</v>
      </c>
    </row>
    <row r="79" spans="2:12" hidden="1" x14ac:dyDescent="0.25">
      <c r="B79" s="7" t="s">
        <v>101</v>
      </c>
      <c r="C79" s="7" t="s">
        <v>22</v>
      </c>
      <c r="D79" s="7" t="s">
        <v>12</v>
      </c>
      <c r="E79" s="7" t="s">
        <v>13</v>
      </c>
      <c r="F79" s="7" t="s">
        <v>14</v>
      </c>
      <c r="G79" s="7" t="s">
        <v>15</v>
      </c>
      <c r="H79" s="1">
        <v>44999</v>
      </c>
      <c r="I79" s="7">
        <v>54</v>
      </c>
      <c r="J79" s="7">
        <v>205.49</v>
      </c>
      <c r="K79" s="7">
        <v>247.98</v>
      </c>
      <c r="L79" s="17">
        <f t="shared" si="1"/>
        <v>11096.460000000001</v>
      </c>
    </row>
    <row r="80" spans="2:12" hidden="1" x14ac:dyDescent="0.25">
      <c r="B80" s="7" t="s">
        <v>102</v>
      </c>
      <c r="C80" s="7" t="s">
        <v>48</v>
      </c>
      <c r="D80" s="7" t="s">
        <v>31</v>
      </c>
      <c r="E80" s="7" t="s">
        <v>19</v>
      </c>
      <c r="F80" s="7" t="s">
        <v>14</v>
      </c>
      <c r="G80" s="7" t="s">
        <v>20</v>
      </c>
      <c r="H80" s="1">
        <v>45000</v>
      </c>
      <c r="I80" s="7">
        <v>323</v>
      </c>
      <c r="J80" s="7">
        <v>298.49</v>
      </c>
      <c r="K80" s="7">
        <v>254.01</v>
      </c>
      <c r="L80" s="17">
        <f t="shared" si="1"/>
        <v>96412.27</v>
      </c>
    </row>
    <row r="81" spans="2:12" hidden="1" x14ac:dyDescent="0.25">
      <c r="B81" s="7" t="s">
        <v>103</v>
      </c>
      <c r="C81" s="7" t="s">
        <v>22</v>
      </c>
      <c r="D81" s="7" t="s">
        <v>18</v>
      </c>
      <c r="E81" s="7" t="s">
        <v>13</v>
      </c>
      <c r="F81" s="7" t="s">
        <v>24</v>
      </c>
      <c r="G81" s="7" t="s">
        <v>28</v>
      </c>
      <c r="H81" s="1">
        <v>45001</v>
      </c>
      <c r="I81" s="7">
        <v>258</v>
      </c>
      <c r="J81" s="7">
        <v>291.81</v>
      </c>
      <c r="K81" s="7">
        <v>93.1</v>
      </c>
      <c r="L81" s="17">
        <f t="shared" si="1"/>
        <v>75286.98</v>
      </c>
    </row>
    <row r="82" spans="2:12" hidden="1" x14ac:dyDescent="0.25">
      <c r="B82" s="7" t="s">
        <v>104</v>
      </c>
      <c r="C82" s="7" t="s">
        <v>48</v>
      </c>
      <c r="D82" s="7" t="s">
        <v>18</v>
      </c>
      <c r="E82" s="7" t="s">
        <v>13</v>
      </c>
      <c r="F82" s="7" t="s">
        <v>24</v>
      </c>
      <c r="G82" s="7" t="s">
        <v>20</v>
      </c>
      <c r="H82" s="1">
        <v>45002</v>
      </c>
      <c r="I82" s="7">
        <v>40</v>
      </c>
      <c r="J82" s="7">
        <v>333</v>
      </c>
      <c r="K82" s="7">
        <v>94.59</v>
      </c>
      <c r="L82" s="17">
        <f t="shared" si="1"/>
        <v>13320</v>
      </c>
    </row>
    <row r="83" spans="2:12" hidden="1" x14ac:dyDescent="0.25">
      <c r="B83" s="7" t="s">
        <v>105</v>
      </c>
      <c r="C83" s="7" t="s">
        <v>17</v>
      </c>
      <c r="D83" s="7" t="s">
        <v>12</v>
      </c>
      <c r="E83" s="7" t="s">
        <v>23</v>
      </c>
      <c r="F83" s="7" t="s">
        <v>24</v>
      </c>
      <c r="G83" s="7" t="s">
        <v>28</v>
      </c>
      <c r="H83" s="1">
        <v>45003</v>
      </c>
      <c r="I83" s="7">
        <v>32</v>
      </c>
      <c r="J83" s="7">
        <v>52.15</v>
      </c>
      <c r="K83" s="7">
        <v>89.88</v>
      </c>
      <c r="L83" s="17">
        <f t="shared" si="1"/>
        <v>1668.8</v>
      </c>
    </row>
    <row r="84" spans="2:12" hidden="1" x14ac:dyDescent="0.25">
      <c r="B84" s="7" t="s">
        <v>106</v>
      </c>
      <c r="C84" s="7" t="s">
        <v>17</v>
      </c>
      <c r="D84" s="7" t="s">
        <v>12</v>
      </c>
      <c r="E84" s="7" t="s">
        <v>13</v>
      </c>
      <c r="F84" s="7" t="s">
        <v>24</v>
      </c>
      <c r="G84" s="7" t="s">
        <v>15</v>
      </c>
      <c r="H84" s="1">
        <v>45004</v>
      </c>
      <c r="I84" s="7">
        <v>435</v>
      </c>
      <c r="J84" s="7">
        <v>327.8</v>
      </c>
      <c r="K84" s="7">
        <v>71.150000000000006</v>
      </c>
      <c r="L84" s="17">
        <f t="shared" si="1"/>
        <v>142593</v>
      </c>
    </row>
    <row r="85" spans="2:12" hidden="1" x14ac:dyDescent="0.25">
      <c r="B85" s="7" t="s">
        <v>107</v>
      </c>
      <c r="C85" s="7" t="s">
        <v>11</v>
      </c>
      <c r="D85" s="7" t="s">
        <v>50</v>
      </c>
      <c r="E85" s="7" t="s">
        <v>27</v>
      </c>
      <c r="F85" s="7" t="s">
        <v>24</v>
      </c>
      <c r="G85" s="7" t="s">
        <v>15</v>
      </c>
      <c r="H85" s="1">
        <v>45005</v>
      </c>
      <c r="I85" s="7">
        <v>403</v>
      </c>
      <c r="J85" s="7">
        <v>159.51</v>
      </c>
      <c r="K85" s="7">
        <v>262.98</v>
      </c>
      <c r="L85" s="17">
        <f t="shared" si="1"/>
        <v>64282.53</v>
      </c>
    </row>
    <row r="86" spans="2:12" hidden="1" x14ac:dyDescent="0.25">
      <c r="B86" s="7" t="s">
        <v>108</v>
      </c>
      <c r="C86" s="7" t="s">
        <v>17</v>
      </c>
      <c r="D86" s="7" t="s">
        <v>50</v>
      </c>
      <c r="E86" s="7" t="s">
        <v>23</v>
      </c>
      <c r="F86" s="7" t="s">
        <v>14</v>
      </c>
      <c r="G86" s="7" t="s">
        <v>15</v>
      </c>
      <c r="H86" s="1">
        <v>45006</v>
      </c>
      <c r="I86" s="7">
        <v>169</v>
      </c>
      <c r="J86" s="7">
        <v>249.64</v>
      </c>
      <c r="K86" s="7">
        <v>339.51</v>
      </c>
      <c r="L86" s="17">
        <f t="shared" si="1"/>
        <v>42189.159999999996</v>
      </c>
    </row>
    <row r="87" spans="2:12" hidden="1" x14ac:dyDescent="0.25">
      <c r="B87" s="7" t="s">
        <v>109</v>
      </c>
      <c r="C87" s="7" t="s">
        <v>11</v>
      </c>
      <c r="D87" s="7" t="s">
        <v>31</v>
      </c>
      <c r="E87" s="7" t="s">
        <v>13</v>
      </c>
      <c r="F87" s="7" t="s">
        <v>14</v>
      </c>
      <c r="G87" s="7" t="s">
        <v>20</v>
      </c>
      <c r="H87" s="1">
        <v>45007</v>
      </c>
      <c r="I87" s="7">
        <v>372</v>
      </c>
      <c r="J87" s="7">
        <v>429.7</v>
      </c>
      <c r="K87" s="7">
        <v>290.27999999999997</v>
      </c>
      <c r="L87" s="17">
        <f t="shared" si="1"/>
        <v>159848.4</v>
      </c>
    </row>
    <row r="88" spans="2:12" hidden="1" x14ac:dyDescent="0.25">
      <c r="B88" s="7" t="s">
        <v>110</v>
      </c>
      <c r="C88" s="7" t="s">
        <v>17</v>
      </c>
      <c r="D88" s="7" t="s">
        <v>12</v>
      </c>
      <c r="E88" s="7" t="s">
        <v>42</v>
      </c>
      <c r="F88" s="7" t="s">
        <v>24</v>
      </c>
      <c r="G88" s="7" t="s">
        <v>28</v>
      </c>
      <c r="H88" s="1">
        <v>45008</v>
      </c>
      <c r="I88" s="7">
        <v>446</v>
      </c>
      <c r="J88" s="7">
        <v>9.4700000000000006</v>
      </c>
      <c r="K88" s="7">
        <v>317.25</v>
      </c>
      <c r="L88" s="17">
        <f t="shared" si="1"/>
        <v>4223.62</v>
      </c>
    </row>
    <row r="89" spans="2:12" hidden="1" x14ac:dyDescent="0.25">
      <c r="B89" s="7" t="s">
        <v>111</v>
      </c>
      <c r="C89" s="7" t="s">
        <v>22</v>
      </c>
      <c r="D89" s="7" t="s">
        <v>18</v>
      </c>
      <c r="E89" s="7" t="s">
        <v>27</v>
      </c>
      <c r="F89" s="7" t="s">
        <v>14</v>
      </c>
      <c r="G89" s="7" t="s">
        <v>15</v>
      </c>
      <c r="H89" s="1">
        <v>45009</v>
      </c>
      <c r="I89" s="7">
        <v>167</v>
      </c>
      <c r="J89" s="7">
        <v>296.26</v>
      </c>
      <c r="K89" s="7">
        <v>163.11000000000001</v>
      </c>
      <c r="L89" s="17">
        <f t="shared" si="1"/>
        <v>49475.42</v>
      </c>
    </row>
    <row r="90" spans="2:12" hidden="1" x14ac:dyDescent="0.25">
      <c r="B90" s="7" t="s">
        <v>112</v>
      </c>
      <c r="C90" s="7" t="s">
        <v>17</v>
      </c>
      <c r="D90" s="7" t="s">
        <v>50</v>
      </c>
      <c r="E90" s="7" t="s">
        <v>27</v>
      </c>
      <c r="F90" s="7" t="s">
        <v>24</v>
      </c>
      <c r="G90" s="7" t="s">
        <v>15</v>
      </c>
      <c r="H90" s="1">
        <v>45010</v>
      </c>
      <c r="I90" s="7">
        <v>48</v>
      </c>
      <c r="J90" s="7">
        <v>301.36</v>
      </c>
      <c r="K90" s="7">
        <v>262.32</v>
      </c>
      <c r="L90" s="17">
        <f t="shared" si="1"/>
        <v>14465.28</v>
      </c>
    </row>
    <row r="91" spans="2:12" hidden="1" x14ac:dyDescent="0.25">
      <c r="B91" s="7" t="s">
        <v>113</v>
      </c>
      <c r="C91" s="7" t="s">
        <v>11</v>
      </c>
      <c r="D91" s="7" t="s">
        <v>50</v>
      </c>
      <c r="E91" s="7" t="s">
        <v>27</v>
      </c>
      <c r="F91" s="7" t="s">
        <v>24</v>
      </c>
      <c r="G91" s="7" t="s">
        <v>28</v>
      </c>
      <c r="H91" s="1">
        <v>45011</v>
      </c>
      <c r="I91" s="7">
        <v>424</v>
      </c>
      <c r="J91" s="7">
        <v>201.35</v>
      </c>
      <c r="K91" s="7">
        <v>142.99</v>
      </c>
      <c r="L91" s="17">
        <f t="shared" si="1"/>
        <v>85372.4</v>
      </c>
    </row>
    <row r="92" spans="2:12" hidden="1" x14ac:dyDescent="0.25">
      <c r="B92" s="7" t="s">
        <v>114</v>
      </c>
      <c r="C92" s="7" t="s">
        <v>11</v>
      </c>
      <c r="D92" s="7" t="s">
        <v>18</v>
      </c>
      <c r="E92" s="7" t="s">
        <v>23</v>
      </c>
      <c r="F92" s="7" t="s">
        <v>14</v>
      </c>
      <c r="G92" s="7" t="s">
        <v>15</v>
      </c>
      <c r="H92" s="1">
        <v>45012</v>
      </c>
      <c r="I92" s="7">
        <v>91</v>
      </c>
      <c r="J92" s="7">
        <v>122.33</v>
      </c>
      <c r="K92" s="7">
        <v>211.15</v>
      </c>
      <c r="L92" s="17">
        <f t="shared" si="1"/>
        <v>11132.03</v>
      </c>
    </row>
    <row r="93" spans="2:12" hidden="1" x14ac:dyDescent="0.25">
      <c r="B93" s="7" t="s">
        <v>115</v>
      </c>
      <c r="C93" s="7" t="s">
        <v>48</v>
      </c>
      <c r="D93" s="7" t="s">
        <v>50</v>
      </c>
      <c r="E93" s="7" t="s">
        <v>13</v>
      </c>
      <c r="F93" s="7" t="s">
        <v>14</v>
      </c>
      <c r="G93" s="7" t="s">
        <v>28</v>
      </c>
      <c r="H93" s="1">
        <v>45013</v>
      </c>
      <c r="I93" s="7">
        <v>365</v>
      </c>
      <c r="J93" s="7">
        <v>121.16</v>
      </c>
      <c r="K93" s="7">
        <v>193.69</v>
      </c>
      <c r="L93" s="17">
        <f t="shared" si="1"/>
        <v>44223.4</v>
      </c>
    </row>
    <row r="94" spans="2:12" hidden="1" x14ac:dyDescent="0.25">
      <c r="B94" s="7" t="s">
        <v>116</v>
      </c>
      <c r="C94" s="7" t="s">
        <v>22</v>
      </c>
      <c r="D94" s="7" t="s">
        <v>31</v>
      </c>
      <c r="E94" s="7" t="s">
        <v>13</v>
      </c>
      <c r="F94" s="7" t="s">
        <v>14</v>
      </c>
      <c r="G94" s="7" t="s">
        <v>28</v>
      </c>
      <c r="H94" s="1">
        <v>45014</v>
      </c>
      <c r="I94" s="7">
        <v>267</v>
      </c>
      <c r="J94" s="7">
        <v>442.44</v>
      </c>
      <c r="K94" s="7">
        <v>72.400000000000006</v>
      </c>
      <c r="L94" s="17">
        <f t="shared" si="1"/>
        <v>118131.48</v>
      </c>
    </row>
    <row r="95" spans="2:12" hidden="1" x14ac:dyDescent="0.25">
      <c r="B95" s="7" t="s">
        <v>117</v>
      </c>
      <c r="C95" s="7" t="s">
        <v>17</v>
      </c>
      <c r="D95" s="7" t="s">
        <v>12</v>
      </c>
      <c r="E95" s="7" t="s">
        <v>42</v>
      </c>
      <c r="F95" s="7" t="s">
        <v>24</v>
      </c>
      <c r="G95" s="7" t="s">
        <v>28</v>
      </c>
      <c r="H95" s="1">
        <v>45015</v>
      </c>
      <c r="I95" s="7">
        <v>215</v>
      </c>
      <c r="J95" s="7">
        <v>223.8</v>
      </c>
      <c r="K95" s="7">
        <v>156.06</v>
      </c>
      <c r="L95" s="17">
        <f t="shared" si="1"/>
        <v>48117</v>
      </c>
    </row>
    <row r="96" spans="2:12" hidden="1" x14ac:dyDescent="0.25">
      <c r="B96" s="7" t="s">
        <v>118</v>
      </c>
      <c r="C96" s="7" t="s">
        <v>48</v>
      </c>
      <c r="D96" s="7" t="s">
        <v>18</v>
      </c>
      <c r="E96" s="7" t="s">
        <v>42</v>
      </c>
      <c r="F96" s="7" t="s">
        <v>14</v>
      </c>
      <c r="G96" s="7" t="s">
        <v>28</v>
      </c>
      <c r="H96" s="1">
        <v>45016</v>
      </c>
      <c r="I96" s="7">
        <v>86</v>
      </c>
      <c r="J96" s="7">
        <v>168.79</v>
      </c>
      <c r="K96" s="7">
        <v>385.6</v>
      </c>
      <c r="L96" s="17">
        <f t="shared" si="1"/>
        <v>14515.939999999999</v>
      </c>
    </row>
    <row r="97" spans="2:12" hidden="1" x14ac:dyDescent="0.25">
      <c r="B97" s="7" t="s">
        <v>119</v>
      </c>
      <c r="C97" s="7" t="s">
        <v>17</v>
      </c>
      <c r="D97" s="7" t="s">
        <v>12</v>
      </c>
      <c r="E97" s="7" t="s">
        <v>27</v>
      </c>
      <c r="F97" s="7" t="s">
        <v>24</v>
      </c>
      <c r="G97" s="7" t="s">
        <v>28</v>
      </c>
      <c r="H97" s="1">
        <v>45017</v>
      </c>
      <c r="I97" s="7">
        <v>486</v>
      </c>
      <c r="J97" s="7">
        <v>227.14</v>
      </c>
      <c r="K97" s="7">
        <v>100.93</v>
      </c>
      <c r="L97" s="17">
        <f t="shared" si="1"/>
        <v>110390.04</v>
      </c>
    </row>
    <row r="98" spans="2:12" hidden="1" x14ac:dyDescent="0.25">
      <c r="B98" s="7" t="s">
        <v>120</v>
      </c>
      <c r="C98" s="7" t="s">
        <v>17</v>
      </c>
      <c r="D98" s="7" t="s">
        <v>50</v>
      </c>
      <c r="E98" s="7" t="s">
        <v>42</v>
      </c>
      <c r="F98" s="7" t="s">
        <v>24</v>
      </c>
      <c r="G98" s="7" t="s">
        <v>20</v>
      </c>
      <c r="H98" s="1">
        <v>45018</v>
      </c>
      <c r="I98" s="7">
        <v>21</v>
      </c>
      <c r="J98" s="7">
        <v>249.64</v>
      </c>
      <c r="K98" s="7">
        <v>55.25</v>
      </c>
      <c r="L98" s="17">
        <f t="shared" si="1"/>
        <v>5242.4399999999996</v>
      </c>
    </row>
    <row r="99" spans="2:12" hidden="1" x14ac:dyDescent="0.25">
      <c r="B99" s="7" t="s">
        <v>121</v>
      </c>
      <c r="C99" s="7" t="s">
        <v>48</v>
      </c>
      <c r="D99" s="7" t="s">
        <v>50</v>
      </c>
      <c r="E99" s="7" t="s">
        <v>23</v>
      </c>
      <c r="F99" s="7" t="s">
        <v>24</v>
      </c>
      <c r="G99" s="7" t="s">
        <v>15</v>
      </c>
      <c r="H99" s="1">
        <v>45019</v>
      </c>
      <c r="I99" s="7">
        <v>304</v>
      </c>
      <c r="J99" s="7">
        <v>77.150000000000006</v>
      </c>
      <c r="K99" s="7">
        <v>168.6</v>
      </c>
      <c r="L99" s="17">
        <f t="shared" si="1"/>
        <v>23453.600000000002</v>
      </c>
    </row>
    <row r="100" spans="2:12" hidden="1" x14ac:dyDescent="0.25">
      <c r="B100" s="7" t="s">
        <v>122</v>
      </c>
      <c r="C100" s="7" t="s">
        <v>48</v>
      </c>
      <c r="D100" s="7" t="s">
        <v>18</v>
      </c>
      <c r="E100" s="7" t="s">
        <v>13</v>
      </c>
      <c r="F100" s="7" t="s">
        <v>14</v>
      </c>
      <c r="G100" s="7" t="s">
        <v>20</v>
      </c>
      <c r="H100" s="1">
        <v>45020</v>
      </c>
      <c r="I100" s="7">
        <v>459</v>
      </c>
      <c r="J100" s="7">
        <v>227.47</v>
      </c>
      <c r="K100" s="7">
        <v>316.55</v>
      </c>
      <c r="L100" s="17">
        <f t="shared" si="1"/>
        <v>104408.73</v>
      </c>
    </row>
    <row r="101" spans="2:12" hidden="1" x14ac:dyDescent="0.25">
      <c r="B101" s="7" t="s">
        <v>123</v>
      </c>
      <c r="C101" s="7" t="s">
        <v>48</v>
      </c>
      <c r="D101" s="7" t="s">
        <v>31</v>
      </c>
      <c r="E101" s="7" t="s">
        <v>27</v>
      </c>
      <c r="F101" s="7" t="s">
        <v>14</v>
      </c>
      <c r="G101" s="7" t="s">
        <v>15</v>
      </c>
      <c r="H101" s="1">
        <v>45021</v>
      </c>
      <c r="I101" s="7">
        <v>233</v>
      </c>
      <c r="J101" s="7">
        <v>296</v>
      </c>
      <c r="K101" s="7">
        <v>233.69</v>
      </c>
      <c r="L101" s="17">
        <f t="shared" si="1"/>
        <v>68968</v>
      </c>
    </row>
    <row r="102" spans="2:12" hidden="1" x14ac:dyDescent="0.25">
      <c r="B102" s="7" t="s">
        <v>124</v>
      </c>
      <c r="C102" s="7" t="s">
        <v>48</v>
      </c>
      <c r="D102" s="7" t="s">
        <v>26</v>
      </c>
      <c r="E102" s="7" t="s">
        <v>42</v>
      </c>
      <c r="F102" s="7" t="s">
        <v>24</v>
      </c>
      <c r="G102" s="7" t="s">
        <v>20</v>
      </c>
      <c r="H102" s="1">
        <v>45022</v>
      </c>
      <c r="I102" s="7">
        <v>22</v>
      </c>
      <c r="J102" s="7">
        <v>474.55</v>
      </c>
      <c r="K102" s="7">
        <v>273.02999999999997</v>
      </c>
      <c r="L102" s="17">
        <f t="shared" si="1"/>
        <v>10440.1</v>
      </c>
    </row>
    <row r="103" spans="2:12" hidden="1" x14ac:dyDescent="0.25">
      <c r="B103" s="7" t="s">
        <v>125</v>
      </c>
      <c r="C103" s="7" t="s">
        <v>48</v>
      </c>
      <c r="D103" s="7" t="s">
        <v>18</v>
      </c>
      <c r="E103" s="7" t="s">
        <v>23</v>
      </c>
      <c r="F103" s="7" t="s">
        <v>14</v>
      </c>
      <c r="G103" s="7" t="s">
        <v>28</v>
      </c>
      <c r="H103" s="1">
        <v>45023</v>
      </c>
      <c r="I103" s="7">
        <v>55</v>
      </c>
      <c r="J103" s="7">
        <v>130</v>
      </c>
      <c r="K103" s="7">
        <v>77.5</v>
      </c>
      <c r="L103" s="17">
        <f t="shared" si="1"/>
        <v>7150</v>
      </c>
    </row>
    <row r="104" spans="2:12" hidden="1" x14ac:dyDescent="0.25">
      <c r="B104" s="7" t="s">
        <v>126</v>
      </c>
      <c r="C104" s="7" t="s">
        <v>17</v>
      </c>
      <c r="D104" s="7" t="s">
        <v>26</v>
      </c>
      <c r="E104" s="7" t="s">
        <v>23</v>
      </c>
      <c r="F104" s="7" t="s">
        <v>14</v>
      </c>
      <c r="G104" s="7" t="s">
        <v>15</v>
      </c>
      <c r="H104" s="1">
        <v>45024</v>
      </c>
      <c r="I104" s="7">
        <v>164</v>
      </c>
      <c r="J104" s="7">
        <v>182.83</v>
      </c>
      <c r="K104" s="7">
        <v>248.34</v>
      </c>
      <c r="L104" s="17">
        <f t="shared" si="1"/>
        <v>29984.120000000003</v>
      </c>
    </row>
    <row r="105" spans="2:12" hidden="1" x14ac:dyDescent="0.25">
      <c r="B105" s="7" t="s">
        <v>127</v>
      </c>
      <c r="C105" s="7" t="s">
        <v>48</v>
      </c>
      <c r="D105" s="7" t="s">
        <v>26</v>
      </c>
      <c r="E105" s="7" t="s">
        <v>42</v>
      </c>
      <c r="F105" s="7" t="s">
        <v>14</v>
      </c>
      <c r="G105" s="7" t="s">
        <v>15</v>
      </c>
      <c r="H105" s="1">
        <v>45025</v>
      </c>
      <c r="I105" s="7">
        <v>122</v>
      </c>
      <c r="J105" s="7">
        <v>192.78</v>
      </c>
      <c r="K105" s="7">
        <v>130.75</v>
      </c>
      <c r="L105" s="17">
        <f t="shared" si="1"/>
        <v>23519.16</v>
      </c>
    </row>
    <row r="106" spans="2:12" hidden="1" x14ac:dyDescent="0.25">
      <c r="B106" s="7" t="s">
        <v>128</v>
      </c>
      <c r="C106" s="7" t="s">
        <v>22</v>
      </c>
      <c r="D106" s="7" t="s">
        <v>31</v>
      </c>
      <c r="E106" s="7" t="s">
        <v>13</v>
      </c>
      <c r="F106" s="7" t="s">
        <v>24</v>
      </c>
      <c r="G106" s="7" t="s">
        <v>20</v>
      </c>
      <c r="H106" s="1">
        <v>45026</v>
      </c>
      <c r="I106" s="7">
        <v>242</v>
      </c>
      <c r="J106" s="7">
        <v>304.74</v>
      </c>
      <c r="K106" s="7">
        <v>334.05</v>
      </c>
      <c r="L106" s="17">
        <f t="shared" si="1"/>
        <v>73747.08</v>
      </c>
    </row>
    <row r="107" spans="2:12" hidden="1" x14ac:dyDescent="0.25">
      <c r="B107" s="7" t="s">
        <v>129</v>
      </c>
      <c r="C107" s="7" t="s">
        <v>11</v>
      </c>
      <c r="D107" s="7" t="s">
        <v>26</v>
      </c>
      <c r="E107" s="7" t="s">
        <v>42</v>
      </c>
      <c r="F107" s="7" t="s">
        <v>24</v>
      </c>
      <c r="G107" s="7" t="s">
        <v>20</v>
      </c>
      <c r="H107" s="1">
        <v>45027</v>
      </c>
      <c r="I107" s="7">
        <v>26</v>
      </c>
      <c r="J107" s="7">
        <v>181.58</v>
      </c>
      <c r="K107" s="7">
        <v>252.46</v>
      </c>
      <c r="L107" s="17">
        <f t="shared" si="1"/>
        <v>4721.08</v>
      </c>
    </row>
    <row r="108" spans="2:12" hidden="1" x14ac:dyDescent="0.25">
      <c r="B108" s="7" t="s">
        <v>130</v>
      </c>
      <c r="C108" s="7" t="s">
        <v>48</v>
      </c>
      <c r="D108" s="7" t="s">
        <v>26</v>
      </c>
      <c r="E108" s="7" t="s">
        <v>27</v>
      </c>
      <c r="F108" s="7" t="s">
        <v>14</v>
      </c>
      <c r="G108" s="7" t="s">
        <v>15</v>
      </c>
      <c r="H108" s="1">
        <v>45028</v>
      </c>
      <c r="I108" s="7">
        <v>369</v>
      </c>
      <c r="J108" s="7">
        <v>269.08999999999997</v>
      </c>
      <c r="K108" s="7">
        <v>81.14</v>
      </c>
      <c r="L108" s="17">
        <f t="shared" si="1"/>
        <v>99294.209999999992</v>
      </c>
    </row>
    <row r="109" spans="2:12" hidden="1" x14ac:dyDescent="0.25">
      <c r="B109" s="7" t="s">
        <v>131</v>
      </c>
      <c r="C109" s="7" t="s">
        <v>48</v>
      </c>
      <c r="D109" s="7" t="s">
        <v>31</v>
      </c>
      <c r="E109" s="7" t="s">
        <v>42</v>
      </c>
      <c r="F109" s="7" t="s">
        <v>24</v>
      </c>
      <c r="G109" s="7" t="s">
        <v>20</v>
      </c>
      <c r="H109" s="1">
        <v>45029</v>
      </c>
      <c r="I109" s="7">
        <v>232</v>
      </c>
      <c r="J109" s="7">
        <v>391.99</v>
      </c>
      <c r="K109" s="7">
        <v>27.72</v>
      </c>
      <c r="L109" s="17">
        <f t="shared" si="1"/>
        <v>90941.680000000008</v>
      </c>
    </row>
    <row r="110" spans="2:12" hidden="1" x14ac:dyDescent="0.25">
      <c r="B110" s="7" t="s">
        <v>132</v>
      </c>
      <c r="C110" s="7" t="s">
        <v>17</v>
      </c>
      <c r="D110" s="7" t="s">
        <v>26</v>
      </c>
      <c r="E110" s="7" t="s">
        <v>23</v>
      </c>
      <c r="F110" s="7" t="s">
        <v>14</v>
      </c>
      <c r="G110" s="7" t="s">
        <v>20</v>
      </c>
      <c r="H110" s="1">
        <v>45030</v>
      </c>
      <c r="I110" s="7">
        <v>363</v>
      </c>
      <c r="J110" s="7">
        <v>354.17</v>
      </c>
      <c r="K110" s="7">
        <v>18.97</v>
      </c>
      <c r="L110" s="17">
        <f t="shared" si="1"/>
        <v>128563.71</v>
      </c>
    </row>
    <row r="111" spans="2:12" hidden="1" x14ac:dyDescent="0.25">
      <c r="B111" s="7" t="s">
        <v>133</v>
      </c>
      <c r="C111" s="7" t="s">
        <v>48</v>
      </c>
      <c r="D111" s="7" t="s">
        <v>26</v>
      </c>
      <c r="E111" s="7" t="s">
        <v>42</v>
      </c>
      <c r="F111" s="7" t="s">
        <v>14</v>
      </c>
      <c r="G111" s="7" t="s">
        <v>20</v>
      </c>
      <c r="H111" s="1">
        <v>45031</v>
      </c>
      <c r="I111" s="7">
        <v>197</v>
      </c>
      <c r="J111" s="7">
        <v>225.95</v>
      </c>
      <c r="K111" s="7">
        <v>149.82</v>
      </c>
      <c r="L111" s="17">
        <f t="shared" si="1"/>
        <v>44512.149999999994</v>
      </c>
    </row>
    <row r="112" spans="2:12" hidden="1" x14ac:dyDescent="0.25">
      <c r="B112" s="7" t="s">
        <v>134</v>
      </c>
      <c r="C112" s="7" t="s">
        <v>48</v>
      </c>
      <c r="D112" s="7" t="s">
        <v>26</v>
      </c>
      <c r="E112" s="7" t="s">
        <v>13</v>
      </c>
      <c r="F112" s="7" t="s">
        <v>14</v>
      </c>
      <c r="G112" s="7" t="s">
        <v>28</v>
      </c>
      <c r="H112" s="1">
        <v>45032</v>
      </c>
      <c r="I112" s="7">
        <v>457</v>
      </c>
      <c r="J112" s="7">
        <v>432.79</v>
      </c>
      <c r="K112" s="7">
        <v>107.81</v>
      </c>
      <c r="L112" s="17">
        <f t="shared" si="1"/>
        <v>197785.03</v>
      </c>
    </row>
    <row r="113" spans="2:12" hidden="1" x14ac:dyDescent="0.25">
      <c r="B113" s="7" t="s">
        <v>135</v>
      </c>
      <c r="C113" s="7" t="s">
        <v>48</v>
      </c>
      <c r="D113" s="7" t="s">
        <v>18</v>
      </c>
      <c r="E113" s="7" t="s">
        <v>19</v>
      </c>
      <c r="F113" s="7" t="s">
        <v>14</v>
      </c>
      <c r="G113" s="7" t="s">
        <v>28</v>
      </c>
      <c r="H113" s="1">
        <v>45033</v>
      </c>
      <c r="I113" s="7">
        <v>353</v>
      </c>
      <c r="J113" s="7">
        <v>281.27999999999997</v>
      </c>
      <c r="K113" s="7">
        <v>259.14</v>
      </c>
      <c r="L113" s="17">
        <f t="shared" si="1"/>
        <v>99291.839999999997</v>
      </c>
    </row>
    <row r="114" spans="2:12" hidden="1" x14ac:dyDescent="0.25">
      <c r="B114" s="7" t="s">
        <v>136</v>
      </c>
      <c r="C114" s="7" t="s">
        <v>17</v>
      </c>
      <c r="D114" s="7" t="s">
        <v>18</v>
      </c>
      <c r="E114" s="7" t="s">
        <v>42</v>
      </c>
      <c r="F114" s="7" t="s">
        <v>24</v>
      </c>
      <c r="G114" s="7" t="s">
        <v>20</v>
      </c>
      <c r="H114" s="1">
        <v>45034</v>
      </c>
      <c r="I114" s="7">
        <v>374</v>
      </c>
      <c r="J114" s="7">
        <v>272.25</v>
      </c>
      <c r="K114" s="7">
        <v>200.73</v>
      </c>
      <c r="L114" s="17">
        <f t="shared" si="1"/>
        <v>101821.5</v>
      </c>
    </row>
    <row r="115" spans="2:12" hidden="1" x14ac:dyDescent="0.25">
      <c r="B115" s="7" t="s">
        <v>137</v>
      </c>
      <c r="C115" s="7" t="s">
        <v>48</v>
      </c>
      <c r="D115" s="7" t="s">
        <v>18</v>
      </c>
      <c r="E115" s="7" t="s">
        <v>13</v>
      </c>
      <c r="F115" s="7" t="s">
        <v>24</v>
      </c>
      <c r="G115" s="7" t="s">
        <v>20</v>
      </c>
      <c r="H115" s="1">
        <v>45035</v>
      </c>
      <c r="I115" s="7">
        <v>172</v>
      </c>
      <c r="J115" s="7">
        <v>21.92</v>
      </c>
      <c r="K115" s="7">
        <v>107.88</v>
      </c>
      <c r="L115" s="17">
        <f t="shared" si="1"/>
        <v>3770.2400000000002</v>
      </c>
    </row>
    <row r="116" spans="2:12" hidden="1" x14ac:dyDescent="0.25">
      <c r="B116" s="7" t="s">
        <v>138</v>
      </c>
      <c r="C116" s="7" t="s">
        <v>11</v>
      </c>
      <c r="D116" s="7" t="s">
        <v>31</v>
      </c>
      <c r="E116" s="7" t="s">
        <v>13</v>
      </c>
      <c r="F116" s="7" t="s">
        <v>24</v>
      </c>
      <c r="G116" s="7" t="s">
        <v>28</v>
      </c>
      <c r="H116" s="1">
        <v>45036</v>
      </c>
      <c r="I116" s="7">
        <v>335</v>
      </c>
      <c r="J116" s="7">
        <v>493.41</v>
      </c>
      <c r="K116" s="7">
        <v>61.4</v>
      </c>
      <c r="L116" s="17">
        <f t="shared" si="1"/>
        <v>165292.35</v>
      </c>
    </row>
    <row r="117" spans="2:12" hidden="1" x14ac:dyDescent="0.25">
      <c r="B117" s="7" t="s">
        <v>139</v>
      </c>
      <c r="C117" s="7" t="s">
        <v>17</v>
      </c>
      <c r="D117" s="7" t="s">
        <v>50</v>
      </c>
      <c r="E117" s="7" t="s">
        <v>23</v>
      </c>
      <c r="F117" s="7" t="s">
        <v>14</v>
      </c>
      <c r="G117" s="7" t="s">
        <v>28</v>
      </c>
      <c r="H117" s="1">
        <v>45037</v>
      </c>
      <c r="I117" s="7">
        <v>476</v>
      </c>
      <c r="J117" s="7">
        <v>65.87</v>
      </c>
      <c r="K117" s="7">
        <v>52.63</v>
      </c>
      <c r="L117" s="17">
        <f t="shared" si="1"/>
        <v>31354.120000000003</v>
      </c>
    </row>
    <row r="118" spans="2:12" hidden="1" x14ac:dyDescent="0.25">
      <c r="B118" s="7" t="s">
        <v>140</v>
      </c>
      <c r="C118" s="7" t="s">
        <v>11</v>
      </c>
      <c r="D118" s="7" t="s">
        <v>26</v>
      </c>
      <c r="E118" s="7" t="s">
        <v>13</v>
      </c>
      <c r="F118" s="7" t="s">
        <v>14</v>
      </c>
      <c r="G118" s="7" t="s">
        <v>15</v>
      </c>
      <c r="H118" s="1">
        <v>45038</v>
      </c>
      <c r="I118" s="7">
        <v>423</v>
      </c>
      <c r="J118" s="7">
        <v>119.41</v>
      </c>
      <c r="K118" s="7">
        <v>346.13</v>
      </c>
      <c r="L118" s="17">
        <f t="shared" si="1"/>
        <v>50510.43</v>
      </c>
    </row>
    <row r="119" spans="2:12" hidden="1" x14ac:dyDescent="0.25">
      <c r="B119" s="7" t="s">
        <v>141</v>
      </c>
      <c r="C119" s="7" t="s">
        <v>17</v>
      </c>
      <c r="D119" s="7" t="s">
        <v>26</v>
      </c>
      <c r="E119" s="7" t="s">
        <v>13</v>
      </c>
      <c r="F119" s="7" t="s">
        <v>14</v>
      </c>
      <c r="G119" s="7" t="s">
        <v>15</v>
      </c>
      <c r="H119" s="1">
        <v>45039</v>
      </c>
      <c r="I119" s="7">
        <v>464</v>
      </c>
      <c r="J119" s="7">
        <v>30.59</v>
      </c>
      <c r="K119" s="7">
        <v>98.9</v>
      </c>
      <c r="L119" s="17">
        <f t="shared" si="1"/>
        <v>14193.76</v>
      </c>
    </row>
    <row r="120" spans="2:12" hidden="1" x14ac:dyDescent="0.25">
      <c r="B120" s="7" t="s">
        <v>142</v>
      </c>
      <c r="C120" s="7" t="s">
        <v>48</v>
      </c>
      <c r="D120" s="7" t="s">
        <v>31</v>
      </c>
      <c r="E120" s="7" t="s">
        <v>13</v>
      </c>
      <c r="F120" s="7" t="s">
        <v>24</v>
      </c>
      <c r="G120" s="7" t="s">
        <v>28</v>
      </c>
      <c r="H120" s="1">
        <v>45040</v>
      </c>
      <c r="I120" s="7">
        <v>83</v>
      </c>
      <c r="J120" s="7">
        <v>321.8</v>
      </c>
      <c r="K120" s="7">
        <v>261.38</v>
      </c>
      <c r="L120" s="17">
        <f t="shared" si="1"/>
        <v>26709.4</v>
      </c>
    </row>
    <row r="121" spans="2:12" hidden="1" x14ac:dyDescent="0.25">
      <c r="B121" s="7" t="s">
        <v>143</v>
      </c>
      <c r="C121" s="7" t="s">
        <v>11</v>
      </c>
      <c r="D121" s="7" t="s">
        <v>26</v>
      </c>
      <c r="E121" s="7" t="s">
        <v>13</v>
      </c>
      <c r="F121" s="7" t="s">
        <v>14</v>
      </c>
      <c r="G121" s="7" t="s">
        <v>20</v>
      </c>
      <c r="H121" s="1">
        <v>45041</v>
      </c>
      <c r="I121" s="7">
        <v>242</v>
      </c>
      <c r="J121" s="7">
        <v>116.23</v>
      </c>
      <c r="K121" s="7">
        <v>324.64999999999998</v>
      </c>
      <c r="L121" s="17">
        <f t="shared" si="1"/>
        <v>28127.66</v>
      </c>
    </row>
    <row r="122" spans="2:12" hidden="1" x14ac:dyDescent="0.25">
      <c r="B122" s="7" t="s">
        <v>144</v>
      </c>
      <c r="C122" s="7" t="s">
        <v>17</v>
      </c>
      <c r="D122" s="7" t="s">
        <v>18</v>
      </c>
      <c r="E122" s="7" t="s">
        <v>27</v>
      </c>
      <c r="F122" s="7" t="s">
        <v>24</v>
      </c>
      <c r="G122" s="7" t="s">
        <v>20</v>
      </c>
      <c r="H122" s="1">
        <v>45042</v>
      </c>
      <c r="I122" s="7">
        <v>233</v>
      </c>
      <c r="J122" s="7">
        <v>94.11</v>
      </c>
      <c r="K122" s="7">
        <v>246.4</v>
      </c>
      <c r="L122" s="17">
        <f t="shared" si="1"/>
        <v>21927.63</v>
      </c>
    </row>
    <row r="123" spans="2:12" hidden="1" x14ac:dyDescent="0.25">
      <c r="B123" s="7" t="s">
        <v>145</v>
      </c>
      <c r="C123" s="7" t="s">
        <v>22</v>
      </c>
      <c r="D123" s="7" t="s">
        <v>50</v>
      </c>
      <c r="E123" s="7" t="s">
        <v>27</v>
      </c>
      <c r="F123" s="7" t="s">
        <v>24</v>
      </c>
      <c r="G123" s="7" t="s">
        <v>20</v>
      </c>
      <c r="H123" s="1">
        <v>45043</v>
      </c>
      <c r="I123" s="7">
        <v>491</v>
      </c>
      <c r="J123" s="7">
        <v>48.84</v>
      </c>
      <c r="K123" s="7">
        <v>344.11</v>
      </c>
      <c r="L123" s="17">
        <f t="shared" si="1"/>
        <v>23980.440000000002</v>
      </c>
    </row>
    <row r="124" spans="2:12" hidden="1" x14ac:dyDescent="0.25">
      <c r="B124" s="7" t="s">
        <v>146</v>
      </c>
      <c r="C124" s="7" t="s">
        <v>22</v>
      </c>
      <c r="D124" s="7" t="s">
        <v>12</v>
      </c>
      <c r="E124" s="7" t="s">
        <v>23</v>
      </c>
      <c r="F124" s="7" t="s">
        <v>24</v>
      </c>
      <c r="G124" s="7" t="s">
        <v>20</v>
      </c>
      <c r="H124" s="1">
        <v>45044</v>
      </c>
      <c r="I124" s="7">
        <v>328</v>
      </c>
      <c r="J124" s="7">
        <v>56.14</v>
      </c>
      <c r="K124" s="7">
        <v>158.16999999999999</v>
      </c>
      <c r="L124" s="17">
        <f t="shared" si="1"/>
        <v>18413.920000000002</v>
      </c>
    </row>
    <row r="125" spans="2:12" hidden="1" x14ac:dyDescent="0.25">
      <c r="B125" s="7" t="s">
        <v>147</v>
      </c>
      <c r="C125" s="7" t="s">
        <v>17</v>
      </c>
      <c r="D125" s="7" t="s">
        <v>26</v>
      </c>
      <c r="E125" s="7" t="s">
        <v>42</v>
      </c>
      <c r="F125" s="7" t="s">
        <v>24</v>
      </c>
      <c r="G125" s="7" t="s">
        <v>15</v>
      </c>
      <c r="H125" s="1">
        <v>45045</v>
      </c>
      <c r="I125" s="7">
        <v>421</v>
      </c>
      <c r="J125" s="7">
        <v>294.41000000000003</v>
      </c>
      <c r="K125" s="7">
        <v>382.58</v>
      </c>
      <c r="L125" s="17">
        <f t="shared" si="1"/>
        <v>123946.61000000002</v>
      </c>
    </row>
    <row r="126" spans="2:12" hidden="1" x14ac:dyDescent="0.25">
      <c r="B126" s="7" t="s">
        <v>148</v>
      </c>
      <c r="C126" s="7" t="s">
        <v>22</v>
      </c>
      <c r="D126" s="7" t="s">
        <v>18</v>
      </c>
      <c r="E126" s="7" t="s">
        <v>13</v>
      </c>
      <c r="F126" s="7" t="s">
        <v>24</v>
      </c>
      <c r="G126" s="7" t="s">
        <v>28</v>
      </c>
      <c r="H126" s="1">
        <v>45046</v>
      </c>
      <c r="I126" s="7">
        <v>69</v>
      </c>
      <c r="J126" s="7">
        <v>345.66</v>
      </c>
      <c r="K126" s="7">
        <v>54.99</v>
      </c>
      <c r="L126" s="17">
        <f t="shared" si="1"/>
        <v>23850.54</v>
      </c>
    </row>
    <row r="127" spans="2:12" hidden="1" x14ac:dyDescent="0.25">
      <c r="B127" s="7" t="s">
        <v>149</v>
      </c>
      <c r="C127" s="7" t="s">
        <v>17</v>
      </c>
      <c r="D127" s="7" t="s">
        <v>12</v>
      </c>
      <c r="E127" s="7" t="s">
        <v>42</v>
      </c>
      <c r="F127" s="7" t="s">
        <v>24</v>
      </c>
      <c r="G127" s="7" t="s">
        <v>20</v>
      </c>
      <c r="H127" s="1">
        <v>45047</v>
      </c>
      <c r="I127" s="7">
        <v>344</v>
      </c>
      <c r="J127" s="7">
        <v>201.7</v>
      </c>
      <c r="K127" s="7">
        <v>42.66</v>
      </c>
      <c r="L127" s="17">
        <f t="shared" si="1"/>
        <v>69384.800000000003</v>
      </c>
    </row>
    <row r="128" spans="2:12" hidden="1" x14ac:dyDescent="0.25">
      <c r="B128" s="7" t="s">
        <v>150</v>
      </c>
      <c r="C128" s="7" t="s">
        <v>17</v>
      </c>
      <c r="D128" s="7" t="s">
        <v>50</v>
      </c>
      <c r="E128" s="7" t="s">
        <v>42</v>
      </c>
      <c r="F128" s="7" t="s">
        <v>14</v>
      </c>
      <c r="G128" s="7" t="s">
        <v>15</v>
      </c>
      <c r="H128" s="1">
        <v>45048</v>
      </c>
      <c r="I128" s="7">
        <v>231</v>
      </c>
      <c r="J128" s="7">
        <v>242.55</v>
      </c>
      <c r="K128" s="7">
        <v>264.16000000000003</v>
      </c>
      <c r="L128" s="17">
        <f t="shared" si="1"/>
        <v>56029.05</v>
      </c>
    </row>
    <row r="129" spans="2:12" x14ac:dyDescent="0.25">
      <c r="B129" s="7" t="s">
        <v>151</v>
      </c>
      <c r="C129" s="7" t="s">
        <v>48</v>
      </c>
      <c r="D129" s="7" t="s">
        <v>12</v>
      </c>
      <c r="E129" s="7" t="s">
        <v>23</v>
      </c>
      <c r="F129" s="7" t="s">
        <v>14</v>
      </c>
      <c r="G129" s="7" t="s">
        <v>20</v>
      </c>
      <c r="H129" s="1">
        <v>45049</v>
      </c>
      <c r="I129" s="7">
        <v>46</v>
      </c>
      <c r="J129" s="7">
        <v>344.55</v>
      </c>
      <c r="K129" s="7">
        <v>377.25</v>
      </c>
      <c r="L129" s="17">
        <f t="shared" si="1"/>
        <v>15849.300000000001</v>
      </c>
    </row>
    <row r="130" spans="2:12" hidden="1" x14ac:dyDescent="0.25">
      <c r="B130" s="7" t="s">
        <v>152</v>
      </c>
      <c r="C130" s="7" t="s">
        <v>11</v>
      </c>
      <c r="D130" s="7" t="s">
        <v>18</v>
      </c>
      <c r="E130" s="7" t="s">
        <v>13</v>
      </c>
      <c r="F130" s="7" t="s">
        <v>24</v>
      </c>
      <c r="G130" s="7" t="s">
        <v>28</v>
      </c>
      <c r="H130" s="1">
        <v>45050</v>
      </c>
      <c r="I130" s="7">
        <v>486</v>
      </c>
      <c r="J130" s="7">
        <v>13.6</v>
      </c>
      <c r="K130" s="7">
        <v>323.94</v>
      </c>
      <c r="L130" s="17">
        <f t="shared" si="1"/>
        <v>6609.5999999999995</v>
      </c>
    </row>
    <row r="131" spans="2:12" hidden="1" x14ac:dyDescent="0.25">
      <c r="B131" s="7" t="s">
        <v>153</v>
      </c>
      <c r="C131" s="7" t="s">
        <v>22</v>
      </c>
      <c r="D131" s="7" t="s">
        <v>12</v>
      </c>
      <c r="E131" s="7" t="s">
        <v>13</v>
      </c>
      <c r="F131" s="7" t="s">
        <v>24</v>
      </c>
      <c r="G131" s="7" t="s">
        <v>15</v>
      </c>
      <c r="H131" s="1">
        <v>45051</v>
      </c>
      <c r="I131" s="7">
        <v>287</v>
      </c>
      <c r="J131" s="7">
        <v>164.95</v>
      </c>
      <c r="K131" s="7">
        <v>32.409999999999997</v>
      </c>
      <c r="L131" s="17">
        <f t="shared" si="1"/>
        <v>47340.649999999994</v>
      </c>
    </row>
    <row r="132" spans="2:12" hidden="1" x14ac:dyDescent="0.25">
      <c r="B132" s="7" t="s">
        <v>154</v>
      </c>
      <c r="C132" s="7" t="s">
        <v>17</v>
      </c>
      <c r="D132" s="7" t="s">
        <v>31</v>
      </c>
      <c r="E132" s="7" t="s">
        <v>19</v>
      </c>
      <c r="F132" s="7" t="s">
        <v>14</v>
      </c>
      <c r="G132" s="7" t="s">
        <v>28</v>
      </c>
      <c r="H132" s="1">
        <v>45052</v>
      </c>
      <c r="I132" s="7">
        <v>205</v>
      </c>
      <c r="J132" s="7">
        <v>486.68</v>
      </c>
      <c r="K132" s="7">
        <v>113.19</v>
      </c>
      <c r="L132" s="17">
        <f t="shared" si="1"/>
        <v>99769.4</v>
      </c>
    </row>
    <row r="133" spans="2:12" hidden="1" x14ac:dyDescent="0.25">
      <c r="B133" s="7" t="s">
        <v>155</v>
      </c>
      <c r="C133" s="7" t="s">
        <v>48</v>
      </c>
      <c r="D133" s="7" t="s">
        <v>12</v>
      </c>
      <c r="E133" s="7" t="s">
        <v>42</v>
      </c>
      <c r="F133" s="7" t="s">
        <v>24</v>
      </c>
      <c r="G133" s="7" t="s">
        <v>28</v>
      </c>
      <c r="H133" s="1">
        <v>45053</v>
      </c>
      <c r="I133" s="7">
        <v>413</v>
      </c>
      <c r="J133" s="7">
        <v>292.16000000000003</v>
      </c>
      <c r="K133" s="7">
        <v>372.27</v>
      </c>
      <c r="L133" s="17">
        <f t="shared" si="1"/>
        <v>120662.08000000002</v>
      </c>
    </row>
    <row r="134" spans="2:12" hidden="1" x14ac:dyDescent="0.25">
      <c r="B134" s="7" t="s">
        <v>156</v>
      </c>
      <c r="C134" s="7" t="s">
        <v>22</v>
      </c>
      <c r="D134" s="7" t="s">
        <v>26</v>
      </c>
      <c r="E134" s="7" t="s">
        <v>42</v>
      </c>
      <c r="F134" s="7" t="s">
        <v>24</v>
      </c>
      <c r="G134" s="7" t="s">
        <v>15</v>
      </c>
      <c r="H134" s="1">
        <v>45054</v>
      </c>
      <c r="I134" s="7">
        <v>361</v>
      </c>
      <c r="J134" s="7">
        <v>130.84</v>
      </c>
      <c r="K134" s="7">
        <v>102.72</v>
      </c>
      <c r="L134" s="17">
        <f t="shared" si="1"/>
        <v>47233.24</v>
      </c>
    </row>
    <row r="135" spans="2:12" hidden="1" x14ac:dyDescent="0.25">
      <c r="B135" s="7" t="s">
        <v>157</v>
      </c>
      <c r="C135" s="7" t="s">
        <v>17</v>
      </c>
      <c r="D135" s="7" t="s">
        <v>26</v>
      </c>
      <c r="E135" s="7" t="s">
        <v>27</v>
      </c>
      <c r="F135" s="7" t="s">
        <v>14</v>
      </c>
      <c r="G135" s="7" t="s">
        <v>15</v>
      </c>
      <c r="H135" s="1">
        <v>45055</v>
      </c>
      <c r="I135" s="7">
        <v>493</v>
      </c>
      <c r="J135" s="7">
        <v>263.26</v>
      </c>
      <c r="K135" s="7">
        <v>312.91000000000003</v>
      </c>
      <c r="L135" s="17">
        <f t="shared" si="1"/>
        <v>129787.18</v>
      </c>
    </row>
    <row r="136" spans="2:12" hidden="1" x14ac:dyDescent="0.25">
      <c r="B136" s="7" t="s">
        <v>158</v>
      </c>
      <c r="C136" s="7" t="s">
        <v>17</v>
      </c>
      <c r="D136" s="7" t="s">
        <v>31</v>
      </c>
      <c r="E136" s="7" t="s">
        <v>19</v>
      </c>
      <c r="F136" s="7" t="s">
        <v>24</v>
      </c>
      <c r="G136" s="7" t="s">
        <v>15</v>
      </c>
      <c r="H136" s="1">
        <v>45056</v>
      </c>
      <c r="I136" s="7">
        <v>251</v>
      </c>
      <c r="J136" s="7">
        <v>174.61</v>
      </c>
      <c r="K136" s="7">
        <v>330.4</v>
      </c>
      <c r="L136" s="17">
        <f t="shared" ref="L136:L199" si="2">$I136*$J136</f>
        <v>43827.11</v>
      </c>
    </row>
    <row r="137" spans="2:12" hidden="1" x14ac:dyDescent="0.25">
      <c r="B137" s="7" t="s">
        <v>159</v>
      </c>
      <c r="C137" s="7" t="s">
        <v>17</v>
      </c>
      <c r="D137" s="7" t="s">
        <v>18</v>
      </c>
      <c r="E137" s="7" t="s">
        <v>27</v>
      </c>
      <c r="F137" s="7" t="s">
        <v>24</v>
      </c>
      <c r="G137" s="7" t="s">
        <v>15</v>
      </c>
      <c r="H137" s="1">
        <v>45057</v>
      </c>
      <c r="I137" s="7">
        <v>255.9</v>
      </c>
      <c r="J137" s="7">
        <v>268.45999999999998</v>
      </c>
      <c r="K137" s="7">
        <v>199.19</v>
      </c>
      <c r="L137" s="17">
        <f t="shared" si="2"/>
        <v>68698.91399999999</v>
      </c>
    </row>
    <row r="138" spans="2:12" hidden="1" x14ac:dyDescent="0.25">
      <c r="B138" s="7" t="s">
        <v>160</v>
      </c>
      <c r="C138" s="7" t="s">
        <v>22</v>
      </c>
      <c r="D138" s="7" t="s">
        <v>26</v>
      </c>
      <c r="E138" s="7" t="s">
        <v>27</v>
      </c>
      <c r="F138" s="7" t="s">
        <v>24</v>
      </c>
      <c r="G138" s="7" t="s">
        <v>15</v>
      </c>
      <c r="H138" s="1">
        <v>45058</v>
      </c>
      <c r="I138" s="7">
        <v>228</v>
      </c>
      <c r="J138" s="7">
        <v>67.239999999999995</v>
      </c>
      <c r="K138" s="7">
        <v>155.77000000000001</v>
      </c>
      <c r="L138" s="17">
        <f t="shared" si="2"/>
        <v>15330.72</v>
      </c>
    </row>
    <row r="139" spans="2:12" hidden="1" x14ac:dyDescent="0.25">
      <c r="B139" s="7" t="s">
        <v>161</v>
      </c>
      <c r="C139" s="7" t="s">
        <v>22</v>
      </c>
      <c r="D139" s="7" t="s">
        <v>50</v>
      </c>
      <c r="E139" s="7" t="s">
        <v>27</v>
      </c>
      <c r="F139" s="7" t="s">
        <v>14</v>
      </c>
      <c r="G139" s="7" t="s">
        <v>15</v>
      </c>
      <c r="H139" s="1">
        <v>45059</v>
      </c>
      <c r="I139" s="7">
        <v>201</v>
      </c>
      <c r="J139" s="7">
        <v>70.69</v>
      </c>
      <c r="K139" s="7">
        <v>181.15</v>
      </c>
      <c r="L139" s="17">
        <f t="shared" si="2"/>
        <v>14208.689999999999</v>
      </c>
    </row>
    <row r="140" spans="2:12" hidden="1" x14ac:dyDescent="0.25">
      <c r="B140" s="7" t="s">
        <v>162</v>
      </c>
      <c r="C140" s="7" t="s">
        <v>22</v>
      </c>
      <c r="D140" s="7" t="s">
        <v>26</v>
      </c>
      <c r="E140" s="7" t="s">
        <v>23</v>
      </c>
      <c r="F140" s="7" t="s">
        <v>14</v>
      </c>
      <c r="G140" s="7" t="s">
        <v>15</v>
      </c>
      <c r="H140" s="1">
        <v>45060</v>
      </c>
      <c r="I140" s="7">
        <v>26</v>
      </c>
      <c r="J140" s="7">
        <v>76.05</v>
      </c>
      <c r="K140" s="7">
        <v>92.33</v>
      </c>
      <c r="L140" s="17">
        <f t="shared" si="2"/>
        <v>1977.3</v>
      </c>
    </row>
    <row r="141" spans="2:12" hidden="1" x14ac:dyDescent="0.25">
      <c r="B141" s="7" t="s">
        <v>163</v>
      </c>
      <c r="C141" s="7" t="s">
        <v>11</v>
      </c>
      <c r="D141" s="7" t="s">
        <v>26</v>
      </c>
      <c r="E141" s="7" t="s">
        <v>23</v>
      </c>
      <c r="F141" s="7" t="s">
        <v>14</v>
      </c>
      <c r="G141" s="7" t="s">
        <v>20</v>
      </c>
      <c r="H141" s="1">
        <v>45061</v>
      </c>
      <c r="I141" s="7">
        <v>21</v>
      </c>
      <c r="J141" s="7">
        <v>470.21</v>
      </c>
      <c r="K141" s="7">
        <v>355.98</v>
      </c>
      <c r="L141" s="17">
        <f t="shared" si="2"/>
        <v>9874.41</v>
      </c>
    </row>
    <row r="142" spans="2:12" hidden="1" x14ac:dyDescent="0.25">
      <c r="B142" s="7" t="s">
        <v>164</v>
      </c>
      <c r="C142" s="7" t="s">
        <v>22</v>
      </c>
      <c r="D142" s="7" t="s">
        <v>18</v>
      </c>
      <c r="E142" s="7" t="s">
        <v>27</v>
      </c>
      <c r="F142" s="7" t="s">
        <v>24</v>
      </c>
      <c r="G142" s="7" t="s">
        <v>28</v>
      </c>
      <c r="H142" s="1">
        <v>45062</v>
      </c>
      <c r="I142" s="7">
        <v>415</v>
      </c>
      <c r="J142" s="7">
        <v>367.78</v>
      </c>
      <c r="K142" s="7">
        <v>181.35</v>
      </c>
      <c r="L142" s="17">
        <f t="shared" si="2"/>
        <v>152628.69999999998</v>
      </c>
    </row>
    <row r="143" spans="2:12" hidden="1" x14ac:dyDescent="0.25">
      <c r="B143" s="7" t="s">
        <v>165</v>
      </c>
      <c r="C143" s="7" t="s">
        <v>22</v>
      </c>
      <c r="D143" s="7" t="s">
        <v>12</v>
      </c>
      <c r="E143" s="7" t="s">
        <v>19</v>
      </c>
      <c r="F143" s="7" t="s">
        <v>24</v>
      </c>
      <c r="G143" s="7" t="s">
        <v>15</v>
      </c>
      <c r="H143" s="1">
        <v>45063</v>
      </c>
      <c r="I143" s="7">
        <v>410</v>
      </c>
      <c r="J143" s="7">
        <v>85.38</v>
      </c>
      <c r="K143" s="7">
        <v>353.22</v>
      </c>
      <c r="L143" s="17">
        <f t="shared" si="2"/>
        <v>35005.799999999996</v>
      </c>
    </row>
    <row r="144" spans="2:12" hidden="1" x14ac:dyDescent="0.25">
      <c r="B144" s="7" t="s">
        <v>166</v>
      </c>
      <c r="C144" s="7" t="s">
        <v>22</v>
      </c>
      <c r="D144" s="7" t="s">
        <v>26</v>
      </c>
      <c r="E144" s="7" t="s">
        <v>42</v>
      </c>
      <c r="F144" s="7" t="s">
        <v>14</v>
      </c>
      <c r="G144" s="7" t="s">
        <v>20</v>
      </c>
      <c r="H144" s="1">
        <v>45064</v>
      </c>
      <c r="I144" s="7">
        <v>403</v>
      </c>
      <c r="J144" s="7">
        <v>98.23</v>
      </c>
      <c r="K144" s="7">
        <v>44.07</v>
      </c>
      <c r="L144" s="17">
        <f t="shared" si="2"/>
        <v>39586.69</v>
      </c>
    </row>
    <row r="145" spans="2:12" hidden="1" x14ac:dyDescent="0.25">
      <c r="B145" s="7" t="s">
        <v>167</v>
      </c>
      <c r="C145" s="7" t="s">
        <v>11</v>
      </c>
      <c r="D145" s="7" t="s">
        <v>31</v>
      </c>
      <c r="E145" s="7" t="s">
        <v>19</v>
      </c>
      <c r="F145" s="7" t="s">
        <v>24</v>
      </c>
      <c r="G145" s="7" t="s">
        <v>20</v>
      </c>
      <c r="H145" s="1">
        <v>45065</v>
      </c>
      <c r="I145" s="7">
        <v>383</v>
      </c>
      <c r="J145" s="7">
        <v>366.76</v>
      </c>
      <c r="K145" s="7">
        <v>395.33</v>
      </c>
      <c r="L145" s="17">
        <f t="shared" si="2"/>
        <v>140469.07999999999</v>
      </c>
    </row>
    <row r="146" spans="2:12" hidden="1" x14ac:dyDescent="0.25">
      <c r="B146" s="7" t="s">
        <v>168</v>
      </c>
      <c r="C146" s="7" t="s">
        <v>22</v>
      </c>
      <c r="D146" s="7" t="s">
        <v>12</v>
      </c>
      <c r="E146" s="7" t="s">
        <v>13</v>
      </c>
      <c r="F146" s="7" t="s">
        <v>24</v>
      </c>
      <c r="G146" s="7" t="s">
        <v>20</v>
      </c>
      <c r="H146" s="1">
        <v>45066</v>
      </c>
      <c r="I146" s="7">
        <v>202</v>
      </c>
      <c r="J146" s="7">
        <v>82.3</v>
      </c>
      <c r="K146" s="7">
        <v>178.42</v>
      </c>
      <c r="L146" s="17">
        <f t="shared" si="2"/>
        <v>16624.599999999999</v>
      </c>
    </row>
    <row r="147" spans="2:12" hidden="1" x14ac:dyDescent="0.25">
      <c r="B147" s="7" t="s">
        <v>169</v>
      </c>
      <c r="C147" s="7" t="s">
        <v>17</v>
      </c>
      <c r="D147" s="7" t="s">
        <v>50</v>
      </c>
      <c r="E147" s="7" t="s">
        <v>23</v>
      </c>
      <c r="F147" s="7" t="s">
        <v>24</v>
      </c>
      <c r="G147" s="7" t="s">
        <v>28</v>
      </c>
      <c r="H147" s="1">
        <v>45067</v>
      </c>
      <c r="I147" s="7">
        <v>31</v>
      </c>
      <c r="J147" s="7">
        <v>121.11</v>
      </c>
      <c r="K147" s="7">
        <v>21.04</v>
      </c>
      <c r="L147" s="17">
        <f t="shared" si="2"/>
        <v>3754.41</v>
      </c>
    </row>
    <row r="148" spans="2:12" hidden="1" x14ac:dyDescent="0.25">
      <c r="B148" s="7" t="s">
        <v>170</v>
      </c>
      <c r="C148" s="7" t="s">
        <v>22</v>
      </c>
      <c r="D148" s="7" t="s">
        <v>18</v>
      </c>
      <c r="E148" s="7" t="s">
        <v>42</v>
      </c>
      <c r="F148" s="7" t="s">
        <v>24</v>
      </c>
      <c r="G148" s="7" t="s">
        <v>15</v>
      </c>
      <c r="H148" s="1">
        <v>45068</v>
      </c>
      <c r="I148" s="7">
        <v>483</v>
      </c>
      <c r="J148" s="7">
        <v>481.86</v>
      </c>
      <c r="K148" s="7">
        <v>17.13</v>
      </c>
      <c r="L148" s="17">
        <f t="shared" si="2"/>
        <v>232738.38</v>
      </c>
    </row>
    <row r="149" spans="2:12" hidden="1" x14ac:dyDescent="0.25">
      <c r="B149" s="7" t="s">
        <v>171</v>
      </c>
      <c r="C149" s="7" t="s">
        <v>17</v>
      </c>
      <c r="D149" s="7" t="s">
        <v>50</v>
      </c>
      <c r="E149" s="7" t="s">
        <v>42</v>
      </c>
      <c r="F149" s="7" t="s">
        <v>24</v>
      </c>
      <c r="G149" s="7" t="s">
        <v>20</v>
      </c>
      <c r="H149" s="1">
        <v>45069</v>
      </c>
      <c r="I149" s="7">
        <v>129</v>
      </c>
      <c r="J149" s="7">
        <v>131.38</v>
      </c>
      <c r="K149" s="7">
        <v>298.99</v>
      </c>
      <c r="L149" s="17">
        <f t="shared" si="2"/>
        <v>16948.02</v>
      </c>
    </row>
    <row r="150" spans="2:12" hidden="1" x14ac:dyDescent="0.25">
      <c r="B150" s="7" t="s">
        <v>172</v>
      </c>
      <c r="C150" s="7" t="s">
        <v>17</v>
      </c>
      <c r="D150" s="7" t="s">
        <v>12</v>
      </c>
      <c r="E150" s="7" t="s">
        <v>13</v>
      </c>
      <c r="F150" s="7" t="s">
        <v>14</v>
      </c>
      <c r="G150" s="7" t="s">
        <v>28</v>
      </c>
      <c r="H150" s="1">
        <v>45070</v>
      </c>
      <c r="I150" s="7">
        <v>219</v>
      </c>
      <c r="J150" s="7">
        <v>332.51</v>
      </c>
      <c r="K150" s="7">
        <v>264.3</v>
      </c>
      <c r="L150" s="17">
        <f t="shared" si="2"/>
        <v>72819.69</v>
      </c>
    </row>
    <row r="151" spans="2:12" hidden="1" x14ac:dyDescent="0.25">
      <c r="B151" s="7" t="s">
        <v>173</v>
      </c>
      <c r="C151" s="7" t="s">
        <v>17</v>
      </c>
      <c r="D151" s="7" t="s">
        <v>12</v>
      </c>
      <c r="E151" s="7" t="s">
        <v>13</v>
      </c>
      <c r="F151" s="7" t="s">
        <v>24</v>
      </c>
      <c r="G151" s="7" t="s">
        <v>28</v>
      </c>
      <c r="H151" s="1">
        <v>45071</v>
      </c>
      <c r="I151" s="7">
        <v>315</v>
      </c>
      <c r="J151" s="7">
        <v>489.42</v>
      </c>
      <c r="K151" s="7">
        <v>321.25</v>
      </c>
      <c r="L151" s="17">
        <f t="shared" si="2"/>
        <v>154167.30000000002</v>
      </c>
    </row>
    <row r="152" spans="2:12" hidden="1" x14ac:dyDescent="0.25">
      <c r="B152" s="7" t="s">
        <v>174</v>
      </c>
      <c r="C152" s="7" t="s">
        <v>11</v>
      </c>
      <c r="D152" s="7" t="s">
        <v>12</v>
      </c>
      <c r="E152" s="7" t="s">
        <v>27</v>
      </c>
      <c r="F152" s="7" t="s">
        <v>14</v>
      </c>
      <c r="G152" s="7" t="s">
        <v>28</v>
      </c>
      <c r="H152" s="1">
        <v>45072</v>
      </c>
      <c r="I152" s="7">
        <v>279</v>
      </c>
      <c r="J152" s="7">
        <v>190.28</v>
      </c>
      <c r="K152" s="7">
        <v>43.94</v>
      </c>
      <c r="L152" s="17">
        <f t="shared" si="2"/>
        <v>53088.12</v>
      </c>
    </row>
    <row r="153" spans="2:12" hidden="1" x14ac:dyDescent="0.25">
      <c r="B153" s="7" t="s">
        <v>175</v>
      </c>
      <c r="C153" s="7" t="s">
        <v>11</v>
      </c>
      <c r="D153" s="7" t="s">
        <v>50</v>
      </c>
      <c r="E153" s="7" t="s">
        <v>23</v>
      </c>
      <c r="F153" s="7" t="s">
        <v>24</v>
      </c>
      <c r="G153" s="7" t="s">
        <v>20</v>
      </c>
      <c r="H153" s="1">
        <v>45073</v>
      </c>
      <c r="I153" s="7">
        <v>201</v>
      </c>
      <c r="J153" s="7">
        <v>13.67</v>
      </c>
      <c r="K153" s="7">
        <v>16.16</v>
      </c>
      <c r="L153" s="17">
        <f t="shared" si="2"/>
        <v>2747.67</v>
      </c>
    </row>
    <row r="154" spans="2:12" hidden="1" x14ac:dyDescent="0.25">
      <c r="B154" s="7" t="s">
        <v>176</v>
      </c>
      <c r="C154" s="7" t="s">
        <v>11</v>
      </c>
      <c r="D154" s="7" t="s">
        <v>12</v>
      </c>
      <c r="E154" s="7" t="s">
        <v>23</v>
      </c>
      <c r="F154" s="7" t="s">
        <v>14</v>
      </c>
      <c r="G154" s="7" t="s">
        <v>15</v>
      </c>
      <c r="H154" s="1">
        <v>45074</v>
      </c>
      <c r="I154" s="7">
        <v>184</v>
      </c>
      <c r="J154" s="7">
        <v>125.85</v>
      </c>
      <c r="K154" s="7">
        <v>204.41</v>
      </c>
      <c r="L154" s="17">
        <f t="shared" si="2"/>
        <v>23156.399999999998</v>
      </c>
    </row>
    <row r="155" spans="2:12" hidden="1" x14ac:dyDescent="0.25">
      <c r="B155" s="7" t="s">
        <v>177</v>
      </c>
      <c r="C155" s="7" t="s">
        <v>22</v>
      </c>
      <c r="D155" s="7" t="s">
        <v>50</v>
      </c>
      <c r="E155" s="7" t="s">
        <v>19</v>
      </c>
      <c r="F155" s="7" t="s">
        <v>24</v>
      </c>
      <c r="G155" s="7" t="s">
        <v>20</v>
      </c>
      <c r="H155" s="1">
        <v>45075</v>
      </c>
      <c r="I155" s="7">
        <v>294</v>
      </c>
      <c r="J155" s="7">
        <v>416.28</v>
      </c>
      <c r="K155" s="7">
        <v>156.26</v>
      </c>
      <c r="L155" s="17">
        <f t="shared" si="2"/>
        <v>122386.31999999999</v>
      </c>
    </row>
    <row r="156" spans="2:12" hidden="1" x14ac:dyDescent="0.25">
      <c r="B156" s="7" t="s">
        <v>178</v>
      </c>
      <c r="C156" s="7" t="s">
        <v>17</v>
      </c>
      <c r="D156" s="7" t="s">
        <v>12</v>
      </c>
      <c r="E156" s="7" t="s">
        <v>27</v>
      </c>
      <c r="F156" s="7" t="s">
        <v>14</v>
      </c>
      <c r="G156" s="7" t="s">
        <v>20</v>
      </c>
      <c r="H156" s="1">
        <v>45076</v>
      </c>
      <c r="I156" s="7">
        <v>213</v>
      </c>
      <c r="J156" s="7">
        <v>432.98</v>
      </c>
      <c r="K156" s="7">
        <v>185.85</v>
      </c>
      <c r="L156" s="17">
        <f t="shared" si="2"/>
        <v>92224.74</v>
      </c>
    </row>
    <row r="157" spans="2:12" hidden="1" x14ac:dyDescent="0.25">
      <c r="B157" s="7" t="s">
        <v>179</v>
      </c>
      <c r="C157" s="7" t="s">
        <v>11</v>
      </c>
      <c r="D157" s="7" t="s">
        <v>31</v>
      </c>
      <c r="E157" s="7" t="s">
        <v>27</v>
      </c>
      <c r="F157" s="7" t="s">
        <v>24</v>
      </c>
      <c r="G157" s="7" t="s">
        <v>15</v>
      </c>
      <c r="H157" s="1">
        <v>45077</v>
      </c>
      <c r="I157" s="7">
        <v>173</v>
      </c>
      <c r="J157" s="7">
        <v>385.42</v>
      </c>
      <c r="K157" s="7">
        <v>396.65</v>
      </c>
      <c r="L157" s="17">
        <f t="shared" si="2"/>
        <v>66677.66</v>
      </c>
    </row>
    <row r="158" spans="2:12" hidden="1" x14ac:dyDescent="0.25">
      <c r="B158" s="7" t="s">
        <v>180</v>
      </c>
      <c r="C158" s="7" t="s">
        <v>11</v>
      </c>
      <c r="D158" s="7" t="s">
        <v>12</v>
      </c>
      <c r="E158" s="7" t="s">
        <v>27</v>
      </c>
      <c r="F158" s="7" t="s">
        <v>14</v>
      </c>
      <c r="G158" s="7" t="s">
        <v>15</v>
      </c>
      <c r="H158" s="1">
        <v>45078</v>
      </c>
      <c r="I158" s="7">
        <v>260</v>
      </c>
      <c r="J158" s="7">
        <v>60.99</v>
      </c>
      <c r="K158" s="7">
        <v>388.36</v>
      </c>
      <c r="L158" s="17">
        <f t="shared" si="2"/>
        <v>15857.4</v>
      </c>
    </row>
    <row r="159" spans="2:12" hidden="1" x14ac:dyDescent="0.25">
      <c r="B159" s="7" t="s">
        <v>181</v>
      </c>
      <c r="C159" s="7" t="s">
        <v>22</v>
      </c>
      <c r="D159" s="7" t="s">
        <v>50</v>
      </c>
      <c r="E159" s="7" t="s">
        <v>27</v>
      </c>
      <c r="F159" s="7" t="s">
        <v>24</v>
      </c>
      <c r="G159" s="7" t="s">
        <v>15</v>
      </c>
      <c r="H159" s="1">
        <v>45079</v>
      </c>
      <c r="I159" s="7">
        <v>236</v>
      </c>
      <c r="J159" s="7">
        <v>398.78</v>
      </c>
      <c r="K159" s="7">
        <v>377.04</v>
      </c>
      <c r="L159" s="17">
        <f t="shared" si="2"/>
        <v>94112.079999999987</v>
      </c>
    </row>
    <row r="160" spans="2:12" hidden="1" x14ac:dyDescent="0.25">
      <c r="B160" s="7" t="s">
        <v>182</v>
      </c>
      <c r="C160" s="7" t="s">
        <v>11</v>
      </c>
      <c r="D160" s="7" t="s">
        <v>26</v>
      </c>
      <c r="E160" s="7" t="s">
        <v>23</v>
      </c>
      <c r="F160" s="7" t="s">
        <v>14</v>
      </c>
      <c r="G160" s="7" t="s">
        <v>28</v>
      </c>
      <c r="H160" s="1">
        <v>45080</v>
      </c>
      <c r="I160" s="7">
        <v>445</v>
      </c>
      <c r="J160" s="7">
        <v>459.75</v>
      </c>
      <c r="K160" s="7">
        <v>313.97000000000003</v>
      </c>
      <c r="L160" s="17">
        <f t="shared" si="2"/>
        <v>204588.75</v>
      </c>
    </row>
    <row r="161" spans="2:12" hidden="1" x14ac:dyDescent="0.25">
      <c r="B161" s="7" t="s">
        <v>183</v>
      </c>
      <c r="C161" s="7" t="s">
        <v>22</v>
      </c>
      <c r="D161" s="7" t="s">
        <v>12</v>
      </c>
      <c r="E161" s="7" t="s">
        <v>23</v>
      </c>
      <c r="F161" s="7" t="s">
        <v>24</v>
      </c>
      <c r="G161" s="7" t="s">
        <v>15</v>
      </c>
      <c r="H161" s="1">
        <v>45081</v>
      </c>
      <c r="I161" s="7">
        <v>390</v>
      </c>
      <c r="J161" s="7">
        <v>302.3</v>
      </c>
      <c r="K161" s="7">
        <v>143.22999999999999</v>
      </c>
      <c r="L161" s="17">
        <f t="shared" si="2"/>
        <v>117897</v>
      </c>
    </row>
    <row r="162" spans="2:12" hidden="1" x14ac:dyDescent="0.25">
      <c r="B162" s="7" t="s">
        <v>184</v>
      </c>
      <c r="C162" s="7" t="s">
        <v>48</v>
      </c>
      <c r="D162" s="7" t="s">
        <v>26</v>
      </c>
      <c r="E162" s="7" t="s">
        <v>27</v>
      </c>
      <c r="F162" s="7" t="s">
        <v>14</v>
      </c>
      <c r="G162" s="7" t="s">
        <v>20</v>
      </c>
      <c r="H162" s="1">
        <v>45082</v>
      </c>
      <c r="I162" s="7">
        <v>469</v>
      </c>
      <c r="J162" s="7">
        <v>470.73</v>
      </c>
      <c r="K162" s="7">
        <v>166.03</v>
      </c>
      <c r="L162" s="17">
        <f t="shared" si="2"/>
        <v>220772.37</v>
      </c>
    </row>
    <row r="163" spans="2:12" hidden="1" x14ac:dyDescent="0.25">
      <c r="B163" s="7" t="s">
        <v>185</v>
      </c>
      <c r="C163" s="7" t="s">
        <v>11</v>
      </c>
      <c r="D163" s="7" t="s">
        <v>31</v>
      </c>
      <c r="E163" s="7" t="s">
        <v>19</v>
      </c>
      <c r="F163" s="7" t="s">
        <v>14</v>
      </c>
      <c r="G163" s="7" t="s">
        <v>15</v>
      </c>
      <c r="H163" s="1">
        <v>45083</v>
      </c>
      <c r="I163" s="7">
        <v>16</v>
      </c>
      <c r="J163" s="7">
        <v>249.64</v>
      </c>
      <c r="K163" s="7">
        <v>220.75</v>
      </c>
      <c r="L163" s="17">
        <f t="shared" si="2"/>
        <v>3994.24</v>
      </c>
    </row>
    <row r="164" spans="2:12" hidden="1" x14ac:dyDescent="0.25">
      <c r="B164" s="7" t="s">
        <v>186</v>
      </c>
      <c r="C164" s="7" t="s">
        <v>48</v>
      </c>
      <c r="D164" s="7" t="s">
        <v>18</v>
      </c>
      <c r="E164" s="7" t="s">
        <v>42</v>
      </c>
      <c r="F164" s="7" t="s">
        <v>24</v>
      </c>
      <c r="G164" s="7" t="s">
        <v>20</v>
      </c>
      <c r="H164" s="1">
        <v>45084</v>
      </c>
      <c r="I164" s="7">
        <v>38</v>
      </c>
      <c r="J164" s="7">
        <v>335.15</v>
      </c>
      <c r="K164" s="7">
        <v>332.55</v>
      </c>
      <c r="L164" s="17">
        <f t="shared" si="2"/>
        <v>12735.699999999999</v>
      </c>
    </row>
    <row r="165" spans="2:12" hidden="1" x14ac:dyDescent="0.25">
      <c r="B165" s="7" t="s">
        <v>187</v>
      </c>
      <c r="C165" s="7" t="s">
        <v>22</v>
      </c>
      <c r="D165" s="7" t="s">
        <v>31</v>
      </c>
      <c r="E165" s="7" t="s">
        <v>42</v>
      </c>
      <c r="F165" s="7" t="s">
        <v>24</v>
      </c>
      <c r="G165" s="7" t="s">
        <v>28</v>
      </c>
      <c r="H165" s="1">
        <v>45085</v>
      </c>
      <c r="I165" s="7">
        <v>404</v>
      </c>
      <c r="J165" s="7">
        <v>290.70999999999998</v>
      </c>
      <c r="K165" s="7">
        <v>29.35</v>
      </c>
      <c r="L165" s="17">
        <f t="shared" si="2"/>
        <v>117446.84</v>
      </c>
    </row>
    <row r="166" spans="2:12" hidden="1" x14ac:dyDescent="0.25">
      <c r="B166" s="7" t="s">
        <v>188</v>
      </c>
      <c r="C166" s="7" t="s">
        <v>17</v>
      </c>
      <c r="D166" s="7" t="s">
        <v>12</v>
      </c>
      <c r="E166" s="7" t="s">
        <v>19</v>
      </c>
      <c r="F166" s="7" t="s">
        <v>14</v>
      </c>
      <c r="G166" s="7" t="s">
        <v>20</v>
      </c>
      <c r="H166" s="1">
        <v>45086</v>
      </c>
      <c r="I166" s="7">
        <v>42</v>
      </c>
      <c r="J166" s="7">
        <v>177.54</v>
      </c>
      <c r="K166" s="7">
        <v>170.87</v>
      </c>
      <c r="L166" s="17">
        <f t="shared" si="2"/>
        <v>7456.6799999999994</v>
      </c>
    </row>
    <row r="167" spans="2:12" hidden="1" x14ac:dyDescent="0.25">
      <c r="B167" s="7" t="s">
        <v>189</v>
      </c>
      <c r="C167" s="7" t="s">
        <v>11</v>
      </c>
      <c r="D167" s="7" t="s">
        <v>26</v>
      </c>
      <c r="E167" s="7" t="s">
        <v>27</v>
      </c>
      <c r="F167" s="7" t="s">
        <v>24</v>
      </c>
      <c r="G167" s="7" t="s">
        <v>20</v>
      </c>
      <c r="H167" s="1">
        <v>45087</v>
      </c>
      <c r="I167" s="7">
        <v>143</v>
      </c>
      <c r="J167" s="7">
        <v>83.85</v>
      </c>
      <c r="K167" s="7">
        <v>34.880000000000003</v>
      </c>
      <c r="L167" s="17">
        <f t="shared" si="2"/>
        <v>11990.55</v>
      </c>
    </row>
    <row r="168" spans="2:12" hidden="1" x14ac:dyDescent="0.25">
      <c r="B168" s="7" t="s">
        <v>190</v>
      </c>
      <c r="C168" s="7" t="s">
        <v>22</v>
      </c>
      <c r="D168" s="7" t="s">
        <v>26</v>
      </c>
      <c r="E168" s="7" t="s">
        <v>23</v>
      </c>
      <c r="F168" s="7" t="s">
        <v>14</v>
      </c>
      <c r="G168" s="7" t="s">
        <v>15</v>
      </c>
      <c r="H168" s="1">
        <v>45088</v>
      </c>
      <c r="I168" s="7">
        <v>376</v>
      </c>
      <c r="J168" s="7">
        <v>304.45</v>
      </c>
      <c r="K168" s="7">
        <v>206.83</v>
      </c>
      <c r="L168" s="17">
        <f t="shared" si="2"/>
        <v>114473.2</v>
      </c>
    </row>
    <row r="169" spans="2:12" hidden="1" x14ac:dyDescent="0.25">
      <c r="B169" s="7" t="s">
        <v>191</v>
      </c>
      <c r="C169" s="7" t="s">
        <v>17</v>
      </c>
      <c r="D169" s="7" t="s">
        <v>50</v>
      </c>
      <c r="E169" s="7" t="s">
        <v>42</v>
      </c>
      <c r="F169" s="7" t="s">
        <v>14</v>
      </c>
      <c r="G169" s="7" t="s">
        <v>15</v>
      </c>
      <c r="H169" s="1">
        <v>45089</v>
      </c>
      <c r="I169" s="7">
        <v>88</v>
      </c>
      <c r="J169" s="7">
        <v>162.47</v>
      </c>
      <c r="K169" s="7">
        <v>359.76</v>
      </c>
      <c r="L169" s="17">
        <f t="shared" si="2"/>
        <v>14297.36</v>
      </c>
    </row>
    <row r="170" spans="2:12" hidden="1" x14ac:dyDescent="0.25">
      <c r="B170" s="7" t="s">
        <v>192</v>
      </c>
      <c r="C170" s="7" t="s">
        <v>17</v>
      </c>
      <c r="D170" s="7" t="s">
        <v>26</v>
      </c>
      <c r="E170" s="7" t="s">
        <v>13</v>
      </c>
      <c r="F170" s="7" t="s">
        <v>14</v>
      </c>
      <c r="G170" s="7" t="s">
        <v>20</v>
      </c>
      <c r="H170" s="1">
        <v>45090</v>
      </c>
      <c r="I170" s="7">
        <v>425</v>
      </c>
      <c r="J170" s="7">
        <v>433.89</v>
      </c>
      <c r="K170" s="7">
        <v>313.43</v>
      </c>
      <c r="L170" s="17">
        <f t="shared" si="2"/>
        <v>184403.25</v>
      </c>
    </row>
    <row r="171" spans="2:12" hidden="1" x14ac:dyDescent="0.25">
      <c r="B171" s="7" t="s">
        <v>193</v>
      </c>
      <c r="C171" s="7" t="s">
        <v>48</v>
      </c>
      <c r="D171" s="7" t="s">
        <v>50</v>
      </c>
      <c r="E171" s="7" t="s">
        <v>13</v>
      </c>
      <c r="F171" s="7" t="s">
        <v>24</v>
      </c>
      <c r="G171" s="7" t="s">
        <v>15</v>
      </c>
      <c r="H171" s="1">
        <v>45091</v>
      </c>
      <c r="I171" s="7">
        <v>444</v>
      </c>
      <c r="J171" s="7">
        <v>496.7</v>
      </c>
      <c r="K171" s="7">
        <v>92.68</v>
      </c>
      <c r="L171" s="17">
        <f t="shared" si="2"/>
        <v>220534.8</v>
      </c>
    </row>
    <row r="172" spans="2:12" hidden="1" x14ac:dyDescent="0.25">
      <c r="B172" s="7" t="s">
        <v>194</v>
      </c>
      <c r="C172" s="7" t="s">
        <v>22</v>
      </c>
      <c r="D172" s="7" t="s">
        <v>18</v>
      </c>
      <c r="E172" s="7" t="s">
        <v>19</v>
      </c>
      <c r="F172" s="7" t="s">
        <v>14</v>
      </c>
      <c r="G172" s="7" t="s">
        <v>28</v>
      </c>
      <c r="H172" s="1">
        <v>45092</v>
      </c>
      <c r="I172" s="7">
        <v>468</v>
      </c>
      <c r="J172" s="7">
        <v>377.45</v>
      </c>
      <c r="K172" s="7">
        <v>390.44</v>
      </c>
      <c r="L172" s="17">
        <f t="shared" si="2"/>
        <v>176646.6</v>
      </c>
    </row>
    <row r="173" spans="2:12" hidden="1" x14ac:dyDescent="0.25">
      <c r="B173" s="7" t="s">
        <v>195</v>
      </c>
      <c r="C173" s="7" t="s">
        <v>17</v>
      </c>
      <c r="D173" s="7" t="s">
        <v>12</v>
      </c>
      <c r="E173" s="7" t="s">
        <v>27</v>
      </c>
      <c r="F173" s="7" t="s">
        <v>14</v>
      </c>
      <c r="G173" s="7" t="s">
        <v>28</v>
      </c>
      <c r="H173" s="1">
        <v>45093</v>
      </c>
      <c r="I173" s="7">
        <v>67</v>
      </c>
      <c r="J173" s="7">
        <v>49.79</v>
      </c>
      <c r="K173" s="7">
        <v>267.61</v>
      </c>
      <c r="L173" s="17">
        <f t="shared" si="2"/>
        <v>3335.93</v>
      </c>
    </row>
    <row r="174" spans="2:12" hidden="1" x14ac:dyDescent="0.25">
      <c r="B174" s="7" t="s">
        <v>196</v>
      </c>
      <c r="C174" s="7" t="s">
        <v>11</v>
      </c>
      <c r="D174" s="7" t="s">
        <v>50</v>
      </c>
      <c r="E174" s="7" t="s">
        <v>42</v>
      </c>
      <c r="F174" s="7" t="s">
        <v>24</v>
      </c>
      <c r="G174" s="7" t="s">
        <v>15</v>
      </c>
      <c r="H174" s="1">
        <v>45094</v>
      </c>
      <c r="I174" s="7">
        <v>480</v>
      </c>
      <c r="J174" s="7">
        <v>147.9</v>
      </c>
      <c r="K174" s="7">
        <v>6.15</v>
      </c>
      <c r="L174" s="17">
        <f t="shared" si="2"/>
        <v>70992</v>
      </c>
    </row>
    <row r="175" spans="2:12" hidden="1" x14ac:dyDescent="0.25">
      <c r="B175" s="7" t="s">
        <v>197</v>
      </c>
      <c r="C175" s="7" t="s">
        <v>11</v>
      </c>
      <c r="D175" s="7" t="s">
        <v>18</v>
      </c>
      <c r="E175" s="7" t="s">
        <v>27</v>
      </c>
      <c r="F175" s="7" t="s">
        <v>24</v>
      </c>
      <c r="G175" s="7" t="s">
        <v>28</v>
      </c>
      <c r="H175" s="1">
        <v>45095</v>
      </c>
      <c r="I175" s="7">
        <v>35</v>
      </c>
      <c r="J175" s="7">
        <v>59.01</v>
      </c>
      <c r="K175" s="7">
        <v>103.65</v>
      </c>
      <c r="L175" s="17">
        <f t="shared" si="2"/>
        <v>2065.35</v>
      </c>
    </row>
    <row r="176" spans="2:12" hidden="1" x14ac:dyDescent="0.25">
      <c r="B176" s="7" t="s">
        <v>198</v>
      </c>
      <c r="C176" s="7" t="s">
        <v>48</v>
      </c>
      <c r="D176" s="7" t="s">
        <v>26</v>
      </c>
      <c r="E176" s="7" t="s">
        <v>42</v>
      </c>
      <c r="F176" s="7" t="s">
        <v>24</v>
      </c>
      <c r="G176" s="7" t="s">
        <v>15</v>
      </c>
      <c r="H176" s="1">
        <v>45096</v>
      </c>
      <c r="I176" s="7">
        <v>491</v>
      </c>
      <c r="J176" s="7">
        <v>327</v>
      </c>
      <c r="K176" s="7">
        <v>105.76</v>
      </c>
      <c r="L176" s="17">
        <f t="shared" si="2"/>
        <v>160557</v>
      </c>
    </row>
    <row r="177" spans="2:12" hidden="1" x14ac:dyDescent="0.25">
      <c r="B177" s="7" t="s">
        <v>199</v>
      </c>
      <c r="C177" s="7" t="s">
        <v>17</v>
      </c>
      <c r="D177" s="7" t="s">
        <v>26</v>
      </c>
      <c r="E177" s="7" t="s">
        <v>19</v>
      </c>
      <c r="F177" s="7" t="s">
        <v>24</v>
      </c>
      <c r="G177" s="7" t="s">
        <v>20</v>
      </c>
      <c r="H177" s="1">
        <v>45097</v>
      </c>
      <c r="I177" s="7">
        <v>439</v>
      </c>
      <c r="J177" s="7">
        <v>383.77</v>
      </c>
      <c r="K177" s="7">
        <v>29.56</v>
      </c>
      <c r="L177" s="17">
        <f t="shared" si="2"/>
        <v>168475.03</v>
      </c>
    </row>
    <row r="178" spans="2:12" hidden="1" x14ac:dyDescent="0.25">
      <c r="B178" s="7" t="s">
        <v>200</v>
      </c>
      <c r="C178" s="7" t="s">
        <v>22</v>
      </c>
      <c r="D178" s="7" t="s">
        <v>18</v>
      </c>
      <c r="E178" s="7" t="s">
        <v>19</v>
      </c>
      <c r="F178" s="7" t="s">
        <v>14</v>
      </c>
      <c r="G178" s="7" t="s">
        <v>20</v>
      </c>
      <c r="H178" s="1">
        <v>45098</v>
      </c>
      <c r="I178" s="7">
        <v>235</v>
      </c>
      <c r="J178" s="7">
        <v>463.21</v>
      </c>
      <c r="K178" s="7">
        <v>384.01</v>
      </c>
      <c r="L178" s="17">
        <f t="shared" si="2"/>
        <v>108854.34999999999</v>
      </c>
    </row>
    <row r="179" spans="2:12" hidden="1" x14ac:dyDescent="0.25">
      <c r="B179" s="7" t="s">
        <v>201</v>
      </c>
      <c r="C179" s="7" t="s">
        <v>11</v>
      </c>
      <c r="D179" s="7" t="s">
        <v>26</v>
      </c>
      <c r="E179" s="7" t="s">
        <v>13</v>
      </c>
      <c r="F179" s="7" t="s">
        <v>14</v>
      </c>
      <c r="G179" s="7" t="s">
        <v>28</v>
      </c>
      <c r="H179" s="1">
        <v>45099</v>
      </c>
      <c r="I179" s="7">
        <v>294</v>
      </c>
      <c r="J179" s="7">
        <v>221.9</v>
      </c>
      <c r="K179" s="7">
        <v>192.35</v>
      </c>
      <c r="L179" s="17">
        <f t="shared" si="2"/>
        <v>65238.6</v>
      </c>
    </row>
    <row r="180" spans="2:12" hidden="1" x14ac:dyDescent="0.25">
      <c r="B180" s="7" t="s">
        <v>202</v>
      </c>
      <c r="C180" s="7" t="s">
        <v>17</v>
      </c>
      <c r="D180" s="7" t="s">
        <v>18</v>
      </c>
      <c r="E180" s="7" t="s">
        <v>27</v>
      </c>
      <c r="F180" s="7" t="s">
        <v>14</v>
      </c>
      <c r="G180" s="7" t="s">
        <v>15</v>
      </c>
      <c r="H180" s="1">
        <v>45100</v>
      </c>
      <c r="I180" s="7">
        <v>13</v>
      </c>
      <c r="J180" s="7">
        <v>451.18</v>
      </c>
      <c r="K180" s="7">
        <v>358.53</v>
      </c>
      <c r="L180" s="17">
        <f t="shared" si="2"/>
        <v>5865.34</v>
      </c>
    </row>
    <row r="181" spans="2:12" hidden="1" x14ac:dyDescent="0.25">
      <c r="B181" s="7" t="s">
        <v>203</v>
      </c>
      <c r="C181" s="7" t="s">
        <v>17</v>
      </c>
      <c r="D181" s="7" t="s">
        <v>50</v>
      </c>
      <c r="E181" s="7" t="s">
        <v>13</v>
      </c>
      <c r="F181" s="7" t="s">
        <v>14</v>
      </c>
      <c r="G181" s="7" t="s">
        <v>15</v>
      </c>
      <c r="H181" s="1">
        <v>45101</v>
      </c>
      <c r="I181" s="7">
        <v>474</v>
      </c>
      <c r="J181" s="7">
        <v>439.56</v>
      </c>
      <c r="K181" s="7">
        <v>130.24</v>
      </c>
      <c r="L181" s="17">
        <f t="shared" si="2"/>
        <v>208351.44</v>
      </c>
    </row>
    <row r="182" spans="2:12" hidden="1" x14ac:dyDescent="0.25">
      <c r="B182" s="7" t="s">
        <v>204</v>
      </c>
      <c r="C182" s="7" t="s">
        <v>48</v>
      </c>
      <c r="D182" s="7" t="s">
        <v>50</v>
      </c>
      <c r="E182" s="7" t="s">
        <v>27</v>
      </c>
      <c r="F182" s="7" t="s">
        <v>24</v>
      </c>
      <c r="G182" s="7" t="s">
        <v>28</v>
      </c>
      <c r="H182" s="1">
        <v>45102</v>
      </c>
      <c r="I182" s="7">
        <v>108</v>
      </c>
      <c r="J182" s="7">
        <v>162.01</v>
      </c>
      <c r="K182" s="7">
        <v>51.84</v>
      </c>
      <c r="L182" s="17">
        <f t="shared" si="2"/>
        <v>17497.079999999998</v>
      </c>
    </row>
    <row r="183" spans="2:12" hidden="1" x14ac:dyDescent="0.25">
      <c r="B183" s="7" t="s">
        <v>205</v>
      </c>
      <c r="C183" s="7" t="s">
        <v>11</v>
      </c>
      <c r="D183" s="7" t="s">
        <v>18</v>
      </c>
      <c r="E183" s="7" t="s">
        <v>13</v>
      </c>
      <c r="F183" s="7" t="s">
        <v>14</v>
      </c>
      <c r="G183" s="7" t="s">
        <v>20</v>
      </c>
      <c r="H183" s="1">
        <v>45103</v>
      </c>
      <c r="I183" s="7">
        <v>406</v>
      </c>
      <c r="J183" s="7">
        <v>435.11</v>
      </c>
      <c r="K183" s="7">
        <v>190.79</v>
      </c>
      <c r="L183" s="17">
        <f t="shared" si="2"/>
        <v>176654.66</v>
      </c>
    </row>
    <row r="184" spans="2:12" hidden="1" x14ac:dyDescent="0.25">
      <c r="B184" s="7" t="s">
        <v>206</v>
      </c>
      <c r="C184" s="7" t="s">
        <v>11</v>
      </c>
      <c r="D184" s="7" t="s">
        <v>50</v>
      </c>
      <c r="E184" s="7" t="s">
        <v>23</v>
      </c>
      <c r="F184" s="7" t="s">
        <v>14</v>
      </c>
      <c r="G184" s="7" t="s">
        <v>28</v>
      </c>
      <c r="H184" s="1">
        <v>45104</v>
      </c>
      <c r="I184" s="7">
        <v>498</v>
      </c>
      <c r="J184" s="7">
        <v>190.96</v>
      </c>
      <c r="K184" s="7">
        <v>47.35</v>
      </c>
      <c r="L184" s="17">
        <f t="shared" si="2"/>
        <v>95098.08</v>
      </c>
    </row>
    <row r="185" spans="2:12" hidden="1" x14ac:dyDescent="0.25">
      <c r="B185" s="7" t="s">
        <v>207</v>
      </c>
      <c r="C185" s="7" t="s">
        <v>22</v>
      </c>
      <c r="D185" s="7" t="s">
        <v>50</v>
      </c>
      <c r="E185" s="7" t="s">
        <v>23</v>
      </c>
      <c r="F185" s="7" t="s">
        <v>24</v>
      </c>
      <c r="G185" s="7" t="s">
        <v>20</v>
      </c>
      <c r="H185" s="1">
        <v>45105</v>
      </c>
      <c r="I185" s="7">
        <v>48</v>
      </c>
      <c r="J185" s="7">
        <v>151.94999999999999</v>
      </c>
      <c r="K185" s="7">
        <v>195.43</v>
      </c>
      <c r="L185" s="17">
        <f t="shared" si="2"/>
        <v>7293.5999999999995</v>
      </c>
    </row>
    <row r="186" spans="2:12" hidden="1" x14ac:dyDescent="0.25">
      <c r="B186" s="7" t="s">
        <v>208</v>
      </c>
      <c r="C186" s="7" t="s">
        <v>11</v>
      </c>
      <c r="D186" s="7" t="s">
        <v>50</v>
      </c>
      <c r="E186" s="7" t="s">
        <v>23</v>
      </c>
      <c r="F186" s="7" t="s">
        <v>14</v>
      </c>
      <c r="G186" s="7" t="s">
        <v>15</v>
      </c>
      <c r="H186" s="1">
        <v>45106</v>
      </c>
      <c r="I186" s="7">
        <v>280</v>
      </c>
      <c r="J186" s="7">
        <v>326.29000000000002</v>
      </c>
      <c r="K186" s="7">
        <v>368.28</v>
      </c>
      <c r="L186" s="17">
        <f t="shared" si="2"/>
        <v>91361.200000000012</v>
      </c>
    </row>
    <row r="187" spans="2:12" hidden="1" x14ac:dyDescent="0.25">
      <c r="B187" s="7" t="s">
        <v>209</v>
      </c>
      <c r="C187" s="7" t="s">
        <v>22</v>
      </c>
      <c r="D187" s="7" t="s">
        <v>31</v>
      </c>
      <c r="E187" s="7" t="s">
        <v>23</v>
      </c>
      <c r="F187" s="7" t="s">
        <v>14</v>
      </c>
      <c r="G187" s="7" t="s">
        <v>20</v>
      </c>
      <c r="H187" s="1">
        <v>45107</v>
      </c>
      <c r="I187" s="7">
        <v>384</v>
      </c>
      <c r="J187" s="7">
        <v>167.55</v>
      </c>
      <c r="K187" s="7">
        <v>209.27</v>
      </c>
      <c r="L187" s="17">
        <f t="shared" si="2"/>
        <v>64339.200000000004</v>
      </c>
    </row>
    <row r="188" spans="2:12" hidden="1" x14ac:dyDescent="0.25">
      <c r="B188" s="7" t="s">
        <v>210</v>
      </c>
      <c r="C188" s="7" t="s">
        <v>11</v>
      </c>
      <c r="D188" s="7" t="s">
        <v>12</v>
      </c>
      <c r="E188" s="7" t="s">
        <v>42</v>
      </c>
      <c r="F188" s="7" t="s">
        <v>14</v>
      </c>
      <c r="G188" s="7" t="s">
        <v>28</v>
      </c>
      <c r="H188" s="1">
        <v>45108</v>
      </c>
      <c r="I188" s="7">
        <v>294</v>
      </c>
      <c r="J188" s="7">
        <v>316.95</v>
      </c>
      <c r="K188" s="7">
        <v>247.37</v>
      </c>
      <c r="L188" s="17">
        <f t="shared" si="2"/>
        <v>93183.3</v>
      </c>
    </row>
    <row r="189" spans="2:12" hidden="1" x14ac:dyDescent="0.25">
      <c r="B189" s="7" t="s">
        <v>211</v>
      </c>
      <c r="C189" s="7" t="s">
        <v>48</v>
      </c>
      <c r="D189" s="7" t="s">
        <v>26</v>
      </c>
      <c r="E189" s="7" t="s">
        <v>23</v>
      </c>
      <c r="F189" s="7" t="s">
        <v>14</v>
      </c>
      <c r="G189" s="7" t="s">
        <v>15</v>
      </c>
      <c r="H189" s="1">
        <v>45109</v>
      </c>
      <c r="I189" s="7">
        <v>166</v>
      </c>
      <c r="J189" s="7">
        <v>306.87</v>
      </c>
      <c r="K189" s="7">
        <v>64.34</v>
      </c>
      <c r="L189" s="17">
        <f t="shared" si="2"/>
        <v>50940.42</v>
      </c>
    </row>
    <row r="190" spans="2:12" hidden="1" x14ac:dyDescent="0.25">
      <c r="B190" s="7" t="s">
        <v>212</v>
      </c>
      <c r="C190" s="7" t="s">
        <v>11</v>
      </c>
      <c r="D190" s="7" t="s">
        <v>31</v>
      </c>
      <c r="E190" s="7" t="s">
        <v>19</v>
      </c>
      <c r="F190" s="7" t="s">
        <v>14</v>
      </c>
      <c r="G190" s="7" t="s">
        <v>28</v>
      </c>
      <c r="H190" s="1">
        <v>45110</v>
      </c>
      <c r="I190" s="7">
        <v>84</v>
      </c>
      <c r="J190" s="7">
        <v>283.89999999999998</v>
      </c>
      <c r="K190" s="7">
        <v>19.41</v>
      </c>
      <c r="L190" s="17">
        <f t="shared" si="2"/>
        <v>23847.599999999999</v>
      </c>
    </row>
    <row r="191" spans="2:12" hidden="1" x14ac:dyDescent="0.25">
      <c r="B191" s="7" t="s">
        <v>213</v>
      </c>
      <c r="C191" s="7" t="s">
        <v>22</v>
      </c>
      <c r="D191" s="7" t="s">
        <v>50</v>
      </c>
      <c r="E191" s="7" t="s">
        <v>19</v>
      </c>
      <c r="F191" s="7" t="s">
        <v>14</v>
      </c>
      <c r="G191" s="7" t="s">
        <v>28</v>
      </c>
      <c r="H191" s="1">
        <v>45111</v>
      </c>
      <c r="I191" s="7">
        <v>381</v>
      </c>
      <c r="J191" s="7">
        <v>193.31</v>
      </c>
      <c r="K191" s="7">
        <v>46.1</v>
      </c>
      <c r="L191" s="17">
        <f t="shared" si="2"/>
        <v>73651.11</v>
      </c>
    </row>
    <row r="192" spans="2:12" hidden="1" x14ac:dyDescent="0.25">
      <c r="B192" s="7" t="s">
        <v>214</v>
      </c>
      <c r="C192" s="7" t="s">
        <v>22</v>
      </c>
      <c r="D192" s="7" t="s">
        <v>18</v>
      </c>
      <c r="E192" s="7" t="s">
        <v>42</v>
      </c>
      <c r="F192" s="7" t="s">
        <v>24</v>
      </c>
      <c r="G192" s="7" t="s">
        <v>20</v>
      </c>
      <c r="H192" s="1">
        <v>45112</v>
      </c>
      <c r="I192" s="7">
        <v>297</v>
      </c>
      <c r="J192" s="7">
        <v>276.51</v>
      </c>
      <c r="K192" s="7">
        <v>240.22</v>
      </c>
      <c r="L192" s="17">
        <f t="shared" si="2"/>
        <v>82123.47</v>
      </c>
    </row>
    <row r="193" spans="2:12" hidden="1" x14ac:dyDescent="0.25">
      <c r="B193" s="7" t="s">
        <v>215</v>
      </c>
      <c r="C193" s="7" t="s">
        <v>48</v>
      </c>
      <c r="D193" s="7" t="s">
        <v>50</v>
      </c>
      <c r="E193" s="7" t="s">
        <v>23</v>
      </c>
      <c r="F193" s="7" t="s">
        <v>24</v>
      </c>
      <c r="G193" s="7" t="s">
        <v>28</v>
      </c>
      <c r="H193" s="1">
        <v>45113</v>
      </c>
      <c r="I193" s="7">
        <v>139</v>
      </c>
      <c r="J193" s="7">
        <v>300.26</v>
      </c>
      <c r="K193" s="7">
        <v>39.81</v>
      </c>
      <c r="L193" s="17">
        <f t="shared" si="2"/>
        <v>41736.14</v>
      </c>
    </row>
    <row r="194" spans="2:12" hidden="1" x14ac:dyDescent="0.25">
      <c r="B194" s="7" t="s">
        <v>216</v>
      </c>
      <c r="C194" s="7" t="s">
        <v>11</v>
      </c>
      <c r="D194" s="7" t="s">
        <v>12</v>
      </c>
      <c r="E194" s="7" t="s">
        <v>23</v>
      </c>
      <c r="F194" s="7" t="s">
        <v>14</v>
      </c>
      <c r="G194" s="7" t="s">
        <v>20</v>
      </c>
      <c r="H194" s="1">
        <v>45114</v>
      </c>
      <c r="I194" s="7">
        <v>184</v>
      </c>
      <c r="J194" s="7">
        <v>275.12</v>
      </c>
      <c r="K194" s="7">
        <v>151.65</v>
      </c>
      <c r="L194" s="17">
        <f t="shared" si="2"/>
        <v>50622.080000000002</v>
      </c>
    </row>
    <row r="195" spans="2:12" hidden="1" x14ac:dyDescent="0.25">
      <c r="B195" s="7" t="s">
        <v>217</v>
      </c>
      <c r="C195" s="7" t="s">
        <v>11</v>
      </c>
      <c r="D195" s="7" t="s">
        <v>50</v>
      </c>
      <c r="E195" s="7" t="s">
        <v>23</v>
      </c>
      <c r="F195" s="7" t="s">
        <v>14</v>
      </c>
      <c r="G195" s="7" t="s">
        <v>15</v>
      </c>
      <c r="H195" s="1">
        <v>45115</v>
      </c>
      <c r="I195" s="7">
        <v>471</v>
      </c>
      <c r="J195" s="7">
        <v>224.99</v>
      </c>
      <c r="K195" s="7">
        <v>220.94</v>
      </c>
      <c r="L195" s="17">
        <f t="shared" si="2"/>
        <v>105970.29000000001</v>
      </c>
    </row>
    <row r="196" spans="2:12" hidden="1" x14ac:dyDescent="0.25">
      <c r="B196" s="7" t="s">
        <v>218</v>
      </c>
      <c r="C196" s="7" t="s">
        <v>48</v>
      </c>
      <c r="D196" s="7" t="s">
        <v>18</v>
      </c>
      <c r="E196" s="7" t="s">
        <v>13</v>
      </c>
      <c r="F196" s="7" t="s">
        <v>24</v>
      </c>
      <c r="G196" s="7" t="s">
        <v>20</v>
      </c>
      <c r="H196" s="1">
        <v>45116</v>
      </c>
      <c r="I196" s="7">
        <v>93</v>
      </c>
      <c r="J196" s="7">
        <v>12.26</v>
      </c>
      <c r="K196" s="7">
        <v>156.68</v>
      </c>
      <c r="L196" s="17">
        <f t="shared" si="2"/>
        <v>1140.18</v>
      </c>
    </row>
    <row r="197" spans="2:12" hidden="1" x14ac:dyDescent="0.25">
      <c r="B197" s="7" t="s">
        <v>219</v>
      </c>
      <c r="C197" s="7" t="s">
        <v>11</v>
      </c>
      <c r="D197" s="7" t="s">
        <v>12</v>
      </c>
      <c r="E197" s="7" t="s">
        <v>27</v>
      </c>
      <c r="F197" s="7" t="s">
        <v>14</v>
      </c>
      <c r="G197" s="7" t="s">
        <v>15</v>
      </c>
      <c r="H197" s="1">
        <v>45117</v>
      </c>
      <c r="I197" s="7">
        <v>31</v>
      </c>
      <c r="J197" s="7">
        <v>295.60000000000002</v>
      </c>
      <c r="K197" s="7">
        <v>67.150000000000006</v>
      </c>
      <c r="L197" s="17">
        <f t="shared" si="2"/>
        <v>9163.6</v>
      </c>
    </row>
    <row r="198" spans="2:12" hidden="1" x14ac:dyDescent="0.25">
      <c r="B198" s="7" t="s">
        <v>220</v>
      </c>
      <c r="C198" s="7" t="s">
        <v>11</v>
      </c>
      <c r="D198" s="7" t="s">
        <v>50</v>
      </c>
      <c r="E198" s="7" t="s">
        <v>13</v>
      </c>
      <c r="F198" s="7" t="s">
        <v>14</v>
      </c>
      <c r="G198" s="7" t="s">
        <v>20</v>
      </c>
      <c r="H198" s="1">
        <v>45118</v>
      </c>
      <c r="I198" s="7">
        <v>468</v>
      </c>
      <c r="J198" s="7">
        <v>88.38</v>
      </c>
      <c r="K198" s="7">
        <v>110.97</v>
      </c>
      <c r="L198" s="17">
        <f t="shared" si="2"/>
        <v>41361.839999999997</v>
      </c>
    </row>
    <row r="199" spans="2:12" hidden="1" x14ac:dyDescent="0.25">
      <c r="B199" s="7" t="s">
        <v>221</v>
      </c>
      <c r="C199" s="7" t="s">
        <v>22</v>
      </c>
      <c r="D199" s="7" t="s">
        <v>12</v>
      </c>
      <c r="E199" s="7" t="s">
        <v>27</v>
      </c>
      <c r="F199" s="7" t="s">
        <v>14</v>
      </c>
      <c r="G199" s="7" t="s">
        <v>28</v>
      </c>
      <c r="H199" s="1">
        <v>45119</v>
      </c>
      <c r="I199" s="7">
        <v>36</v>
      </c>
      <c r="J199" s="7">
        <v>323.08</v>
      </c>
      <c r="K199" s="7">
        <v>371.47</v>
      </c>
      <c r="L199" s="17">
        <f t="shared" si="2"/>
        <v>11630.88</v>
      </c>
    </row>
    <row r="200" spans="2:12" hidden="1" x14ac:dyDescent="0.25">
      <c r="B200" s="7" t="s">
        <v>222</v>
      </c>
      <c r="C200" s="7" t="s">
        <v>11</v>
      </c>
      <c r="D200" s="7" t="s">
        <v>26</v>
      </c>
      <c r="E200" s="7" t="s">
        <v>23</v>
      </c>
      <c r="F200" s="7" t="s">
        <v>24</v>
      </c>
      <c r="G200" s="7" t="s">
        <v>20</v>
      </c>
      <c r="H200" s="1">
        <v>45120</v>
      </c>
      <c r="I200" s="7">
        <v>204</v>
      </c>
      <c r="J200" s="7">
        <v>380.88</v>
      </c>
      <c r="K200" s="7">
        <v>271.04000000000002</v>
      </c>
      <c r="L200" s="17">
        <f t="shared" ref="L200:L263" si="3">$I200*$J200</f>
        <v>77699.520000000004</v>
      </c>
    </row>
    <row r="201" spans="2:12" hidden="1" x14ac:dyDescent="0.25">
      <c r="B201" s="7" t="s">
        <v>223</v>
      </c>
      <c r="C201" s="7" t="s">
        <v>11</v>
      </c>
      <c r="D201" s="7" t="s">
        <v>26</v>
      </c>
      <c r="E201" s="7" t="s">
        <v>23</v>
      </c>
      <c r="F201" s="7" t="s">
        <v>14</v>
      </c>
      <c r="G201" s="7" t="s">
        <v>20</v>
      </c>
      <c r="H201" s="1">
        <v>45121</v>
      </c>
      <c r="I201" s="7">
        <v>346</v>
      </c>
      <c r="J201" s="7">
        <v>252.72</v>
      </c>
      <c r="K201" s="7">
        <v>199.43</v>
      </c>
      <c r="L201" s="17">
        <f t="shared" si="3"/>
        <v>87441.12</v>
      </c>
    </row>
    <row r="202" spans="2:12" hidden="1" x14ac:dyDescent="0.25">
      <c r="B202" s="7" t="s">
        <v>224</v>
      </c>
      <c r="C202" s="7" t="s">
        <v>48</v>
      </c>
      <c r="D202" s="7" t="s">
        <v>50</v>
      </c>
      <c r="E202" s="7" t="s">
        <v>13</v>
      </c>
      <c r="F202" s="7" t="s">
        <v>24</v>
      </c>
      <c r="G202" s="7" t="s">
        <v>15</v>
      </c>
      <c r="H202" s="1">
        <v>45122</v>
      </c>
      <c r="I202" s="7">
        <v>391</v>
      </c>
      <c r="J202" s="7">
        <v>273.47000000000003</v>
      </c>
      <c r="K202" s="7">
        <v>7.06</v>
      </c>
      <c r="L202" s="17">
        <f t="shared" si="3"/>
        <v>106926.77</v>
      </c>
    </row>
    <row r="203" spans="2:12" hidden="1" x14ac:dyDescent="0.25">
      <c r="B203" s="7" t="s">
        <v>225</v>
      </c>
      <c r="C203" s="7" t="s">
        <v>48</v>
      </c>
      <c r="D203" s="7" t="s">
        <v>12</v>
      </c>
      <c r="E203" s="7" t="s">
        <v>13</v>
      </c>
      <c r="F203" s="7" t="s">
        <v>14</v>
      </c>
      <c r="G203" s="7" t="s">
        <v>28</v>
      </c>
      <c r="H203" s="1">
        <v>45123</v>
      </c>
      <c r="I203" s="7">
        <v>245</v>
      </c>
      <c r="J203" s="7">
        <v>475.98</v>
      </c>
      <c r="K203" s="7">
        <v>396.98</v>
      </c>
      <c r="L203" s="17">
        <f t="shared" si="3"/>
        <v>116615.1</v>
      </c>
    </row>
    <row r="204" spans="2:12" hidden="1" x14ac:dyDescent="0.25">
      <c r="B204" s="7" t="s">
        <v>226</v>
      </c>
      <c r="C204" s="7" t="s">
        <v>17</v>
      </c>
      <c r="D204" s="7" t="s">
        <v>18</v>
      </c>
      <c r="E204" s="7" t="s">
        <v>27</v>
      </c>
      <c r="F204" s="7" t="s">
        <v>24</v>
      </c>
      <c r="G204" s="7" t="s">
        <v>20</v>
      </c>
      <c r="H204" s="1">
        <v>45124</v>
      </c>
      <c r="I204" s="7">
        <v>449</v>
      </c>
      <c r="J204" s="7">
        <v>424.35</v>
      </c>
      <c r="K204" s="7">
        <v>269.24</v>
      </c>
      <c r="L204" s="17">
        <f t="shared" si="3"/>
        <v>190533.15000000002</v>
      </c>
    </row>
    <row r="205" spans="2:12" hidden="1" x14ac:dyDescent="0.25">
      <c r="B205" s="7" t="s">
        <v>227</v>
      </c>
      <c r="C205" s="7" t="s">
        <v>22</v>
      </c>
      <c r="D205" s="7" t="s">
        <v>50</v>
      </c>
      <c r="E205" s="7" t="s">
        <v>19</v>
      </c>
      <c r="F205" s="7" t="s">
        <v>24</v>
      </c>
      <c r="G205" s="7" t="s">
        <v>28</v>
      </c>
      <c r="H205" s="1">
        <v>45125</v>
      </c>
      <c r="I205" s="7">
        <v>101</v>
      </c>
      <c r="J205" s="7">
        <v>457.55</v>
      </c>
      <c r="K205" s="7">
        <v>128.13999999999999</v>
      </c>
      <c r="L205" s="17">
        <f t="shared" si="3"/>
        <v>46212.55</v>
      </c>
    </row>
    <row r="206" spans="2:12" hidden="1" x14ac:dyDescent="0.25">
      <c r="B206" s="7" t="s">
        <v>228</v>
      </c>
      <c r="C206" s="7" t="s">
        <v>11</v>
      </c>
      <c r="D206" s="7" t="s">
        <v>26</v>
      </c>
      <c r="E206" s="7" t="s">
        <v>27</v>
      </c>
      <c r="F206" s="7" t="s">
        <v>14</v>
      </c>
      <c r="G206" s="7" t="s">
        <v>20</v>
      </c>
      <c r="H206" s="1">
        <v>45126</v>
      </c>
      <c r="I206" s="7">
        <v>255.9</v>
      </c>
      <c r="J206" s="7">
        <v>407.81</v>
      </c>
      <c r="K206" s="7">
        <v>351.95</v>
      </c>
      <c r="L206" s="17">
        <f t="shared" si="3"/>
        <v>104358.579</v>
      </c>
    </row>
    <row r="207" spans="2:12" hidden="1" x14ac:dyDescent="0.25">
      <c r="B207" s="7" t="s">
        <v>229</v>
      </c>
      <c r="C207" s="7" t="s">
        <v>11</v>
      </c>
      <c r="D207" s="7" t="s">
        <v>26</v>
      </c>
      <c r="E207" s="7" t="s">
        <v>13</v>
      </c>
      <c r="F207" s="7" t="s">
        <v>24</v>
      </c>
      <c r="G207" s="7" t="s">
        <v>20</v>
      </c>
      <c r="H207" s="1">
        <v>45127</v>
      </c>
      <c r="I207" s="7">
        <v>30</v>
      </c>
      <c r="J207" s="7">
        <v>58.91</v>
      </c>
      <c r="K207" s="7">
        <v>104.86</v>
      </c>
      <c r="L207" s="17">
        <f t="shared" si="3"/>
        <v>1767.3</v>
      </c>
    </row>
    <row r="208" spans="2:12" hidden="1" x14ac:dyDescent="0.25">
      <c r="B208" s="7" t="s">
        <v>230</v>
      </c>
      <c r="C208" s="7" t="s">
        <v>17</v>
      </c>
      <c r="D208" s="7" t="s">
        <v>50</v>
      </c>
      <c r="E208" s="7" t="s">
        <v>13</v>
      </c>
      <c r="F208" s="7" t="s">
        <v>14</v>
      </c>
      <c r="G208" s="7" t="s">
        <v>28</v>
      </c>
      <c r="H208" s="1">
        <v>45128</v>
      </c>
      <c r="I208" s="7">
        <v>312</v>
      </c>
      <c r="J208" s="7">
        <v>78.75</v>
      </c>
      <c r="K208" s="7">
        <v>218.52</v>
      </c>
      <c r="L208" s="17">
        <f t="shared" si="3"/>
        <v>24570</v>
      </c>
    </row>
    <row r="209" spans="2:12" hidden="1" x14ac:dyDescent="0.25">
      <c r="B209" s="7" t="s">
        <v>231</v>
      </c>
      <c r="C209" s="7" t="s">
        <v>11</v>
      </c>
      <c r="D209" s="7" t="s">
        <v>12</v>
      </c>
      <c r="E209" s="7" t="s">
        <v>42</v>
      </c>
      <c r="F209" s="7" t="s">
        <v>24</v>
      </c>
      <c r="G209" s="7" t="s">
        <v>20</v>
      </c>
      <c r="H209" s="1">
        <v>45129</v>
      </c>
      <c r="I209" s="7">
        <v>473</v>
      </c>
      <c r="J209" s="7">
        <v>265.68</v>
      </c>
      <c r="K209" s="7">
        <v>255.16</v>
      </c>
      <c r="L209" s="17">
        <f t="shared" si="3"/>
        <v>125666.64</v>
      </c>
    </row>
    <row r="210" spans="2:12" hidden="1" x14ac:dyDescent="0.25">
      <c r="B210" s="7" t="s">
        <v>232</v>
      </c>
      <c r="C210" s="7" t="s">
        <v>22</v>
      </c>
      <c r="D210" s="7" t="s">
        <v>26</v>
      </c>
      <c r="E210" s="7" t="s">
        <v>13</v>
      </c>
      <c r="F210" s="7" t="s">
        <v>14</v>
      </c>
      <c r="G210" s="7" t="s">
        <v>28</v>
      </c>
      <c r="H210" s="1">
        <v>45130</v>
      </c>
      <c r="I210" s="7">
        <v>366</v>
      </c>
      <c r="J210" s="7">
        <v>126.8</v>
      </c>
      <c r="K210" s="7">
        <v>89.98</v>
      </c>
      <c r="L210" s="17">
        <f t="shared" si="3"/>
        <v>46408.799999999996</v>
      </c>
    </row>
    <row r="211" spans="2:12" hidden="1" x14ac:dyDescent="0.25">
      <c r="B211" s="7" t="s">
        <v>233</v>
      </c>
      <c r="C211" s="7" t="s">
        <v>17</v>
      </c>
      <c r="D211" s="7" t="s">
        <v>12</v>
      </c>
      <c r="E211" s="7" t="s">
        <v>42</v>
      </c>
      <c r="F211" s="7" t="s">
        <v>14</v>
      </c>
      <c r="G211" s="7" t="s">
        <v>20</v>
      </c>
      <c r="H211" s="1">
        <v>45131</v>
      </c>
      <c r="I211" s="7">
        <v>452</v>
      </c>
      <c r="J211" s="7">
        <v>240.96</v>
      </c>
      <c r="K211" s="7">
        <v>391.4</v>
      </c>
      <c r="L211" s="17">
        <f t="shared" si="3"/>
        <v>108913.92</v>
      </c>
    </row>
    <row r="212" spans="2:12" hidden="1" x14ac:dyDescent="0.25">
      <c r="B212" s="7" t="s">
        <v>234</v>
      </c>
      <c r="C212" s="7" t="s">
        <v>22</v>
      </c>
      <c r="D212" s="7" t="s">
        <v>26</v>
      </c>
      <c r="E212" s="7" t="s">
        <v>19</v>
      </c>
      <c r="F212" s="7" t="s">
        <v>24</v>
      </c>
      <c r="G212" s="7" t="s">
        <v>15</v>
      </c>
      <c r="H212" s="1">
        <v>45132</v>
      </c>
      <c r="I212" s="7">
        <v>93</v>
      </c>
      <c r="J212" s="7">
        <v>200.21</v>
      </c>
      <c r="K212" s="7">
        <v>299.77999999999997</v>
      </c>
      <c r="L212" s="17">
        <f t="shared" si="3"/>
        <v>18619.530000000002</v>
      </c>
    </row>
    <row r="213" spans="2:12" hidden="1" x14ac:dyDescent="0.25">
      <c r="B213" s="7" t="s">
        <v>235</v>
      </c>
      <c r="C213" s="7" t="s">
        <v>17</v>
      </c>
      <c r="D213" s="7" t="s">
        <v>26</v>
      </c>
      <c r="E213" s="7" t="s">
        <v>27</v>
      </c>
      <c r="F213" s="7" t="s">
        <v>14</v>
      </c>
      <c r="G213" s="7" t="s">
        <v>28</v>
      </c>
      <c r="H213" s="1">
        <v>45133</v>
      </c>
      <c r="I213" s="7">
        <v>271</v>
      </c>
      <c r="J213" s="7">
        <v>276.95999999999998</v>
      </c>
      <c r="K213" s="7">
        <v>224.01</v>
      </c>
      <c r="L213" s="17">
        <f t="shared" si="3"/>
        <v>75056.159999999989</v>
      </c>
    </row>
    <row r="214" spans="2:12" hidden="1" x14ac:dyDescent="0.25">
      <c r="B214" s="7" t="s">
        <v>236</v>
      </c>
      <c r="C214" s="7" t="s">
        <v>17</v>
      </c>
      <c r="D214" s="7" t="s">
        <v>31</v>
      </c>
      <c r="E214" s="7" t="s">
        <v>27</v>
      </c>
      <c r="F214" s="7" t="s">
        <v>14</v>
      </c>
      <c r="G214" s="7" t="s">
        <v>20</v>
      </c>
      <c r="H214" s="1">
        <v>45134</v>
      </c>
      <c r="I214" s="7">
        <v>156</v>
      </c>
      <c r="J214" s="7">
        <v>374.7</v>
      </c>
      <c r="K214" s="7">
        <v>73.88</v>
      </c>
      <c r="L214" s="17">
        <f t="shared" si="3"/>
        <v>58453.2</v>
      </c>
    </row>
    <row r="215" spans="2:12" hidden="1" x14ac:dyDescent="0.25">
      <c r="B215" s="7" t="s">
        <v>237</v>
      </c>
      <c r="C215" s="7" t="s">
        <v>48</v>
      </c>
      <c r="D215" s="7" t="s">
        <v>26</v>
      </c>
      <c r="E215" s="7" t="s">
        <v>42</v>
      </c>
      <c r="F215" s="7" t="s">
        <v>24</v>
      </c>
      <c r="G215" s="7" t="s">
        <v>20</v>
      </c>
      <c r="H215" s="1">
        <v>45135</v>
      </c>
      <c r="I215" s="7">
        <v>450</v>
      </c>
      <c r="J215" s="7">
        <v>359.17</v>
      </c>
      <c r="K215" s="7">
        <v>23.44</v>
      </c>
      <c r="L215" s="17">
        <f t="shared" si="3"/>
        <v>161626.5</v>
      </c>
    </row>
    <row r="216" spans="2:12" hidden="1" x14ac:dyDescent="0.25">
      <c r="B216" s="7" t="s">
        <v>238</v>
      </c>
      <c r="C216" s="7" t="s">
        <v>22</v>
      </c>
      <c r="D216" s="7" t="s">
        <v>18</v>
      </c>
      <c r="E216" s="7" t="s">
        <v>27</v>
      </c>
      <c r="F216" s="7" t="s">
        <v>14</v>
      </c>
      <c r="G216" s="7" t="s">
        <v>15</v>
      </c>
      <c r="H216" s="1">
        <v>45136</v>
      </c>
      <c r="I216" s="7">
        <v>462</v>
      </c>
      <c r="J216" s="7">
        <v>263.01</v>
      </c>
      <c r="K216" s="7">
        <v>129.38</v>
      </c>
      <c r="L216" s="17">
        <f t="shared" si="3"/>
        <v>121510.62</v>
      </c>
    </row>
    <row r="217" spans="2:12" hidden="1" x14ac:dyDescent="0.25">
      <c r="B217" s="7" t="s">
        <v>239</v>
      </c>
      <c r="C217" s="7" t="s">
        <v>11</v>
      </c>
      <c r="D217" s="7" t="s">
        <v>50</v>
      </c>
      <c r="E217" s="7" t="s">
        <v>27</v>
      </c>
      <c r="F217" s="7" t="s">
        <v>14</v>
      </c>
      <c r="G217" s="7" t="s">
        <v>28</v>
      </c>
      <c r="H217" s="1">
        <v>45137</v>
      </c>
      <c r="I217" s="7">
        <v>396</v>
      </c>
      <c r="J217" s="7">
        <v>412.08</v>
      </c>
      <c r="K217" s="7">
        <v>301.77</v>
      </c>
      <c r="L217" s="17">
        <f t="shared" si="3"/>
        <v>163183.67999999999</v>
      </c>
    </row>
    <row r="218" spans="2:12" hidden="1" x14ac:dyDescent="0.25">
      <c r="B218" s="7" t="s">
        <v>240</v>
      </c>
      <c r="C218" s="7" t="s">
        <v>11</v>
      </c>
      <c r="D218" s="7" t="s">
        <v>50</v>
      </c>
      <c r="E218" s="7" t="s">
        <v>23</v>
      </c>
      <c r="F218" s="7" t="s">
        <v>24</v>
      </c>
      <c r="G218" s="7" t="s">
        <v>20</v>
      </c>
      <c r="H218" s="1">
        <v>45138</v>
      </c>
      <c r="I218" s="7">
        <v>266</v>
      </c>
      <c r="J218" s="7">
        <v>218.28</v>
      </c>
      <c r="K218" s="7">
        <v>109.19</v>
      </c>
      <c r="L218" s="17">
        <f t="shared" si="3"/>
        <v>58062.48</v>
      </c>
    </row>
    <row r="219" spans="2:12" hidden="1" x14ac:dyDescent="0.25">
      <c r="B219" s="7" t="s">
        <v>241</v>
      </c>
      <c r="C219" s="7" t="s">
        <v>22</v>
      </c>
      <c r="D219" s="7" t="s">
        <v>12</v>
      </c>
      <c r="E219" s="7" t="s">
        <v>42</v>
      </c>
      <c r="F219" s="7" t="s">
        <v>24</v>
      </c>
      <c r="G219" s="7" t="s">
        <v>15</v>
      </c>
      <c r="H219" s="1">
        <v>45139</v>
      </c>
      <c r="I219" s="7">
        <v>67</v>
      </c>
      <c r="J219" s="7">
        <v>448.87</v>
      </c>
      <c r="K219" s="7">
        <v>216.74</v>
      </c>
      <c r="L219" s="17">
        <f t="shared" si="3"/>
        <v>30074.29</v>
      </c>
    </row>
    <row r="220" spans="2:12" hidden="1" x14ac:dyDescent="0.25">
      <c r="B220" s="7" t="s">
        <v>242</v>
      </c>
      <c r="C220" s="7" t="s">
        <v>11</v>
      </c>
      <c r="D220" s="7" t="s">
        <v>26</v>
      </c>
      <c r="E220" s="7" t="s">
        <v>27</v>
      </c>
      <c r="F220" s="7" t="s">
        <v>14</v>
      </c>
      <c r="G220" s="7" t="s">
        <v>20</v>
      </c>
      <c r="H220" s="1">
        <v>45140</v>
      </c>
      <c r="I220" s="7">
        <v>389</v>
      </c>
      <c r="J220" s="7">
        <v>40.28</v>
      </c>
      <c r="K220" s="7">
        <v>291.72000000000003</v>
      </c>
      <c r="L220" s="17">
        <f t="shared" si="3"/>
        <v>15668.92</v>
      </c>
    </row>
    <row r="221" spans="2:12" hidden="1" x14ac:dyDescent="0.25">
      <c r="B221" s="7" t="s">
        <v>243</v>
      </c>
      <c r="C221" s="7" t="s">
        <v>11</v>
      </c>
      <c r="D221" s="7" t="s">
        <v>18</v>
      </c>
      <c r="E221" s="7" t="s">
        <v>42</v>
      </c>
      <c r="F221" s="7" t="s">
        <v>14</v>
      </c>
      <c r="G221" s="7" t="s">
        <v>28</v>
      </c>
      <c r="H221" s="1">
        <v>45141</v>
      </c>
      <c r="I221" s="7">
        <v>431</v>
      </c>
      <c r="J221" s="7">
        <v>477.56</v>
      </c>
      <c r="K221" s="7">
        <v>44.96</v>
      </c>
      <c r="L221" s="17">
        <f t="shared" si="3"/>
        <v>205828.36000000002</v>
      </c>
    </row>
    <row r="222" spans="2:12" hidden="1" x14ac:dyDescent="0.25">
      <c r="B222" s="7" t="s">
        <v>244</v>
      </c>
      <c r="C222" s="7" t="s">
        <v>22</v>
      </c>
      <c r="D222" s="7" t="s">
        <v>12</v>
      </c>
      <c r="E222" s="7" t="s">
        <v>42</v>
      </c>
      <c r="F222" s="7" t="s">
        <v>24</v>
      </c>
      <c r="G222" s="7" t="s">
        <v>20</v>
      </c>
      <c r="H222" s="1">
        <v>45142</v>
      </c>
      <c r="I222" s="7">
        <v>24</v>
      </c>
      <c r="J222" s="7">
        <v>329.07</v>
      </c>
      <c r="K222" s="7">
        <v>274.75</v>
      </c>
      <c r="L222" s="17">
        <f t="shared" si="3"/>
        <v>7897.68</v>
      </c>
    </row>
    <row r="223" spans="2:12" hidden="1" x14ac:dyDescent="0.25">
      <c r="B223" s="7" t="s">
        <v>245</v>
      </c>
      <c r="C223" s="7" t="s">
        <v>17</v>
      </c>
      <c r="D223" s="7" t="s">
        <v>31</v>
      </c>
      <c r="E223" s="7" t="s">
        <v>23</v>
      </c>
      <c r="F223" s="7" t="s">
        <v>24</v>
      </c>
      <c r="G223" s="7" t="s">
        <v>20</v>
      </c>
      <c r="H223" s="1">
        <v>45143</v>
      </c>
      <c r="I223" s="7">
        <v>171</v>
      </c>
      <c r="J223" s="7">
        <v>193.14</v>
      </c>
      <c r="K223" s="7">
        <v>38.56</v>
      </c>
      <c r="L223" s="17">
        <f t="shared" si="3"/>
        <v>33026.939999999995</v>
      </c>
    </row>
    <row r="224" spans="2:12" hidden="1" x14ac:dyDescent="0.25">
      <c r="B224" s="7" t="s">
        <v>246</v>
      </c>
      <c r="C224" s="7" t="s">
        <v>22</v>
      </c>
      <c r="D224" s="7" t="s">
        <v>12</v>
      </c>
      <c r="E224" s="7" t="s">
        <v>13</v>
      </c>
      <c r="F224" s="7" t="s">
        <v>14</v>
      </c>
      <c r="G224" s="7" t="s">
        <v>20</v>
      </c>
      <c r="H224" s="1">
        <v>45144</v>
      </c>
      <c r="I224" s="7">
        <v>454</v>
      </c>
      <c r="J224" s="7">
        <v>102.59</v>
      </c>
      <c r="K224" s="7">
        <v>386.12</v>
      </c>
      <c r="L224" s="17">
        <f t="shared" si="3"/>
        <v>46575.86</v>
      </c>
    </row>
    <row r="225" spans="2:12" hidden="1" x14ac:dyDescent="0.25">
      <c r="B225" s="7" t="s">
        <v>247</v>
      </c>
      <c r="C225" s="7" t="s">
        <v>17</v>
      </c>
      <c r="D225" s="7" t="s">
        <v>12</v>
      </c>
      <c r="E225" s="7" t="s">
        <v>42</v>
      </c>
      <c r="F225" s="7" t="s">
        <v>24</v>
      </c>
      <c r="G225" s="7" t="s">
        <v>20</v>
      </c>
      <c r="H225" s="1">
        <v>45145</v>
      </c>
      <c r="I225" s="7">
        <v>172</v>
      </c>
      <c r="J225" s="7">
        <v>242.2</v>
      </c>
      <c r="K225" s="7">
        <v>196.38</v>
      </c>
      <c r="L225" s="17">
        <f t="shared" si="3"/>
        <v>41658.400000000001</v>
      </c>
    </row>
    <row r="226" spans="2:12" hidden="1" x14ac:dyDescent="0.25">
      <c r="B226" s="7" t="s">
        <v>248</v>
      </c>
      <c r="C226" s="7" t="s">
        <v>11</v>
      </c>
      <c r="D226" s="7" t="s">
        <v>26</v>
      </c>
      <c r="E226" s="7" t="s">
        <v>27</v>
      </c>
      <c r="F226" s="7" t="s">
        <v>14</v>
      </c>
      <c r="G226" s="7" t="s">
        <v>15</v>
      </c>
      <c r="H226" s="1">
        <v>45146</v>
      </c>
      <c r="I226" s="7">
        <v>329</v>
      </c>
      <c r="J226" s="7">
        <v>101.31</v>
      </c>
      <c r="K226" s="7">
        <v>61.97</v>
      </c>
      <c r="L226" s="17">
        <f t="shared" si="3"/>
        <v>33330.99</v>
      </c>
    </row>
    <row r="227" spans="2:12" hidden="1" x14ac:dyDescent="0.25">
      <c r="B227" s="7" t="s">
        <v>249</v>
      </c>
      <c r="C227" s="7" t="s">
        <v>11</v>
      </c>
      <c r="D227" s="7" t="s">
        <v>31</v>
      </c>
      <c r="E227" s="7" t="s">
        <v>19</v>
      </c>
      <c r="F227" s="7" t="s">
        <v>14</v>
      </c>
      <c r="G227" s="7" t="s">
        <v>15</v>
      </c>
      <c r="H227" s="1">
        <v>45147</v>
      </c>
      <c r="I227" s="7">
        <v>290</v>
      </c>
      <c r="J227" s="7">
        <v>87.33</v>
      </c>
      <c r="K227" s="7">
        <v>138.27000000000001</v>
      </c>
      <c r="L227" s="17">
        <f t="shared" si="3"/>
        <v>25325.7</v>
      </c>
    </row>
    <row r="228" spans="2:12" hidden="1" x14ac:dyDescent="0.25">
      <c r="B228" s="7" t="s">
        <v>250</v>
      </c>
      <c r="C228" s="7" t="s">
        <v>11</v>
      </c>
      <c r="D228" s="7" t="s">
        <v>12</v>
      </c>
      <c r="E228" s="7" t="s">
        <v>42</v>
      </c>
      <c r="F228" s="7" t="s">
        <v>14</v>
      </c>
      <c r="G228" s="7" t="s">
        <v>28</v>
      </c>
      <c r="H228" s="1">
        <v>45148</v>
      </c>
      <c r="I228" s="7">
        <v>289</v>
      </c>
      <c r="J228" s="7">
        <v>310.58999999999997</v>
      </c>
      <c r="K228" s="7">
        <v>166.54</v>
      </c>
      <c r="L228" s="17">
        <f t="shared" si="3"/>
        <v>89760.51</v>
      </c>
    </row>
    <row r="229" spans="2:12" hidden="1" x14ac:dyDescent="0.25">
      <c r="B229" s="7" t="s">
        <v>251</v>
      </c>
      <c r="C229" s="7" t="s">
        <v>48</v>
      </c>
      <c r="D229" s="7" t="s">
        <v>18</v>
      </c>
      <c r="E229" s="7" t="s">
        <v>42</v>
      </c>
      <c r="F229" s="7" t="s">
        <v>14</v>
      </c>
      <c r="G229" s="7" t="s">
        <v>15</v>
      </c>
      <c r="H229" s="1">
        <v>45149</v>
      </c>
      <c r="I229" s="7">
        <v>21</v>
      </c>
      <c r="J229" s="7">
        <v>263.93</v>
      </c>
      <c r="K229" s="7">
        <v>303.76</v>
      </c>
      <c r="L229" s="17">
        <f t="shared" si="3"/>
        <v>5542.53</v>
      </c>
    </row>
    <row r="230" spans="2:12" hidden="1" x14ac:dyDescent="0.25">
      <c r="B230" s="7" t="s">
        <v>252</v>
      </c>
      <c r="C230" s="7" t="s">
        <v>17</v>
      </c>
      <c r="D230" s="7" t="s">
        <v>18</v>
      </c>
      <c r="E230" s="7" t="s">
        <v>23</v>
      </c>
      <c r="F230" s="7" t="s">
        <v>14</v>
      </c>
      <c r="G230" s="7" t="s">
        <v>15</v>
      </c>
      <c r="H230" s="1">
        <v>45150</v>
      </c>
      <c r="I230" s="7">
        <v>283</v>
      </c>
      <c r="J230" s="7">
        <v>336.7</v>
      </c>
      <c r="K230" s="7">
        <v>297.88</v>
      </c>
      <c r="L230" s="17">
        <f t="shared" si="3"/>
        <v>95286.099999999991</v>
      </c>
    </row>
    <row r="231" spans="2:12" hidden="1" x14ac:dyDescent="0.25">
      <c r="B231" s="7" t="s">
        <v>253</v>
      </c>
      <c r="C231" s="7" t="s">
        <v>48</v>
      </c>
      <c r="D231" s="7" t="s">
        <v>50</v>
      </c>
      <c r="E231" s="7" t="s">
        <v>13</v>
      </c>
      <c r="F231" s="7" t="s">
        <v>24</v>
      </c>
      <c r="G231" s="7" t="s">
        <v>28</v>
      </c>
      <c r="H231" s="1">
        <v>45151</v>
      </c>
      <c r="I231" s="7">
        <v>280</v>
      </c>
      <c r="J231" s="7">
        <v>465.15</v>
      </c>
      <c r="K231" s="7">
        <v>245.55</v>
      </c>
      <c r="L231" s="17">
        <f t="shared" si="3"/>
        <v>130242</v>
      </c>
    </row>
    <row r="232" spans="2:12" hidden="1" x14ac:dyDescent="0.25">
      <c r="B232" s="7" t="s">
        <v>254</v>
      </c>
      <c r="C232" s="7" t="s">
        <v>48</v>
      </c>
      <c r="D232" s="7" t="s">
        <v>31</v>
      </c>
      <c r="E232" s="7" t="s">
        <v>19</v>
      </c>
      <c r="F232" s="7" t="s">
        <v>24</v>
      </c>
      <c r="G232" s="7" t="s">
        <v>15</v>
      </c>
      <c r="H232" s="1">
        <v>45152</v>
      </c>
      <c r="I232" s="7">
        <v>217</v>
      </c>
      <c r="J232" s="7">
        <v>268.47000000000003</v>
      </c>
      <c r="K232" s="7">
        <v>44.16</v>
      </c>
      <c r="L232" s="17">
        <f t="shared" si="3"/>
        <v>58257.990000000005</v>
      </c>
    </row>
    <row r="233" spans="2:12" hidden="1" x14ac:dyDescent="0.25">
      <c r="B233" s="7" t="s">
        <v>255</v>
      </c>
      <c r="C233" s="7" t="s">
        <v>22</v>
      </c>
      <c r="D233" s="7" t="s">
        <v>31</v>
      </c>
      <c r="E233" s="7" t="s">
        <v>27</v>
      </c>
      <c r="F233" s="7" t="s">
        <v>24</v>
      </c>
      <c r="G233" s="7" t="s">
        <v>15</v>
      </c>
      <c r="H233" s="1">
        <v>45153</v>
      </c>
      <c r="I233" s="7">
        <v>36</v>
      </c>
      <c r="J233" s="7">
        <v>292.56</v>
      </c>
      <c r="K233" s="7">
        <v>62.32</v>
      </c>
      <c r="L233" s="17">
        <f t="shared" si="3"/>
        <v>10532.16</v>
      </c>
    </row>
    <row r="234" spans="2:12" hidden="1" x14ac:dyDescent="0.25">
      <c r="B234" s="7" t="s">
        <v>256</v>
      </c>
      <c r="C234" s="7" t="s">
        <v>48</v>
      </c>
      <c r="D234" s="7" t="s">
        <v>50</v>
      </c>
      <c r="E234" s="7" t="s">
        <v>19</v>
      </c>
      <c r="F234" s="7" t="s">
        <v>24</v>
      </c>
      <c r="G234" s="7" t="s">
        <v>28</v>
      </c>
      <c r="H234" s="1">
        <v>45154</v>
      </c>
      <c r="I234" s="7">
        <v>255.9</v>
      </c>
      <c r="J234" s="7">
        <v>49.37</v>
      </c>
      <c r="K234" s="7">
        <v>39.32</v>
      </c>
      <c r="L234" s="17">
        <f t="shared" si="3"/>
        <v>12633.782999999999</v>
      </c>
    </row>
    <row r="235" spans="2:12" hidden="1" x14ac:dyDescent="0.25">
      <c r="B235" s="7" t="s">
        <v>257</v>
      </c>
      <c r="C235" s="7" t="s">
        <v>22</v>
      </c>
      <c r="D235" s="7" t="s">
        <v>12</v>
      </c>
      <c r="E235" s="7" t="s">
        <v>27</v>
      </c>
      <c r="F235" s="7" t="s">
        <v>14</v>
      </c>
      <c r="G235" s="7" t="s">
        <v>28</v>
      </c>
      <c r="H235" s="1">
        <v>45155</v>
      </c>
      <c r="I235" s="7">
        <v>69</v>
      </c>
      <c r="J235" s="7">
        <v>360.23</v>
      </c>
      <c r="K235" s="7">
        <v>231.71</v>
      </c>
      <c r="L235" s="17">
        <f t="shared" si="3"/>
        <v>24855.870000000003</v>
      </c>
    </row>
    <row r="236" spans="2:12" hidden="1" x14ac:dyDescent="0.25">
      <c r="B236" s="7" t="s">
        <v>258</v>
      </c>
      <c r="C236" s="7" t="s">
        <v>22</v>
      </c>
      <c r="D236" s="7" t="s">
        <v>31</v>
      </c>
      <c r="E236" s="7" t="s">
        <v>13</v>
      </c>
      <c r="F236" s="7" t="s">
        <v>14</v>
      </c>
      <c r="G236" s="7" t="s">
        <v>28</v>
      </c>
      <c r="H236" s="1">
        <v>45156</v>
      </c>
      <c r="I236" s="7">
        <v>439</v>
      </c>
      <c r="J236" s="7">
        <v>202.95</v>
      </c>
      <c r="K236" s="7">
        <v>351.1</v>
      </c>
      <c r="L236" s="17">
        <f t="shared" si="3"/>
        <v>89095.049999999988</v>
      </c>
    </row>
    <row r="237" spans="2:12" hidden="1" x14ac:dyDescent="0.25">
      <c r="B237" s="7" t="s">
        <v>259</v>
      </c>
      <c r="C237" s="7" t="s">
        <v>48</v>
      </c>
      <c r="D237" s="7" t="s">
        <v>18</v>
      </c>
      <c r="E237" s="7" t="s">
        <v>27</v>
      </c>
      <c r="F237" s="7" t="s">
        <v>14</v>
      </c>
      <c r="G237" s="7" t="s">
        <v>20</v>
      </c>
      <c r="H237" s="1">
        <v>45157</v>
      </c>
      <c r="I237" s="7">
        <v>482</v>
      </c>
      <c r="J237" s="7">
        <v>488.48</v>
      </c>
      <c r="K237" s="7">
        <v>174.65</v>
      </c>
      <c r="L237" s="17">
        <f t="shared" si="3"/>
        <v>235447.36000000002</v>
      </c>
    </row>
    <row r="238" spans="2:12" hidden="1" x14ac:dyDescent="0.25">
      <c r="B238" s="7" t="s">
        <v>260</v>
      </c>
      <c r="C238" s="7" t="s">
        <v>17</v>
      </c>
      <c r="D238" s="7" t="s">
        <v>18</v>
      </c>
      <c r="E238" s="7" t="s">
        <v>23</v>
      </c>
      <c r="F238" s="7" t="s">
        <v>14</v>
      </c>
      <c r="G238" s="7" t="s">
        <v>20</v>
      </c>
      <c r="H238" s="1">
        <v>45158</v>
      </c>
      <c r="I238" s="7">
        <v>154</v>
      </c>
      <c r="J238" s="7">
        <v>412.47</v>
      </c>
      <c r="K238" s="7">
        <v>66.02</v>
      </c>
      <c r="L238" s="17">
        <f t="shared" si="3"/>
        <v>63520.380000000005</v>
      </c>
    </row>
    <row r="239" spans="2:12" hidden="1" x14ac:dyDescent="0.25">
      <c r="B239" s="7" t="s">
        <v>261</v>
      </c>
      <c r="C239" s="7" t="s">
        <v>17</v>
      </c>
      <c r="D239" s="7" t="s">
        <v>26</v>
      </c>
      <c r="E239" s="7" t="s">
        <v>23</v>
      </c>
      <c r="F239" s="7" t="s">
        <v>24</v>
      </c>
      <c r="G239" s="7" t="s">
        <v>28</v>
      </c>
      <c r="H239" s="1">
        <v>45159</v>
      </c>
      <c r="I239" s="7">
        <v>102</v>
      </c>
      <c r="J239" s="7">
        <v>263.63</v>
      </c>
      <c r="K239" s="7">
        <v>224.1</v>
      </c>
      <c r="L239" s="17">
        <f t="shared" si="3"/>
        <v>26890.26</v>
      </c>
    </row>
    <row r="240" spans="2:12" hidden="1" x14ac:dyDescent="0.25">
      <c r="B240" s="7" t="s">
        <v>262</v>
      </c>
      <c r="C240" s="7" t="s">
        <v>17</v>
      </c>
      <c r="D240" s="7" t="s">
        <v>31</v>
      </c>
      <c r="E240" s="7" t="s">
        <v>23</v>
      </c>
      <c r="F240" s="7" t="s">
        <v>14</v>
      </c>
      <c r="G240" s="7" t="s">
        <v>28</v>
      </c>
      <c r="H240" s="1">
        <v>45160</v>
      </c>
      <c r="I240" s="7">
        <v>318</v>
      </c>
      <c r="J240" s="7">
        <v>66</v>
      </c>
      <c r="K240" s="7">
        <v>325.08</v>
      </c>
      <c r="L240" s="17">
        <f t="shared" si="3"/>
        <v>20988</v>
      </c>
    </row>
    <row r="241" spans="2:12" hidden="1" x14ac:dyDescent="0.25">
      <c r="B241" s="7" t="s">
        <v>263</v>
      </c>
      <c r="C241" s="7" t="s">
        <v>17</v>
      </c>
      <c r="D241" s="7" t="s">
        <v>12</v>
      </c>
      <c r="E241" s="7" t="s">
        <v>23</v>
      </c>
      <c r="F241" s="7" t="s">
        <v>14</v>
      </c>
      <c r="G241" s="7" t="s">
        <v>28</v>
      </c>
      <c r="H241" s="1">
        <v>45161</v>
      </c>
      <c r="I241" s="7">
        <v>17</v>
      </c>
      <c r="J241" s="7">
        <v>430.41</v>
      </c>
      <c r="K241" s="7">
        <v>297.2</v>
      </c>
      <c r="L241" s="17">
        <f t="shared" si="3"/>
        <v>7316.97</v>
      </c>
    </row>
    <row r="242" spans="2:12" hidden="1" x14ac:dyDescent="0.25">
      <c r="B242" s="7" t="s">
        <v>264</v>
      </c>
      <c r="C242" s="7" t="s">
        <v>17</v>
      </c>
      <c r="D242" s="7" t="s">
        <v>50</v>
      </c>
      <c r="E242" s="7" t="s">
        <v>19</v>
      </c>
      <c r="F242" s="7" t="s">
        <v>24</v>
      </c>
      <c r="G242" s="7" t="s">
        <v>20</v>
      </c>
      <c r="H242" s="1">
        <v>45162</v>
      </c>
      <c r="I242" s="7">
        <v>88</v>
      </c>
      <c r="J242" s="7">
        <v>400.89</v>
      </c>
      <c r="K242" s="7">
        <v>352.82</v>
      </c>
      <c r="L242" s="17">
        <f t="shared" si="3"/>
        <v>35278.32</v>
      </c>
    </row>
    <row r="243" spans="2:12" hidden="1" x14ac:dyDescent="0.25">
      <c r="B243" s="7" t="s">
        <v>265</v>
      </c>
      <c r="C243" s="7" t="s">
        <v>48</v>
      </c>
      <c r="D243" s="7" t="s">
        <v>50</v>
      </c>
      <c r="E243" s="7" t="s">
        <v>13</v>
      </c>
      <c r="F243" s="7" t="s">
        <v>24</v>
      </c>
      <c r="G243" s="7" t="s">
        <v>20</v>
      </c>
      <c r="H243" s="1">
        <v>45163</v>
      </c>
      <c r="I243" s="7">
        <v>36</v>
      </c>
      <c r="J243" s="7">
        <v>96.37</v>
      </c>
      <c r="K243" s="7">
        <v>112.61</v>
      </c>
      <c r="L243" s="17">
        <f t="shared" si="3"/>
        <v>3469.32</v>
      </c>
    </row>
    <row r="244" spans="2:12" hidden="1" x14ac:dyDescent="0.25">
      <c r="B244" s="7" t="s">
        <v>266</v>
      </c>
      <c r="C244" s="7" t="s">
        <v>48</v>
      </c>
      <c r="D244" s="7" t="s">
        <v>12</v>
      </c>
      <c r="E244" s="7" t="s">
        <v>27</v>
      </c>
      <c r="F244" s="7" t="s">
        <v>24</v>
      </c>
      <c r="G244" s="7" t="s">
        <v>15</v>
      </c>
      <c r="H244" s="1">
        <v>45164</v>
      </c>
      <c r="I244" s="7">
        <v>183</v>
      </c>
      <c r="J244" s="7">
        <v>151.16</v>
      </c>
      <c r="K244" s="7">
        <v>79.19</v>
      </c>
      <c r="L244" s="17">
        <f t="shared" si="3"/>
        <v>27662.28</v>
      </c>
    </row>
    <row r="245" spans="2:12" hidden="1" x14ac:dyDescent="0.25">
      <c r="B245" s="7" t="s">
        <v>267</v>
      </c>
      <c r="C245" s="7" t="s">
        <v>11</v>
      </c>
      <c r="D245" s="7" t="s">
        <v>26</v>
      </c>
      <c r="E245" s="7" t="s">
        <v>27</v>
      </c>
      <c r="F245" s="7" t="s">
        <v>24</v>
      </c>
      <c r="G245" s="7" t="s">
        <v>15</v>
      </c>
      <c r="H245" s="1">
        <v>45165</v>
      </c>
      <c r="I245" s="7">
        <v>59</v>
      </c>
      <c r="J245" s="7">
        <v>397.74</v>
      </c>
      <c r="K245" s="7">
        <v>352.17</v>
      </c>
      <c r="L245" s="17">
        <f t="shared" si="3"/>
        <v>23466.66</v>
      </c>
    </row>
    <row r="246" spans="2:12" hidden="1" x14ac:dyDescent="0.25">
      <c r="B246" s="7" t="s">
        <v>268</v>
      </c>
      <c r="C246" s="7" t="s">
        <v>17</v>
      </c>
      <c r="D246" s="7" t="s">
        <v>50</v>
      </c>
      <c r="E246" s="7" t="s">
        <v>23</v>
      </c>
      <c r="F246" s="7" t="s">
        <v>14</v>
      </c>
      <c r="G246" s="7" t="s">
        <v>28</v>
      </c>
      <c r="H246" s="1">
        <v>45166</v>
      </c>
      <c r="I246" s="7">
        <v>208</v>
      </c>
      <c r="J246" s="7">
        <v>96.69</v>
      </c>
      <c r="K246" s="7">
        <v>263.70999999999998</v>
      </c>
      <c r="L246" s="17">
        <f t="shared" si="3"/>
        <v>20111.52</v>
      </c>
    </row>
    <row r="247" spans="2:12" hidden="1" x14ac:dyDescent="0.25">
      <c r="B247" s="7" t="s">
        <v>269</v>
      </c>
      <c r="C247" s="7" t="s">
        <v>48</v>
      </c>
      <c r="D247" s="7" t="s">
        <v>31</v>
      </c>
      <c r="E247" s="7" t="s">
        <v>23</v>
      </c>
      <c r="F247" s="7" t="s">
        <v>14</v>
      </c>
      <c r="G247" s="7" t="s">
        <v>20</v>
      </c>
      <c r="H247" s="1">
        <v>45167</v>
      </c>
      <c r="I247" s="7">
        <v>396</v>
      </c>
      <c r="J247" s="7">
        <v>459.29</v>
      </c>
      <c r="K247" s="7">
        <v>125.75</v>
      </c>
      <c r="L247" s="17">
        <f t="shared" si="3"/>
        <v>181878.84</v>
      </c>
    </row>
    <row r="248" spans="2:12" hidden="1" x14ac:dyDescent="0.25">
      <c r="B248" s="7" t="s">
        <v>270</v>
      </c>
      <c r="C248" s="7" t="s">
        <v>11</v>
      </c>
      <c r="D248" s="7" t="s">
        <v>26</v>
      </c>
      <c r="E248" s="7" t="s">
        <v>42</v>
      </c>
      <c r="F248" s="7" t="s">
        <v>24</v>
      </c>
      <c r="G248" s="7" t="s">
        <v>20</v>
      </c>
      <c r="H248" s="1">
        <v>45168</v>
      </c>
      <c r="I248" s="7">
        <v>358</v>
      </c>
      <c r="J248" s="7">
        <v>215.14</v>
      </c>
      <c r="K248" s="7">
        <v>297.45</v>
      </c>
      <c r="L248" s="17">
        <f t="shared" si="3"/>
        <v>77020.12</v>
      </c>
    </row>
    <row r="249" spans="2:12" hidden="1" x14ac:dyDescent="0.25">
      <c r="B249" s="7" t="s">
        <v>271</v>
      </c>
      <c r="C249" s="7" t="s">
        <v>17</v>
      </c>
      <c r="D249" s="7" t="s">
        <v>31</v>
      </c>
      <c r="E249" s="7" t="s">
        <v>13</v>
      </c>
      <c r="F249" s="7" t="s">
        <v>14</v>
      </c>
      <c r="G249" s="7" t="s">
        <v>20</v>
      </c>
      <c r="H249" s="1">
        <v>45169</v>
      </c>
      <c r="I249" s="7">
        <v>457</v>
      </c>
      <c r="J249" s="7">
        <v>48.08</v>
      </c>
      <c r="K249" s="7">
        <v>326.42</v>
      </c>
      <c r="L249" s="17">
        <f t="shared" si="3"/>
        <v>21972.559999999998</v>
      </c>
    </row>
    <row r="250" spans="2:12" hidden="1" x14ac:dyDescent="0.25">
      <c r="B250" s="7" t="s">
        <v>272</v>
      </c>
      <c r="C250" s="7" t="s">
        <v>22</v>
      </c>
      <c r="D250" s="7" t="s">
        <v>18</v>
      </c>
      <c r="E250" s="7" t="s">
        <v>19</v>
      </c>
      <c r="F250" s="7" t="s">
        <v>14</v>
      </c>
      <c r="G250" s="7" t="s">
        <v>28</v>
      </c>
      <c r="H250" s="1">
        <v>45170</v>
      </c>
      <c r="I250" s="7">
        <v>437</v>
      </c>
      <c r="J250" s="7">
        <v>408.8</v>
      </c>
      <c r="K250" s="7">
        <v>246.76</v>
      </c>
      <c r="L250" s="17">
        <f t="shared" si="3"/>
        <v>178645.6</v>
      </c>
    </row>
    <row r="251" spans="2:12" hidden="1" x14ac:dyDescent="0.25">
      <c r="B251" s="7" t="s">
        <v>273</v>
      </c>
      <c r="C251" s="7" t="s">
        <v>11</v>
      </c>
      <c r="D251" s="7" t="s">
        <v>26</v>
      </c>
      <c r="E251" s="7" t="s">
        <v>27</v>
      </c>
      <c r="F251" s="7" t="s">
        <v>14</v>
      </c>
      <c r="G251" s="7" t="s">
        <v>15</v>
      </c>
      <c r="H251" s="1">
        <v>45171</v>
      </c>
      <c r="I251" s="7">
        <v>190</v>
      </c>
      <c r="J251" s="7">
        <v>189.89</v>
      </c>
      <c r="K251" s="7">
        <v>275.77999999999997</v>
      </c>
      <c r="L251" s="17">
        <f t="shared" si="3"/>
        <v>36079.1</v>
      </c>
    </row>
    <row r="252" spans="2:12" hidden="1" x14ac:dyDescent="0.25">
      <c r="B252" s="7" t="s">
        <v>274</v>
      </c>
      <c r="C252" s="7" t="s">
        <v>48</v>
      </c>
      <c r="D252" s="7" t="s">
        <v>50</v>
      </c>
      <c r="E252" s="7" t="s">
        <v>42</v>
      </c>
      <c r="F252" s="7" t="s">
        <v>24</v>
      </c>
      <c r="G252" s="7" t="s">
        <v>28</v>
      </c>
      <c r="H252" s="1">
        <v>45172</v>
      </c>
      <c r="I252" s="7">
        <v>33</v>
      </c>
      <c r="J252" s="7">
        <v>265.62</v>
      </c>
      <c r="K252" s="7">
        <v>151.35</v>
      </c>
      <c r="L252" s="17">
        <f t="shared" si="3"/>
        <v>8765.4600000000009</v>
      </c>
    </row>
    <row r="253" spans="2:12" hidden="1" x14ac:dyDescent="0.25">
      <c r="B253" s="7" t="s">
        <v>275</v>
      </c>
      <c r="C253" s="7" t="s">
        <v>22</v>
      </c>
      <c r="D253" s="7" t="s">
        <v>26</v>
      </c>
      <c r="E253" s="7" t="s">
        <v>42</v>
      </c>
      <c r="F253" s="7" t="s">
        <v>14</v>
      </c>
      <c r="G253" s="7" t="s">
        <v>15</v>
      </c>
      <c r="H253" s="1">
        <v>45173</v>
      </c>
      <c r="I253" s="7">
        <v>325</v>
      </c>
      <c r="J253" s="7">
        <v>60.59</v>
      </c>
      <c r="K253" s="7">
        <v>216.4</v>
      </c>
      <c r="L253" s="17">
        <f t="shared" si="3"/>
        <v>19691.75</v>
      </c>
    </row>
    <row r="254" spans="2:12" hidden="1" x14ac:dyDescent="0.25">
      <c r="B254" s="7" t="s">
        <v>276</v>
      </c>
      <c r="C254" s="7" t="s">
        <v>22</v>
      </c>
      <c r="D254" s="7" t="s">
        <v>26</v>
      </c>
      <c r="E254" s="7" t="s">
        <v>27</v>
      </c>
      <c r="F254" s="7" t="s">
        <v>24</v>
      </c>
      <c r="G254" s="7" t="s">
        <v>15</v>
      </c>
      <c r="H254" s="1">
        <v>45174</v>
      </c>
      <c r="I254" s="7">
        <v>387</v>
      </c>
      <c r="J254" s="7">
        <v>6.28</v>
      </c>
      <c r="K254" s="7">
        <v>210.62</v>
      </c>
      <c r="L254" s="17">
        <f t="shared" si="3"/>
        <v>2430.36</v>
      </c>
    </row>
    <row r="255" spans="2:12" hidden="1" x14ac:dyDescent="0.25">
      <c r="B255" s="7" t="s">
        <v>277</v>
      </c>
      <c r="C255" s="7" t="s">
        <v>22</v>
      </c>
      <c r="D255" s="7" t="s">
        <v>26</v>
      </c>
      <c r="E255" s="7" t="s">
        <v>19</v>
      </c>
      <c r="F255" s="7" t="s">
        <v>14</v>
      </c>
      <c r="G255" s="7" t="s">
        <v>28</v>
      </c>
      <c r="H255" s="1">
        <v>45175</v>
      </c>
      <c r="I255" s="7">
        <v>396</v>
      </c>
      <c r="J255" s="7">
        <v>320.8</v>
      </c>
      <c r="K255" s="7">
        <v>339.52</v>
      </c>
      <c r="L255" s="17">
        <f t="shared" si="3"/>
        <v>127036.8</v>
      </c>
    </row>
    <row r="256" spans="2:12" hidden="1" x14ac:dyDescent="0.25">
      <c r="B256" s="7" t="s">
        <v>278</v>
      </c>
      <c r="C256" s="7" t="s">
        <v>11</v>
      </c>
      <c r="D256" s="7" t="s">
        <v>26</v>
      </c>
      <c r="E256" s="7" t="s">
        <v>42</v>
      </c>
      <c r="F256" s="7" t="s">
        <v>14</v>
      </c>
      <c r="G256" s="7" t="s">
        <v>15</v>
      </c>
      <c r="H256" s="1">
        <v>45176</v>
      </c>
      <c r="I256" s="7">
        <v>413</v>
      </c>
      <c r="J256" s="7">
        <v>260.01</v>
      </c>
      <c r="K256" s="7">
        <v>336.31</v>
      </c>
      <c r="L256" s="17">
        <f t="shared" si="3"/>
        <v>107384.12999999999</v>
      </c>
    </row>
    <row r="257" spans="2:12" hidden="1" x14ac:dyDescent="0.25">
      <c r="B257" s="7" t="s">
        <v>279</v>
      </c>
      <c r="C257" s="7" t="s">
        <v>48</v>
      </c>
      <c r="D257" s="7" t="s">
        <v>31</v>
      </c>
      <c r="E257" s="7" t="s">
        <v>42</v>
      </c>
      <c r="F257" s="7" t="s">
        <v>14</v>
      </c>
      <c r="G257" s="7" t="s">
        <v>15</v>
      </c>
      <c r="H257" s="1">
        <v>45177</v>
      </c>
      <c r="I257" s="7">
        <v>255.9</v>
      </c>
      <c r="J257" s="7">
        <v>298.8</v>
      </c>
      <c r="K257" s="7">
        <v>333.41</v>
      </c>
      <c r="L257" s="17">
        <f t="shared" si="3"/>
        <v>76462.92</v>
      </c>
    </row>
    <row r="258" spans="2:12" hidden="1" x14ac:dyDescent="0.25">
      <c r="B258" s="7" t="s">
        <v>280</v>
      </c>
      <c r="C258" s="7" t="s">
        <v>22</v>
      </c>
      <c r="D258" s="7" t="s">
        <v>18</v>
      </c>
      <c r="E258" s="7" t="s">
        <v>13</v>
      </c>
      <c r="F258" s="7" t="s">
        <v>24</v>
      </c>
      <c r="G258" s="7" t="s">
        <v>20</v>
      </c>
      <c r="H258" s="1">
        <v>45178</v>
      </c>
      <c r="I258" s="7">
        <v>24</v>
      </c>
      <c r="J258" s="7">
        <v>397.9</v>
      </c>
      <c r="K258" s="7">
        <v>6.39</v>
      </c>
      <c r="L258" s="17">
        <f t="shared" si="3"/>
        <v>9549.5999999999985</v>
      </c>
    </row>
    <row r="259" spans="2:12" hidden="1" x14ac:dyDescent="0.25">
      <c r="B259" s="7" t="s">
        <v>281</v>
      </c>
      <c r="C259" s="7" t="s">
        <v>17</v>
      </c>
      <c r="D259" s="7" t="s">
        <v>12</v>
      </c>
      <c r="E259" s="7" t="s">
        <v>13</v>
      </c>
      <c r="F259" s="7" t="s">
        <v>14</v>
      </c>
      <c r="G259" s="7" t="s">
        <v>15</v>
      </c>
      <c r="H259" s="1">
        <v>45179</v>
      </c>
      <c r="I259" s="7">
        <v>162</v>
      </c>
      <c r="J259" s="7">
        <v>325.07</v>
      </c>
      <c r="K259" s="7">
        <v>300.32</v>
      </c>
      <c r="L259" s="17">
        <f t="shared" si="3"/>
        <v>52661.34</v>
      </c>
    </row>
    <row r="260" spans="2:12" hidden="1" x14ac:dyDescent="0.25">
      <c r="B260" s="7" t="s">
        <v>282</v>
      </c>
      <c r="C260" s="7" t="s">
        <v>22</v>
      </c>
      <c r="D260" s="7" t="s">
        <v>26</v>
      </c>
      <c r="E260" s="7" t="s">
        <v>42</v>
      </c>
      <c r="F260" s="7" t="s">
        <v>24</v>
      </c>
      <c r="G260" s="7" t="s">
        <v>28</v>
      </c>
      <c r="H260" s="1">
        <v>45180</v>
      </c>
      <c r="I260" s="7">
        <v>231</v>
      </c>
      <c r="J260" s="7">
        <v>91.51</v>
      </c>
      <c r="K260" s="7">
        <v>303.95</v>
      </c>
      <c r="L260" s="17">
        <f t="shared" si="3"/>
        <v>21138.81</v>
      </c>
    </row>
    <row r="261" spans="2:12" hidden="1" x14ac:dyDescent="0.25">
      <c r="B261" s="7" t="s">
        <v>283</v>
      </c>
      <c r="C261" s="7" t="s">
        <v>22</v>
      </c>
      <c r="D261" s="7" t="s">
        <v>50</v>
      </c>
      <c r="E261" s="7" t="s">
        <v>19</v>
      </c>
      <c r="F261" s="7" t="s">
        <v>24</v>
      </c>
      <c r="G261" s="7" t="s">
        <v>28</v>
      </c>
      <c r="H261" s="1">
        <v>45181</v>
      </c>
      <c r="I261" s="7">
        <v>215</v>
      </c>
      <c r="J261" s="7">
        <v>183.58</v>
      </c>
      <c r="K261" s="7">
        <v>271.99</v>
      </c>
      <c r="L261" s="17">
        <f t="shared" si="3"/>
        <v>39469.700000000004</v>
      </c>
    </row>
    <row r="262" spans="2:12" hidden="1" x14ac:dyDescent="0.25">
      <c r="B262" s="7" t="s">
        <v>284</v>
      </c>
      <c r="C262" s="7" t="s">
        <v>11</v>
      </c>
      <c r="D262" s="7" t="s">
        <v>26</v>
      </c>
      <c r="E262" s="7" t="s">
        <v>27</v>
      </c>
      <c r="F262" s="7" t="s">
        <v>24</v>
      </c>
      <c r="G262" s="7" t="s">
        <v>15</v>
      </c>
      <c r="H262" s="1">
        <v>45182</v>
      </c>
      <c r="I262" s="7">
        <v>464</v>
      </c>
      <c r="J262" s="7">
        <v>453.42</v>
      </c>
      <c r="K262" s="7">
        <v>302.99</v>
      </c>
      <c r="L262" s="17">
        <f t="shared" si="3"/>
        <v>210386.88</v>
      </c>
    </row>
    <row r="263" spans="2:12" hidden="1" x14ac:dyDescent="0.25">
      <c r="B263" s="7" t="s">
        <v>285</v>
      </c>
      <c r="C263" s="7" t="s">
        <v>11</v>
      </c>
      <c r="D263" s="7" t="s">
        <v>50</v>
      </c>
      <c r="E263" s="7" t="s">
        <v>23</v>
      </c>
      <c r="F263" s="7" t="s">
        <v>14</v>
      </c>
      <c r="G263" s="7" t="s">
        <v>20</v>
      </c>
      <c r="H263" s="1">
        <v>45183</v>
      </c>
      <c r="I263" s="7">
        <v>282</v>
      </c>
      <c r="J263" s="7">
        <v>249.64</v>
      </c>
      <c r="K263" s="7">
        <v>337.1</v>
      </c>
      <c r="L263" s="17">
        <f t="shared" si="3"/>
        <v>70398.48</v>
      </c>
    </row>
    <row r="264" spans="2:12" hidden="1" x14ac:dyDescent="0.25">
      <c r="B264" s="7" t="s">
        <v>286</v>
      </c>
      <c r="C264" s="7" t="s">
        <v>48</v>
      </c>
      <c r="D264" s="7" t="s">
        <v>31</v>
      </c>
      <c r="E264" s="7" t="s">
        <v>42</v>
      </c>
      <c r="F264" s="7" t="s">
        <v>14</v>
      </c>
      <c r="G264" s="7" t="s">
        <v>20</v>
      </c>
      <c r="H264" s="1">
        <v>45184</v>
      </c>
      <c r="I264" s="7">
        <v>391</v>
      </c>
      <c r="J264" s="7">
        <v>280.54000000000002</v>
      </c>
      <c r="K264" s="7">
        <v>189.19</v>
      </c>
      <c r="L264" s="17">
        <f t="shared" ref="L264:L327" si="4">$I264*$J264</f>
        <v>109691.14000000001</v>
      </c>
    </row>
    <row r="265" spans="2:12" hidden="1" x14ac:dyDescent="0.25">
      <c r="B265" s="7" t="s">
        <v>287</v>
      </c>
      <c r="C265" s="7" t="s">
        <v>17</v>
      </c>
      <c r="D265" s="7" t="s">
        <v>50</v>
      </c>
      <c r="E265" s="7" t="s">
        <v>13</v>
      </c>
      <c r="F265" s="7" t="s">
        <v>14</v>
      </c>
      <c r="G265" s="7" t="s">
        <v>15</v>
      </c>
      <c r="H265" s="1">
        <v>45185</v>
      </c>
      <c r="I265" s="7">
        <v>245</v>
      </c>
      <c r="J265" s="7">
        <v>131.54</v>
      </c>
      <c r="K265" s="7">
        <v>201.82</v>
      </c>
      <c r="L265" s="17">
        <f t="shared" si="4"/>
        <v>32227.3</v>
      </c>
    </row>
    <row r="266" spans="2:12" hidden="1" x14ac:dyDescent="0.25">
      <c r="B266" s="7" t="s">
        <v>288</v>
      </c>
      <c r="C266" s="7" t="s">
        <v>11</v>
      </c>
      <c r="D266" s="7" t="s">
        <v>12</v>
      </c>
      <c r="E266" s="7" t="s">
        <v>27</v>
      </c>
      <c r="F266" s="7" t="s">
        <v>14</v>
      </c>
      <c r="G266" s="7" t="s">
        <v>15</v>
      </c>
      <c r="H266" s="1">
        <v>45186</v>
      </c>
      <c r="I266" s="7">
        <v>349</v>
      </c>
      <c r="J266" s="7">
        <v>154.52000000000001</v>
      </c>
      <c r="K266" s="7">
        <v>51.64</v>
      </c>
      <c r="L266" s="17">
        <f t="shared" si="4"/>
        <v>53927.48</v>
      </c>
    </row>
    <row r="267" spans="2:12" hidden="1" x14ac:dyDescent="0.25">
      <c r="B267" s="7" t="s">
        <v>289</v>
      </c>
      <c r="C267" s="7" t="s">
        <v>22</v>
      </c>
      <c r="D267" s="7" t="s">
        <v>18</v>
      </c>
      <c r="E267" s="7" t="s">
        <v>19</v>
      </c>
      <c r="F267" s="7" t="s">
        <v>24</v>
      </c>
      <c r="G267" s="7" t="s">
        <v>28</v>
      </c>
      <c r="H267" s="1">
        <v>45187</v>
      </c>
      <c r="I267" s="7">
        <v>237</v>
      </c>
      <c r="J267" s="7">
        <v>249.64</v>
      </c>
      <c r="K267" s="7">
        <v>155.38</v>
      </c>
      <c r="L267" s="17">
        <f t="shared" si="4"/>
        <v>59164.68</v>
      </c>
    </row>
    <row r="268" spans="2:12" hidden="1" x14ac:dyDescent="0.25">
      <c r="B268" s="7" t="s">
        <v>290</v>
      </c>
      <c r="C268" s="7" t="s">
        <v>48</v>
      </c>
      <c r="D268" s="7" t="s">
        <v>50</v>
      </c>
      <c r="E268" s="7" t="s">
        <v>27</v>
      </c>
      <c r="F268" s="7" t="s">
        <v>24</v>
      </c>
      <c r="G268" s="7" t="s">
        <v>15</v>
      </c>
      <c r="H268" s="1">
        <v>45188</v>
      </c>
      <c r="I268" s="7">
        <v>18</v>
      </c>
      <c r="J268" s="7">
        <v>426.33</v>
      </c>
      <c r="K268" s="7">
        <v>258.06</v>
      </c>
      <c r="L268" s="17">
        <f t="shared" si="4"/>
        <v>7673.94</v>
      </c>
    </row>
    <row r="269" spans="2:12" hidden="1" x14ac:dyDescent="0.25">
      <c r="B269" s="7" t="s">
        <v>291</v>
      </c>
      <c r="C269" s="7" t="s">
        <v>22</v>
      </c>
      <c r="D269" s="7" t="s">
        <v>50</v>
      </c>
      <c r="E269" s="7" t="s">
        <v>42</v>
      </c>
      <c r="F269" s="7" t="s">
        <v>24</v>
      </c>
      <c r="G269" s="7" t="s">
        <v>20</v>
      </c>
      <c r="H269" s="1">
        <v>45189</v>
      </c>
      <c r="I269" s="7">
        <v>175</v>
      </c>
      <c r="J269" s="7">
        <v>337.36</v>
      </c>
      <c r="K269" s="7">
        <v>312.60000000000002</v>
      </c>
      <c r="L269" s="17">
        <f t="shared" si="4"/>
        <v>59038</v>
      </c>
    </row>
    <row r="270" spans="2:12" hidden="1" x14ac:dyDescent="0.25">
      <c r="B270" s="7" t="s">
        <v>292</v>
      </c>
      <c r="C270" s="7" t="s">
        <v>22</v>
      </c>
      <c r="D270" s="7" t="s">
        <v>18</v>
      </c>
      <c r="E270" s="7" t="s">
        <v>42</v>
      </c>
      <c r="F270" s="7" t="s">
        <v>14</v>
      </c>
      <c r="G270" s="7" t="s">
        <v>15</v>
      </c>
      <c r="H270" s="1">
        <v>45190</v>
      </c>
      <c r="I270" s="7">
        <v>441</v>
      </c>
      <c r="J270" s="7">
        <v>405.72</v>
      </c>
      <c r="K270" s="7">
        <v>88.45</v>
      </c>
      <c r="L270" s="17">
        <f t="shared" si="4"/>
        <v>178922.52000000002</v>
      </c>
    </row>
    <row r="271" spans="2:12" hidden="1" x14ac:dyDescent="0.25">
      <c r="B271" s="7" t="s">
        <v>293</v>
      </c>
      <c r="C271" s="7" t="s">
        <v>11</v>
      </c>
      <c r="D271" s="7" t="s">
        <v>12</v>
      </c>
      <c r="E271" s="7" t="s">
        <v>23</v>
      </c>
      <c r="F271" s="7" t="s">
        <v>24</v>
      </c>
      <c r="G271" s="7" t="s">
        <v>28</v>
      </c>
      <c r="H271" s="1">
        <v>45191</v>
      </c>
      <c r="I271" s="7">
        <v>453</v>
      </c>
      <c r="J271" s="7">
        <v>384.49</v>
      </c>
      <c r="K271" s="7">
        <v>56.85</v>
      </c>
      <c r="L271" s="17">
        <f t="shared" si="4"/>
        <v>174173.97</v>
      </c>
    </row>
    <row r="272" spans="2:12" hidden="1" x14ac:dyDescent="0.25">
      <c r="B272" s="7" t="s">
        <v>294</v>
      </c>
      <c r="C272" s="7" t="s">
        <v>48</v>
      </c>
      <c r="D272" s="7" t="s">
        <v>26</v>
      </c>
      <c r="E272" s="7" t="s">
        <v>27</v>
      </c>
      <c r="F272" s="7" t="s">
        <v>14</v>
      </c>
      <c r="G272" s="7" t="s">
        <v>28</v>
      </c>
      <c r="H272" s="1">
        <v>45192</v>
      </c>
      <c r="I272" s="7">
        <v>328</v>
      </c>
      <c r="J272" s="7">
        <v>79.099999999999994</v>
      </c>
      <c r="K272" s="7">
        <v>265.89</v>
      </c>
      <c r="L272" s="17">
        <f t="shared" si="4"/>
        <v>25944.799999999999</v>
      </c>
    </row>
    <row r="273" spans="2:12" hidden="1" x14ac:dyDescent="0.25">
      <c r="B273" s="7" t="s">
        <v>295</v>
      </c>
      <c r="C273" s="7" t="s">
        <v>17</v>
      </c>
      <c r="D273" s="7" t="s">
        <v>50</v>
      </c>
      <c r="E273" s="7" t="s">
        <v>42</v>
      </c>
      <c r="F273" s="7" t="s">
        <v>24</v>
      </c>
      <c r="G273" s="7" t="s">
        <v>28</v>
      </c>
      <c r="H273" s="1">
        <v>45193</v>
      </c>
      <c r="I273" s="7">
        <v>223</v>
      </c>
      <c r="J273" s="7">
        <v>214.85</v>
      </c>
      <c r="K273" s="7">
        <v>2.75</v>
      </c>
      <c r="L273" s="17">
        <f t="shared" si="4"/>
        <v>47911.549999999996</v>
      </c>
    </row>
    <row r="274" spans="2:12" hidden="1" x14ac:dyDescent="0.25">
      <c r="B274" s="7" t="s">
        <v>296</v>
      </c>
      <c r="C274" s="7" t="s">
        <v>17</v>
      </c>
      <c r="D274" s="7" t="s">
        <v>18</v>
      </c>
      <c r="E274" s="7" t="s">
        <v>13</v>
      </c>
      <c r="F274" s="7" t="s">
        <v>14</v>
      </c>
      <c r="G274" s="7" t="s">
        <v>28</v>
      </c>
      <c r="H274" s="1">
        <v>45194</v>
      </c>
      <c r="I274" s="7">
        <v>126</v>
      </c>
      <c r="J274" s="7">
        <v>80.73</v>
      </c>
      <c r="K274" s="7">
        <v>72.989999999999995</v>
      </c>
      <c r="L274" s="17">
        <f t="shared" si="4"/>
        <v>10171.980000000001</v>
      </c>
    </row>
    <row r="275" spans="2:12" hidden="1" x14ac:dyDescent="0.25">
      <c r="B275" s="7" t="s">
        <v>297</v>
      </c>
      <c r="C275" s="7" t="s">
        <v>11</v>
      </c>
      <c r="D275" s="7" t="s">
        <v>31</v>
      </c>
      <c r="E275" s="7" t="s">
        <v>19</v>
      </c>
      <c r="F275" s="7" t="s">
        <v>14</v>
      </c>
      <c r="G275" s="7" t="s">
        <v>28</v>
      </c>
      <c r="H275" s="1">
        <v>45195</v>
      </c>
      <c r="I275" s="7">
        <v>395</v>
      </c>
      <c r="J275" s="7">
        <v>121.44</v>
      </c>
      <c r="K275" s="7">
        <v>13.57</v>
      </c>
      <c r="L275" s="17">
        <f t="shared" si="4"/>
        <v>47968.799999999996</v>
      </c>
    </row>
    <row r="276" spans="2:12" hidden="1" x14ac:dyDescent="0.25">
      <c r="B276" s="7" t="s">
        <v>298</v>
      </c>
      <c r="C276" s="7" t="s">
        <v>11</v>
      </c>
      <c r="D276" s="7" t="s">
        <v>18</v>
      </c>
      <c r="E276" s="7" t="s">
        <v>27</v>
      </c>
      <c r="F276" s="7" t="s">
        <v>24</v>
      </c>
      <c r="G276" s="7" t="s">
        <v>15</v>
      </c>
      <c r="H276" s="1">
        <v>45196</v>
      </c>
      <c r="I276" s="7">
        <v>353</v>
      </c>
      <c r="J276" s="7">
        <v>435.28</v>
      </c>
      <c r="K276" s="7">
        <v>68.42</v>
      </c>
      <c r="L276" s="17">
        <f t="shared" si="4"/>
        <v>153653.84</v>
      </c>
    </row>
    <row r="277" spans="2:12" hidden="1" x14ac:dyDescent="0.25">
      <c r="B277" s="7" t="s">
        <v>299</v>
      </c>
      <c r="C277" s="7" t="s">
        <v>48</v>
      </c>
      <c r="D277" s="7" t="s">
        <v>31</v>
      </c>
      <c r="E277" s="7" t="s">
        <v>27</v>
      </c>
      <c r="F277" s="7" t="s">
        <v>24</v>
      </c>
      <c r="G277" s="7" t="s">
        <v>15</v>
      </c>
      <c r="H277" s="1">
        <v>45197</v>
      </c>
      <c r="I277" s="7">
        <v>81</v>
      </c>
      <c r="J277" s="7">
        <v>239.08</v>
      </c>
      <c r="K277" s="7">
        <v>74.17</v>
      </c>
      <c r="L277" s="17">
        <f t="shared" si="4"/>
        <v>19365.48</v>
      </c>
    </row>
    <row r="278" spans="2:12" hidden="1" x14ac:dyDescent="0.25">
      <c r="B278" s="7" t="s">
        <v>300</v>
      </c>
      <c r="C278" s="7" t="s">
        <v>17</v>
      </c>
      <c r="D278" s="7" t="s">
        <v>12</v>
      </c>
      <c r="E278" s="7" t="s">
        <v>23</v>
      </c>
      <c r="F278" s="7" t="s">
        <v>24</v>
      </c>
      <c r="G278" s="7" t="s">
        <v>15</v>
      </c>
      <c r="H278" s="1">
        <v>45198</v>
      </c>
      <c r="I278" s="7">
        <v>404</v>
      </c>
      <c r="J278" s="7">
        <v>270</v>
      </c>
      <c r="K278" s="7">
        <v>156.29</v>
      </c>
      <c r="L278" s="17">
        <f t="shared" si="4"/>
        <v>109080</v>
      </c>
    </row>
    <row r="279" spans="2:12" hidden="1" x14ac:dyDescent="0.25">
      <c r="B279" s="7" t="s">
        <v>301</v>
      </c>
      <c r="C279" s="7" t="s">
        <v>17</v>
      </c>
      <c r="D279" s="7" t="s">
        <v>26</v>
      </c>
      <c r="E279" s="7" t="s">
        <v>23</v>
      </c>
      <c r="F279" s="7" t="s">
        <v>24</v>
      </c>
      <c r="G279" s="7" t="s">
        <v>15</v>
      </c>
      <c r="H279" s="1">
        <v>45199</v>
      </c>
      <c r="I279" s="7">
        <v>73</v>
      </c>
      <c r="J279" s="7">
        <v>93.33</v>
      </c>
      <c r="K279" s="7">
        <v>162.13</v>
      </c>
      <c r="L279" s="17">
        <f t="shared" si="4"/>
        <v>6813.09</v>
      </c>
    </row>
    <row r="280" spans="2:12" hidden="1" x14ac:dyDescent="0.25">
      <c r="B280" s="7" t="s">
        <v>302</v>
      </c>
      <c r="C280" s="7" t="s">
        <v>17</v>
      </c>
      <c r="D280" s="7" t="s">
        <v>18</v>
      </c>
      <c r="E280" s="7" t="s">
        <v>13</v>
      </c>
      <c r="F280" s="7" t="s">
        <v>14</v>
      </c>
      <c r="G280" s="7" t="s">
        <v>28</v>
      </c>
      <c r="H280" s="1">
        <v>45200</v>
      </c>
      <c r="I280" s="7">
        <v>214</v>
      </c>
      <c r="J280" s="7">
        <v>159.57</v>
      </c>
      <c r="K280" s="7">
        <v>349.96</v>
      </c>
      <c r="L280" s="17">
        <f t="shared" si="4"/>
        <v>34147.979999999996</v>
      </c>
    </row>
    <row r="281" spans="2:12" hidden="1" x14ac:dyDescent="0.25">
      <c r="B281" s="7" t="s">
        <v>303</v>
      </c>
      <c r="C281" s="7" t="s">
        <v>22</v>
      </c>
      <c r="D281" s="7" t="s">
        <v>50</v>
      </c>
      <c r="E281" s="7" t="s">
        <v>13</v>
      </c>
      <c r="F281" s="7" t="s">
        <v>24</v>
      </c>
      <c r="G281" s="7" t="s">
        <v>20</v>
      </c>
      <c r="H281" s="1">
        <v>45201</v>
      </c>
      <c r="I281" s="7">
        <v>218</v>
      </c>
      <c r="J281" s="7">
        <v>118.97</v>
      </c>
      <c r="K281" s="7">
        <v>205.02</v>
      </c>
      <c r="L281" s="17">
        <f t="shared" si="4"/>
        <v>25935.46</v>
      </c>
    </row>
    <row r="282" spans="2:12" hidden="1" x14ac:dyDescent="0.25">
      <c r="B282" s="7" t="s">
        <v>304</v>
      </c>
      <c r="C282" s="7" t="s">
        <v>17</v>
      </c>
      <c r="D282" s="7" t="s">
        <v>12</v>
      </c>
      <c r="E282" s="7" t="s">
        <v>42</v>
      </c>
      <c r="F282" s="7" t="s">
        <v>24</v>
      </c>
      <c r="G282" s="7" t="s">
        <v>15</v>
      </c>
      <c r="H282" s="1">
        <v>45202</v>
      </c>
      <c r="I282" s="7">
        <v>81</v>
      </c>
      <c r="J282" s="7">
        <v>107.06</v>
      </c>
      <c r="K282" s="7">
        <v>289.92</v>
      </c>
      <c r="L282" s="17">
        <f t="shared" si="4"/>
        <v>8671.86</v>
      </c>
    </row>
    <row r="283" spans="2:12" hidden="1" x14ac:dyDescent="0.25">
      <c r="B283" s="7" t="s">
        <v>305</v>
      </c>
      <c r="C283" s="7" t="s">
        <v>22</v>
      </c>
      <c r="D283" s="7" t="s">
        <v>18</v>
      </c>
      <c r="E283" s="7" t="s">
        <v>42</v>
      </c>
      <c r="F283" s="7" t="s">
        <v>24</v>
      </c>
      <c r="G283" s="7" t="s">
        <v>20</v>
      </c>
      <c r="H283" s="1">
        <v>45203</v>
      </c>
      <c r="I283" s="7">
        <v>286</v>
      </c>
      <c r="J283" s="7">
        <v>320.79000000000002</v>
      </c>
      <c r="K283" s="7">
        <v>43.45</v>
      </c>
      <c r="L283" s="17">
        <f t="shared" si="4"/>
        <v>91745.94</v>
      </c>
    </row>
    <row r="284" spans="2:12" hidden="1" x14ac:dyDescent="0.25">
      <c r="B284" s="7" t="s">
        <v>306</v>
      </c>
      <c r="C284" s="7" t="s">
        <v>48</v>
      </c>
      <c r="D284" s="7" t="s">
        <v>50</v>
      </c>
      <c r="E284" s="7" t="s">
        <v>13</v>
      </c>
      <c r="F284" s="7" t="s">
        <v>14</v>
      </c>
      <c r="G284" s="7" t="s">
        <v>15</v>
      </c>
      <c r="H284" s="1">
        <v>45204</v>
      </c>
      <c r="I284" s="7">
        <v>283</v>
      </c>
      <c r="J284" s="7">
        <v>132.16</v>
      </c>
      <c r="K284" s="7">
        <v>91.72</v>
      </c>
      <c r="L284" s="17">
        <f t="shared" si="4"/>
        <v>37401.279999999999</v>
      </c>
    </row>
    <row r="285" spans="2:12" hidden="1" x14ac:dyDescent="0.25">
      <c r="B285" s="7" t="s">
        <v>307</v>
      </c>
      <c r="C285" s="7" t="s">
        <v>22</v>
      </c>
      <c r="D285" s="7" t="s">
        <v>18</v>
      </c>
      <c r="E285" s="7" t="s">
        <v>13</v>
      </c>
      <c r="F285" s="7" t="s">
        <v>14</v>
      </c>
      <c r="G285" s="7" t="s">
        <v>15</v>
      </c>
      <c r="H285" s="1">
        <v>45205</v>
      </c>
      <c r="I285" s="7">
        <v>487</v>
      </c>
      <c r="J285" s="7">
        <v>317.85000000000002</v>
      </c>
      <c r="K285" s="7">
        <v>281.77</v>
      </c>
      <c r="L285" s="17">
        <f t="shared" si="4"/>
        <v>154792.95000000001</v>
      </c>
    </row>
    <row r="286" spans="2:12" hidden="1" x14ac:dyDescent="0.25">
      <c r="B286" s="7" t="s">
        <v>308</v>
      </c>
      <c r="C286" s="7" t="s">
        <v>48</v>
      </c>
      <c r="D286" s="7" t="s">
        <v>31</v>
      </c>
      <c r="E286" s="7" t="s">
        <v>19</v>
      </c>
      <c r="F286" s="7" t="s">
        <v>24</v>
      </c>
      <c r="G286" s="7" t="s">
        <v>20</v>
      </c>
      <c r="H286" s="1">
        <v>45206</v>
      </c>
      <c r="I286" s="7">
        <v>329</v>
      </c>
      <c r="J286" s="7">
        <v>33.94</v>
      </c>
      <c r="K286" s="7">
        <v>23.02</v>
      </c>
      <c r="L286" s="17">
        <f t="shared" si="4"/>
        <v>11166.259999999998</v>
      </c>
    </row>
    <row r="287" spans="2:12" hidden="1" x14ac:dyDescent="0.25">
      <c r="B287" s="7" t="s">
        <v>309</v>
      </c>
      <c r="C287" s="7" t="s">
        <v>17</v>
      </c>
      <c r="D287" s="7" t="s">
        <v>18</v>
      </c>
      <c r="E287" s="7" t="s">
        <v>23</v>
      </c>
      <c r="F287" s="7" t="s">
        <v>14</v>
      </c>
      <c r="G287" s="7" t="s">
        <v>28</v>
      </c>
      <c r="H287" s="1">
        <v>45207</v>
      </c>
      <c r="I287" s="7">
        <v>347</v>
      </c>
      <c r="J287" s="7">
        <v>75.180000000000007</v>
      </c>
      <c r="K287" s="7">
        <v>195.67</v>
      </c>
      <c r="L287" s="17">
        <f t="shared" si="4"/>
        <v>26087.460000000003</v>
      </c>
    </row>
    <row r="288" spans="2:12" hidden="1" x14ac:dyDescent="0.25">
      <c r="B288" s="7" t="s">
        <v>310</v>
      </c>
      <c r="C288" s="7" t="s">
        <v>17</v>
      </c>
      <c r="D288" s="7" t="s">
        <v>18</v>
      </c>
      <c r="E288" s="7" t="s">
        <v>42</v>
      </c>
      <c r="F288" s="7" t="s">
        <v>24</v>
      </c>
      <c r="G288" s="7" t="s">
        <v>15</v>
      </c>
      <c r="H288" s="1">
        <v>45208</v>
      </c>
      <c r="I288" s="7">
        <v>375</v>
      </c>
      <c r="J288" s="7">
        <v>140.9</v>
      </c>
      <c r="K288" s="7">
        <v>240.55</v>
      </c>
      <c r="L288" s="17">
        <f t="shared" si="4"/>
        <v>52837.5</v>
      </c>
    </row>
    <row r="289" spans="2:12" hidden="1" x14ac:dyDescent="0.25">
      <c r="B289" s="7" t="s">
        <v>311</v>
      </c>
      <c r="C289" s="7" t="s">
        <v>48</v>
      </c>
      <c r="D289" s="7" t="s">
        <v>18</v>
      </c>
      <c r="E289" s="7" t="s">
        <v>23</v>
      </c>
      <c r="F289" s="7" t="s">
        <v>14</v>
      </c>
      <c r="G289" s="7" t="s">
        <v>15</v>
      </c>
      <c r="H289" s="1">
        <v>45209</v>
      </c>
      <c r="I289" s="7">
        <v>104</v>
      </c>
      <c r="J289" s="7">
        <v>300.54000000000002</v>
      </c>
      <c r="K289" s="7">
        <v>241.65</v>
      </c>
      <c r="L289" s="17">
        <f t="shared" si="4"/>
        <v>31256.160000000003</v>
      </c>
    </row>
    <row r="290" spans="2:12" hidden="1" x14ac:dyDescent="0.25">
      <c r="B290" s="7" t="s">
        <v>312</v>
      </c>
      <c r="C290" s="7" t="s">
        <v>11</v>
      </c>
      <c r="D290" s="7" t="s">
        <v>12</v>
      </c>
      <c r="E290" s="7" t="s">
        <v>23</v>
      </c>
      <c r="F290" s="7" t="s">
        <v>14</v>
      </c>
      <c r="G290" s="7" t="s">
        <v>15</v>
      </c>
      <c r="H290" s="1">
        <v>45210</v>
      </c>
      <c r="I290" s="7">
        <v>175</v>
      </c>
      <c r="J290" s="7">
        <v>339.54</v>
      </c>
      <c r="K290" s="7">
        <v>11.13</v>
      </c>
      <c r="L290" s="17">
        <f t="shared" si="4"/>
        <v>59419.5</v>
      </c>
    </row>
    <row r="291" spans="2:12" hidden="1" x14ac:dyDescent="0.25">
      <c r="B291" s="7" t="s">
        <v>313</v>
      </c>
      <c r="C291" s="7" t="s">
        <v>48</v>
      </c>
      <c r="D291" s="7" t="s">
        <v>18</v>
      </c>
      <c r="E291" s="7" t="s">
        <v>13</v>
      </c>
      <c r="F291" s="7" t="s">
        <v>14</v>
      </c>
      <c r="G291" s="7" t="s">
        <v>20</v>
      </c>
      <c r="H291" s="1">
        <v>45211</v>
      </c>
      <c r="I291" s="7">
        <v>41</v>
      </c>
      <c r="J291" s="7">
        <v>224.14</v>
      </c>
      <c r="K291" s="7">
        <v>130.19999999999999</v>
      </c>
      <c r="L291" s="17">
        <f t="shared" si="4"/>
        <v>9189.74</v>
      </c>
    </row>
    <row r="292" spans="2:12" hidden="1" x14ac:dyDescent="0.25">
      <c r="B292" s="7" t="s">
        <v>314</v>
      </c>
      <c r="C292" s="7" t="s">
        <v>11</v>
      </c>
      <c r="D292" s="7" t="s">
        <v>50</v>
      </c>
      <c r="E292" s="7" t="s">
        <v>19</v>
      </c>
      <c r="F292" s="7" t="s">
        <v>14</v>
      </c>
      <c r="G292" s="7" t="s">
        <v>28</v>
      </c>
      <c r="H292" s="1">
        <v>45212</v>
      </c>
      <c r="I292" s="7">
        <v>20</v>
      </c>
      <c r="J292" s="7">
        <v>225.67</v>
      </c>
      <c r="K292" s="7">
        <v>255.32</v>
      </c>
      <c r="L292" s="17">
        <f t="shared" si="4"/>
        <v>4513.3999999999996</v>
      </c>
    </row>
    <row r="293" spans="2:12" hidden="1" x14ac:dyDescent="0.25">
      <c r="B293" s="7" t="s">
        <v>315</v>
      </c>
      <c r="C293" s="7" t="s">
        <v>22</v>
      </c>
      <c r="D293" s="7" t="s">
        <v>31</v>
      </c>
      <c r="E293" s="7" t="s">
        <v>27</v>
      </c>
      <c r="F293" s="7" t="s">
        <v>24</v>
      </c>
      <c r="G293" s="7" t="s">
        <v>20</v>
      </c>
      <c r="H293" s="1">
        <v>45213</v>
      </c>
      <c r="I293" s="7">
        <v>310</v>
      </c>
      <c r="J293" s="7">
        <v>363.64</v>
      </c>
      <c r="K293" s="7">
        <v>61.3</v>
      </c>
      <c r="L293" s="17">
        <f t="shared" si="4"/>
        <v>112728.4</v>
      </c>
    </row>
    <row r="294" spans="2:12" hidden="1" x14ac:dyDescent="0.25">
      <c r="B294" s="7" t="s">
        <v>316</v>
      </c>
      <c r="C294" s="7" t="s">
        <v>22</v>
      </c>
      <c r="D294" s="7" t="s">
        <v>31</v>
      </c>
      <c r="E294" s="7" t="s">
        <v>19</v>
      </c>
      <c r="F294" s="7" t="s">
        <v>24</v>
      </c>
      <c r="G294" s="7" t="s">
        <v>20</v>
      </c>
      <c r="H294" s="1">
        <v>45214</v>
      </c>
      <c r="I294" s="7">
        <v>226</v>
      </c>
      <c r="J294" s="7">
        <v>249.64</v>
      </c>
      <c r="K294" s="7">
        <v>278.77999999999997</v>
      </c>
      <c r="L294" s="17">
        <f t="shared" si="4"/>
        <v>56418.64</v>
      </c>
    </row>
    <row r="295" spans="2:12" hidden="1" x14ac:dyDescent="0.25">
      <c r="B295" s="7" t="s">
        <v>317</v>
      </c>
      <c r="C295" s="7" t="s">
        <v>22</v>
      </c>
      <c r="D295" s="7" t="s">
        <v>18</v>
      </c>
      <c r="E295" s="7" t="s">
        <v>19</v>
      </c>
      <c r="F295" s="7" t="s">
        <v>24</v>
      </c>
      <c r="G295" s="7" t="s">
        <v>28</v>
      </c>
      <c r="H295" s="1">
        <v>45215</v>
      </c>
      <c r="I295" s="7">
        <v>255.9</v>
      </c>
      <c r="J295" s="7">
        <v>173.84</v>
      </c>
      <c r="K295" s="7">
        <v>298.88</v>
      </c>
      <c r="L295" s="17">
        <f t="shared" si="4"/>
        <v>44485.656000000003</v>
      </c>
    </row>
    <row r="296" spans="2:12" hidden="1" x14ac:dyDescent="0.25">
      <c r="B296" s="7" t="s">
        <v>318</v>
      </c>
      <c r="C296" s="7" t="s">
        <v>17</v>
      </c>
      <c r="D296" s="7" t="s">
        <v>12</v>
      </c>
      <c r="E296" s="7" t="s">
        <v>23</v>
      </c>
      <c r="F296" s="7" t="s">
        <v>14</v>
      </c>
      <c r="G296" s="7" t="s">
        <v>20</v>
      </c>
      <c r="H296" s="1">
        <v>45216</v>
      </c>
      <c r="I296" s="7">
        <v>111</v>
      </c>
      <c r="J296" s="7">
        <v>410.26</v>
      </c>
      <c r="K296" s="7">
        <v>392.82</v>
      </c>
      <c r="L296" s="17">
        <f t="shared" si="4"/>
        <v>45538.86</v>
      </c>
    </row>
    <row r="297" spans="2:12" hidden="1" x14ac:dyDescent="0.25">
      <c r="B297" s="7" t="s">
        <v>319</v>
      </c>
      <c r="C297" s="7" t="s">
        <v>22</v>
      </c>
      <c r="D297" s="7" t="s">
        <v>12</v>
      </c>
      <c r="E297" s="7" t="s">
        <v>19</v>
      </c>
      <c r="F297" s="7" t="s">
        <v>24</v>
      </c>
      <c r="G297" s="7" t="s">
        <v>28</v>
      </c>
      <c r="H297" s="1">
        <v>45217</v>
      </c>
      <c r="I297" s="7">
        <v>434</v>
      </c>
      <c r="J297" s="7">
        <v>303.58999999999997</v>
      </c>
      <c r="K297" s="7">
        <v>85.52</v>
      </c>
      <c r="L297" s="17">
        <f t="shared" si="4"/>
        <v>131758.06</v>
      </c>
    </row>
    <row r="298" spans="2:12" hidden="1" x14ac:dyDescent="0.25">
      <c r="B298" s="7" t="s">
        <v>320</v>
      </c>
      <c r="C298" s="7" t="s">
        <v>11</v>
      </c>
      <c r="D298" s="7" t="s">
        <v>50</v>
      </c>
      <c r="E298" s="7" t="s">
        <v>42</v>
      </c>
      <c r="F298" s="7" t="s">
        <v>24</v>
      </c>
      <c r="G298" s="7" t="s">
        <v>15</v>
      </c>
      <c r="H298" s="1">
        <v>45218</v>
      </c>
      <c r="I298" s="7">
        <v>401</v>
      </c>
      <c r="J298" s="7">
        <v>171.93</v>
      </c>
      <c r="K298" s="7">
        <v>330.4</v>
      </c>
      <c r="L298" s="17">
        <f t="shared" si="4"/>
        <v>68943.930000000008</v>
      </c>
    </row>
    <row r="299" spans="2:12" hidden="1" x14ac:dyDescent="0.25">
      <c r="B299" s="7" t="s">
        <v>321</v>
      </c>
      <c r="C299" s="7" t="s">
        <v>22</v>
      </c>
      <c r="D299" s="7" t="s">
        <v>18</v>
      </c>
      <c r="E299" s="7" t="s">
        <v>23</v>
      </c>
      <c r="F299" s="7" t="s">
        <v>24</v>
      </c>
      <c r="G299" s="7" t="s">
        <v>28</v>
      </c>
      <c r="H299" s="1">
        <v>45219</v>
      </c>
      <c r="I299" s="7">
        <v>276</v>
      </c>
      <c r="J299" s="7">
        <v>453.23</v>
      </c>
      <c r="K299" s="7">
        <v>209.08</v>
      </c>
      <c r="L299" s="17">
        <f t="shared" si="4"/>
        <v>125091.48000000001</v>
      </c>
    </row>
    <row r="300" spans="2:12" hidden="1" x14ac:dyDescent="0.25">
      <c r="B300" s="7" t="s">
        <v>322</v>
      </c>
      <c r="C300" s="7" t="s">
        <v>48</v>
      </c>
      <c r="D300" s="7" t="s">
        <v>31</v>
      </c>
      <c r="E300" s="7" t="s">
        <v>42</v>
      </c>
      <c r="F300" s="7" t="s">
        <v>14</v>
      </c>
      <c r="G300" s="7" t="s">
        <v>15</v>
      </c>
      <c r="H300" s="1">
        <v>45220</v>
      </c>
      <c r="I300" s="7">
        <v>255.9</v>
      </c>
      <c r="J300" s="7">
        <v>387.45</v>
      </c>
      <c r="K300" s="7">
        <v>150.63999999999999</v>
      </c>
      <c r="L300" s="17">
        <f t="shared" si="4"/>
        <v>99148.455000000002</v>
      </c>
    </row>
    <row r="301" spans="2:12" hidden="1" x14ac:dyDescent="0.25">
      <c r="B301" s="7" t="s">
        <v>323</v>
      </c>
      <c r="C301" s="7" t="s">
        <v>48</v>
      </c>
      <c r="D301" s="7" t="s">
        <v>12</v>
      </c>
      <c r="E301" s="7" t="s">
        <v>27</v>
      </c>
      <c r="F301" s="7" t="s">
        <v>14</v>
      </c>
      <c r="G301" s="7" t="s">
        <v>20</v>
      </c>
      <c r="H301" s="1">
        <v>45221</v>
      </c>
      <c r="I301" s="7">
        <v>188</v>
      </c>
      <c r="J301" s="7">
        <v>136.12</v>
      </c>
      <c r="K301" s="7">
        <v>50.71</v>
      </c>
      <c r="L301" s="17">
        <f t="shared" si="4"/>
        <v>25590.560000000001</v>
      </c>
    </row>
    <row r="302" spans="2:12" hidden="1" x14ac:dyDescent="0.25">
      <c r="B302" s="7" t="s">
        <v>324</v>
      </c>
      <c r="C302" s="7" t="s">
        <v>17</v>
      </c>
      <c r="D302" s="7" t="s">
        <v>18</v>
      </c>
      <c r="E302" s="7" t="s">
        <v>23</v>
      </c>
      <c r="F302" s="7" t="s">
        <v>14</v>
      </c>
      <c r="G302" s="7" t="s">
        <v>20</v>
      </c>
      <c r="H302" s="1">
        <v>45222</v>
      </c>
      <c r="I302" s="7">
        <v>97</v>
      </c>
      <c r="J302" s="7">
        <v>324.42</v>
      </c>
      <c r="K302" s="7">
        <v>294.73</v>
      </c>
      <c r="L302" s="17">
        <f t="shared" si="4"/>
        <v>31468.74</v>
      </c>
    </row>
    <row r="303" spans="2:12" hidden="1" x14ac:dyDescent="0.25">
      <c r="B303" s="7" t="s">
        <v>325</v>
      </c>
      <c r="C303" s="7" t="s">
        <v>48</v>
      </c>
      <c r="D303" s="7" t="s">
        <v>12</v>
      </c>
      <c r="E303" s="7" t="s">
        <v>27</v>
      </c>
      <c r="F303" s="7" t="s">
        <v>24</v>
      </c>
      <c r="G303" s="7" t="s">
        <v>15</v>
      </c>
      <c r="H303" s="1">
        <v>45223</v>
      </c>
      <c r="I303" s="7">
        <v>50</v>
      </c>
      <c r="J303" s="7">
        <v>299.89999999999998</v>
      </c>
      <c r="K303" s="7">
        <v>95.87</v>
      </c>
      <c r="L303" s="17">
        <f t="shared" si="4"/>
        <v>14994.999999999998</v>
      </c>
    </row>
    <row r="304" spans="2:12" hidden="1" x14ac:dyDescent="0.25">
      <c r="B304" s="7" t="s">
        <v>326</v>
      </c>
      <c r="C304" s="7" t="s">
        <v>11</v>
      </c>
      <c r="D304" s="7" t="s">
        <v>12</v>
      </c>
      <c r="E304" s="7" t="s">
        <v>23</v>
      </c>
      <c r="F304" s="7" t="s">
        <v>24</v>
      </c>
      <c r="G304" s="7" t="s">
        <v>20</v>
      </c>
      <c r="H304" s="1">
        <v>45224</v>
      </c>
      <c r="I304" s="7">
        <v>410</v>
      </c>
      <c r="J304" s="7">
        <v>203.59</v>
      </c>
      <c r="K304" s="7">
        <v>149.83000000000001</v>
      </c>
      <c r="L304" s="17">
        <f t="shared" si="4"/>
        <v>83471.899999999994</v>
      </c>
    </row>
    <row r="305" spans="2:12" hidden="1" x14ac:dyDescent="0.25">
      <c r="B305" s="7" t="s">
        <v>327</v>
      </c>
      <c r="C305" s="7" t="s">
        <v>22</v>
      </c>
      <c r="D305" s="7" t="s">
        <v>31</v>
      </c>
      <c r="E305" s="7" t="s">
        <v>13</v>
      </c>
      <c r="F305" s="7" t="s">
        <v>24</v>
      </c>
      <c r="G305" s="7" t="s">
        <v>28</v>
      </c>
      <c r="H305" s="1">
        <v>45225</v>
      </c>
      <c r="I305" s="7">
        <v>85</v>
      </c>
      <c r="J305" s="7">
        <v>186.64</v>
      </c>
      <c r="K305" s="7">
        <v>26.89</v>
      </c>
      <c r="L305" s="17">
        <f t="shared" si="4"/>
        <v>15864.4</v>
      </c>
    </row>
    <row r="306" spans="2:12" hidden="1" x14ac:dyDescent="0.25">
      <c r="B306" s="7" t="s">
        <v>328</v>
      </c>
      <c r="C306" s="7" t="s">
        <v>17</v>
      </c>
      <c r="D306" s="7" t="s">
        <v>26</v>
      </c>
      <c r="E306" s="7" t="s">
        <v>19</v>
      </c>
      <c r="F306" s="7" t="s">
        <v>14</v>
      </c>
      <c r="G306" s="7" t="s">
        <v>15</v>
      </c>
      <c r="H306" s="1">
        <v>45226</v>
      </c>
      <c r="I306" s="7">
        <v>386</v>
      </c>
      <c r="J306" s="7">
        <v>175.06</v>
      </c>
      <c r="K306" s="7">
        <v>320.94</v>
      </c>
      <c r="L306" s="17">
        <f t="shared" si="4"/>
        <v>67573.16</v>
      </c>
    </row>
    <row r="307" spans="2:12" hidden="1" x14ac:dyDescent="0.25">
      <c r="B307" s="7" t="s">
        <v>329</v>
      </c>
      <c r="C307" s="7" t="s">
        <v>22</v>
      </c>
      <c r="D307" s="7" t="s">
        <v>50</v>
      </c>
      <c r="E307" s="7" t="s">
        <v>13</v>
      </c>
      <c r="F307" s="7" t="s">
        <v>14</v>
      </c>
      <c r="G307" s="7" t="s">
        <v>20</v>
      </c>
      <c r="H307" s="1">
        <v>45227</v>
      </c>
      <c r="I307" s="7">
        <v>55</v>
      </c>
      <c r="J307" s="7">
        <v>310.49</v>
      </c>
      <c r="K307" s="7">
        <v>307.10000000000002</v>
      </c>
      <c r="L307" s="17">
        <f t="shared" si="4"/>
        <v>17076.95</v>
      </c>
    </row>
    <row r="308" spans="2:12" hidden="1" x14ac:dyDescent="0.25">
      <c r="B308" s="7" t="s">
        <v>330</v>
      </c>
      <c r="C308" s="7" t="s">
        <v>22</v>
      </c>
      <c r="D308" s="7" t="s">
        <v>50</v>
      </c>
      <c r="E308" s="7" t="s">
        <v>27</v>
      </c>
      <c r="F308" s="7" t="s">
        <v>24</v>
      </c>
      <c r="G308" s="7" t="s">
        <v>15</v>
      </c>
      <c r="H308" s="1">
        <v>45228</v>
      </c>
      <c r="I308" s="7">
        <v>169</v>
      </c>
      <c r="J308" s="7">
        <v>223.99</v>
      </c>
      <c r="K308" s="7">
        <v>293.98</v>
      </c>
      <c r="L308" s="17">
        <f t="shared" si="4"/>
        <v>37854.310000000005</v>
      </c>
    </row>
    <row r="309" spans="2:12" hidden="1" x14ac:dyDescent="0.25">
      <c r="B309" s="7" t="s">
        <v>331</v>
      </c>
      <c r="C309" s="7" t="s">
        <v>11</v>
      </c>
      <c r="D309" s="7" t="s">
        <v>31</v>
      </c>
      <c r="E309" s="7" t="s">
        <v>19</v>
      </c>
      <c r="F309" s="7" t="s">
        <v>14</v>
      </c>
      <c r="G309" s="7" t="s">
        <v>28</v>
      </c>
      <c r="H309" s="1">
        <v>45229</v>
      </c>
      <c r="I309" s="7">
        <v>472</v>
      </c>
      <c r="J309" s="7">
        <v>416.77</v>
      </c>
      <c r="K309" s="7">
        <v>121.18</v>
      </c>
      <c r="L309" s="17">
        <f t="shared" si="4"/>
        <v>196715.44</v>
      </c>
    </row>
    <row r="310" spans="2:12" hidden="1" x14ac:dyDescent="0.25">
      <c r="B310" s="7" t="s">
        <v>332</v>
      </c>
      <c r="C310" s="7" t="s">
        <v>48</v>
      </c>
      <c r="D310" s="7" t="s">
        <v>12</v>
      </c>
      <c r="E310" s="7" t="s">
        <v>23</v>
      </c>
      <c r="F310" s="7" t="s">
        <v>14</v>
      </c>
      <c r="G310" s="7" t="s">
        <v>28</v>
      </c>
      <c r="H310" s="1">
        <v>45230</v>
      </c>
      <c r="I310" s="7">
        <v>89</v>
      </c>
      <c r="J310" s="7">
        <v>336.45</v>
      </c>
      <c r="K310" s="7">
        <v>71.05</v>
      </c>
      <c r="L310" s="17">
        <f t="shared" si="4"/>
        <v>29944.05</v>
      </c>
    </row>
    <row r="311" spans="2:12" hidden="1" x14ac:dyDescent="0.25">
      <c r="B311" s="7" t="s">
        <v>333</v>
      </c>
      <c r="C311" s="7" t="s">
        <v>48</v>
      </c>
      <c r="D311" s="7" t="s">
        <v>18</v>
      </c>
      <c r="E311" s="7" t="s">
        <v>19</v>
      </c>
      <c r="F311" s="7" t="s">
        <v>14</v>
      </c>
      <c r="G311" s="7" t="s">
        <v>20</v>
      </c>
      <c r="H311" s="1">
        <v>45231</v>
      </c>
      <c r="I311" s="7">
        <v>319</v>
      </c>
      <c r="J311" s="7">
        <v>39.619999999999997</v>
      </c>
      <c r="K311" s="7">
        <v>255.75</v>
      </c>
      <c r="L311" s="17">
        <f t="shared" si="4"/>
        <v>12638.779999999999</v>
      </c>
    </row>
    <row r="312" spans="2:12" hidden="1" x14ac:dyDescent="0.25">
      <c r="B312" s="7" t="s">
        <v>334</v>
      </c>
      <c r="C312" s="7" t="s">
        <v>22</v>
      </c>
      <c r="D312" s="7" t="s">
        <v>12</v>
      </c>
      <c r="E312" s="7" t="s">
        <v>19</v>
      </c>
      <c r="F312" s="7" t="s">
        <v>14</v>
      </c>
      <c r="G312" s="7" t="s">
        <v>28</v>
      </c>
      <c r="H312" s="1">
        <v>45232</v>
      </c>
      <c r="I312" s="7">
        <v>95</v>
      </c>
      <c r="J312" s="7">
        <v>321.88</v>
      </c>
      <c r="K312" s="7">
        <v>199.47</v>
      </c>
      <c r="L312" s="17">
        <f t="shared" si="4"/>
        <v>30578.6</v>
      </c>
    </row>
    <row r="313" spans="2:12" hidden="1" x14ac:dyDescent="0.25">
      <c r="B313" s="7" t="s">
        <v>335</v>
      </c>
      <c r="C313" s="7" t="s">
        <v>17</v>
      </c>
      <c r="D313" s="7" t="s">
        <v>31</v>
      </c>
      <c r="E313" s="7" t="s">
        <v>19</v>
      </c>
      <c r="F313" s="7" t="s">
        <v>24</v>
      </c>
      <c r="G313" s="7" t="s">
        <v>15</v>
      </c>
      <c r="H313" s="1">
        <v>45233</v>
      </c>
      <c r="I313" s="7">
        <v>101</v>
      </c>
      <c r="J313" s="7">
        <v>139.22</v>
      </c>
      <c r="K313" s="7">
        <v>72.94</v>
      </c>
      <c r="L313" s="17">
        <f t="shared" si="4"/>
        <v>14061.22</v>
      </c>
    </row>
    <row r="314" spans="2:12" hidden="1" x14ac:dyDescent="0.25">
      <c r="B314" s="7" t="s">
        <v>336</v>
      </c>
      <c r="C314" s="7" t="s">
        <v>48</v>
      </c>
      <c r="D314" s="7" t="s">
        <v>50</v>
      </c>
      <c r="E314" s="7" t="s">
        <v>19</v>
      </c>
      <c r="F314" s="7" t="s">
        <v>14</v>
      </c>
      <c r="G314" s="7" t="s">
        <v>28</v>
      </c>
      <c r="H314" s="1">
        <v>45234</v>
      </c>
      <c r="I314" s="7">
        <v>157</v>
      </c>
      <c r="J314" s="7">
        <v>249.64</v>
      </c>
      <c r="K314" s="7">
        <v>274.99</v>
      </c>
      <c r="L314" s="17">
        <f t="shared" si="4"/>
        <v>39193.479999999996</v>
      </c>
    </row>
    <row r="315" spans="2:12" hidden="1" x14ac:dyDescent="0.25">
      <c r="B315" s="7" t="s">
        <v>337</v>
      </c>
      <c r="C315" s="7" t="s">
        <v>17</v>
      </c>
      <c r="D315" s="7" t="s">
        <v>12</v>
      </c>
      <c r="E315" s="7" t="s">
        <v>19</v>
      </c>
      <c r="F315" s="7" t="s">
        <v>14</v>
      </c>
      <c r="G315" s="7" t="s">
        <v>15</v>
      </c>
      <c r="H315" s="1">
        <v>45235</v>
      </c>
      <c r="I315" s="7">
        <v>170</v>
      </c>
      <c r="J315" s="7">
        <v>341.67</v>
      </c>
      <c r="K315" s="7">
        <v>396.47</v>
      </c>
      <c r="L315" s="17">
        <f t="shared" si="4"/>
        <v>58083.9</v>
      </c>
    </row>
    <row r="316" spans="2:12" hidden="1" x14ac:dyDescent="0.25">
      <c r="B316" s="7" t="s">
        <v>338</v>
      </c>
      <c r="C316" s="7" t="s">
        <v>48</v>
      </c>
      <c r="D316" s="7" t="s">
        <v>50</v>
      </c>
      <c r="E316" s="7" t="s">
        <v>42</v>
      </c>
      <c r="F316" s="7" t="s">
        <v>14</v>
      </c>
      <c r="G316" s="7" t="s">
        <v>15</v>
      </c>
      <c r="H316" s="1">
        <v>45236</v>
      </c>
      <c r="I316" s="7">
        <v>211</v>
      </c>
      <c r="J316" s="7">
        <v>119.26</v>
      </c>
      <c r="K316" s="7">
        <v>299.39</v>
      </c>
      <c r="L316" s="17">
        <f t="shared" si="4"/>
        <v>25163.86</v>
      </c>
    </row>
    <row r="317" spans="2:12" hidden="1" x14ac:dyDescent="0.25">
      <c r="B317" s="7" t="s">
        <v>339</v>
      </c>
      <c r="C317" s="7" t="s">
        <v>17</v>
      </c>
      <c r="D317" s="7" t="s">
        <v>18</v>
      </c>
      <c r="E317" s="7" t="s">
        <v>27</v>
      </c>
      <c r="F317" s="7" t="s">
        <v>14</v>
      </c>
      <c r="G317" s="7" t="s">
        <v>28</v>
      </c>
      <c r="H317" s="1">
        <v>45237</v>
      </c>
      <c r="I317" s="7">
        <v>433</v>
      </c>
      <c r="J317" s="7">
        <v>231.15</v>
      </c>
      <c r="K317" s="7">
        <v>296.51</v>
      </c>
      <c r="L317" s="17">
        <f t="shared" si="4"/>
        <v>100087.95</v>
      </c>
    </row>
    <row r="318" spans="2:12" hidden="1" x14ac:dyDescent="0.25">
      <c r="B318" s="7" t="s">
        <v>340</v>
      </c>
      <c r="C318" s="7" t="s">
        <v>11</v>
      </c>
      <c r="D318" s="7" t="s">
        <v>50</v>
      </c>
      <c r="E318" s="7" t="s">
        <v>13</v>
      </c>
      <c r="F318" s="7" t="s">
        <v>24</v>
      </c>
      <c r="G318" s="7" t="s">
        <v>20</v>
      </c>
      <c r="H318" s="1">
        <v>45238</v>
      </c>
      <c r="I318" s="7">
        <v>425</v>
      </c>
      <c r="J318" s="7">
        <v>99.21</v>
      </c>
      <c r="K318" s="7">
        <v>380.22</v>
      </c>
      <c r="L318" s="17">
        <f t="shared" si="4"/>
        <v>42164.25</v>
      </c>
    </row>
    <row r="319" spans="2:12" hidden="1" x14ac:dyDescent="0.25">
      <c r="B319" s="7" t="s">
        <v>341</v>
      </c>
      <c r="C319" s="7" t="s">
        <v>17</v>
      </c>
      <c r="D319" s="7" t="s">
        <v>50</v>
      </c>
      <c r="E319" s="7" t="s">
        <v>23</v>
      </c>
      <c r="F319" s="7" t="s">
        <v>24</v>
      </c>
      <c r="G319" s="7" t="s">
        <v>28</v>
      </c>
      <c r="H319" s="1">
        <v>45239</v>
      </c>
      <c r="I319" s="7">
        <v>251</v>
      </c>
      <c r="J319" s="7">
        <v>30.91</v>
      </c>
      <c r="K319" s="7">
        <v>82.77</v>
      </c>
      <c r="L319" s="17">
        <f t="shared" si="4"/>
        <v>7758.41</v>
      </c>
    </row>
    <row r="320" spans="2:12" hidden="1" x14ac:dyDescent="0.25">
      <c r="B320" s="7" t="s">
        <v>342</v>
      </c>
      <c r="C320" s="7" t="s">
        <v>11</v>
      </c>
      <c r="D320" s="7" t="s">
        <v>26</v>
      </c>
      <c r="E320" s="7" t="s">
        <v>19</v>
      </c>
      <c r="F320" s="7" t="s">
        <v>14</v>
      </c>
      <c r="G320" s="7" t="s">
        <v>15</v>
      </c>
      <c r="H320" s="1">
        <v>45240</v>
      </c>
      <c r="I320" s="7">
        <v>255.9</v>
      </c>
      <c r="J320" s="7">
        <v>192.35</v>
      </c>
      <c r="K320" s="7">
        <v>227.09</v>
      </c>
      <c r="L320" s="17">
        <f t="shared" si="4"/>
        <v>49222.364999999998</v>
      </c>
    </row>
    <row r="321" spans="2:12" hidden="1" x14ac:dyDescent="0.25">
      <c r="B321" s="7" t="s">
        <v>343</v>
      </c>
      <c r="C321" s="7" t="s">
        <v>11</v>
      </c>
      <c r="D321" s="7" t="s">
        <v>26</v>
      </c>
      <c r="E321" s="7" t="s">
        <v>13</v>
      </c>
      <c r="F321" s="7" t="s">
        <v>14</v>
      </c>
      <c r="G321" s="7" t="s">
        <v>15</v>
      </c>
      <c r="H321" s="1">
        <v>45241</v>
      </c>
      <c r="I321" s="7">
        <v>11</v>
      </c>
      <c r="J321" s="7">
        <v>184.66</v>
      </c>
      <c r="K321" s="7">
        <v>391.9</v>
      </c>
      <c r="L321" s="17">
        <f t="shared" si="4"/>
        <v>2031.26</v>
      </c>
    </row>
    <row r="322" spans="2:12" hidden="1" x14ac:dyDescent="0.25">
      <c r="B322" s="7" t="s">
        <v>344</v>
      </c>
      <c r="C322" s="7" t="s">
        <v>17</v>
      </c>
      <c r="D322" s="7" t="s">
        <v>26</v>
      </c>
      <c r="E322" s="7" t="s">
        <v>23</v>
      </c>
      <c r="F322" s="7" t="s">
        <v>14</v>
      </c>
      <c r="G322" s="7" t="s">
        <v>28</v>
      </c>
      <c r="H322" s="1">
        <v>45242</v>
      </c>
      <c r="I322" s="7">
        <v>234</v>
      </c>
      <c r="J322" s="7">
        <v>497.76</v>
      </c>
      <c r="K322" s="7">
        <v>67.790000000000006</v>
      </c>
      <c r="L322" s="17">
        <f t="shared" si="4"/>
        <v>116475.84</v>
      </c>
    </row>
    <row r="323" spans="2:12" hidden="1" x14ac:dyDescent="0.25">
      <c r="B323" s="7" t="s">
        <v>345</v>
      </c>
      <c r="C323" s="7" t="s">
        <v>11</v>
      </c>
      <c r="D323" s="7" t="s">
        <v>50</v>
      </c>
      <c r="E323" s="7" t="s">
        <v>23</v>
      </c>
      <c r="F323" s="7" t="s">
        <v>14</v>
      </c>
      <c r="G323" s="7" t="s">
        <v>20</v>
      </c>
      <c r="H323" s="1">
        <v>45243</v>
      </c>
      <c r="I323" s="7">
        <v>255.9</v>
      </c>
      <c r="J323" s="7">
        <v>225.94</v>
      </c>
      <c r="K323" s="7">
        <v>280.7</v>
      </c>
      <c r="L323" s="17">
        <f t="shared" si="4"/>
        <v>57818.046000000002</v>
      </c>
    </row>
    <row r="324" spans="2:12" hidden="1" x14ac:dyDescent="0.25">
      <c r="B324" s="7" t="s">
        <v>346</v>
      </c>
      <c r="C324" s="7" t="s">
        <v>22</v>
      </c>
      <c r="D324" s="7" t="s">
        <v>31</v>
      </c>
      <c r="E324" s="7" t="s">
        <v>42</v>
      </c>
      <c r="F324" s="7" t="s">
        <v>14</v>
      </c>
      <c r="G324" s="7" t="s">
        <v>20</v>
      </c>
      <c r="H324" s="1">
        <v>45244</v>
      </c>
      <c r="I324" s="7">
        <v>242</v>
      </c>
      <c r="J324" s="7">
        <v>170.12</v>
      </c>
      <c r="K324" s="7">
        <v>235.15</v>
      </c>
      <c r="L324" s="17">
        <f t="shared" si="4"/>
        <v>41169.040000000001</v>
      </c>
    </row>
    <row r="325" spans="2:12" hidden="1" x14ac:dyDescent="0.25">
      <c r="B325" s="7" t="s">
        <v>347</v>
      </c>
      <c r="C325" s="7" t="s">
        <v>11</v>
      </c>
      <c r="D325" s="7" t="s">
        <v>50</v>
      </c>
      <c r="E325" s="7" t="s">
        <v>27</v>
      </c>
      <c r="F325" s="7" t="s">
        <v>14</v>
      </c>
      <c r="G325" s="7" t="s">
        <v>15</v>
      </c>
      <c r="H325" s="1">
        <v>45245</v>
      </c>
      <c r="I325" s="7">
        <v>470</v>
      </c>
      <c r="J325" s="7">
        <v>292.33999999999997</v>
      </c>
      <c r="K325" s="7">
        <v>235.42</v>
      </c>
      <c r="L325" s="17">
        <f t="shared" si="4"/>
        <v>137399.79999999999</v>
      </c>
    </row>
    <row r="326" spans="2:12" hidden="1" x14ac:dyDescent="0.25">
      <c r="B326" s="7" t="s">
        <v>348</v>
      </c>
      <c r="C326" s="7" t="s">
        <v>48</v>
      </c>
      <c r="D326" s="7" t="s">
        <v>31</v>
      </c>
      <c r="E326" s="7" t="s">
        <v>27</v>
      </c>
      <c r="F326" s="7" t="s">
        <v>24</v>
      </c>
      <c r="G326" s="7" t="s">
        <v>15</v>
      </c>
      <c r="H326" s="1">
        <v>45246</v>
      </c>
      <c r="I326" s="7">
        <v>423</v>
      </c>
      <c r="J326" s="7">
        <v>48.94</v>
      </c>
      <c r="K326" s="7">
        <v>279.67</v>
      </c>
      <c r="L326" s="17">
        <f t="shared" si="4"/>
        <v>20701.62</v>
      </c>
    </row>
    <row r="327" spans="2:12" hidden="1" x14ac:dyDescent="0.25">
      <c r="B327" s="7" t="s">
        <v>349</v>
      </c>
      <c r="C327" s="7" t="s">
        <v>17</v>
      </c>
      <c r="D327" s="7" t="s">
        <v>31</v>
      </c>
      <c r="E327" s="7" t="s">
        <v>13</v>
      </c>
      <c r="F327" s="7" t="s">
        <v>14</v>
      </c>
      <c r="G327" s="7" t="s">
        <v>20</v>
      </c>
      <c r="H327" s="1">
        <v>45247</v>
      </c>
      <c r="I327" s="7">
        <v>426</v>
      </c>
      <c r="J327" s="7">
        <v>481.02</v>
      </c>
      <c r="K327" s="7">
        <v>371.99</v>
      </c>
      <c r="L327" s="17">
        <f t="shared" si="4"/>
        <v>204914.52</v>
      </c>
    </row>
    <row r="328" spans="2:12" hidden="1" x14ac:dyDescent="0.25">
      <c r="B328" s="7" t="s">
        <v>350</v>
      </c>
      <c r="C328" s="7" t="s">
        <v>22</v>
      </c>
      <c r="D328" s="7" t="s">
        <v>26</v>
      </c>
      <c r="E328" s="7" t="s">
        <v>27</v>
      </c>
      <c r="F328" s="7" t="s">
        <v>24</v>
      </c>
      <c r="G328" s="7" t="s">
        <v>28</v>
      </c>
      <c r="H328" s="1">
        <v>45248</v>
      </c>
      <c r="I328" s="7">
        <v>86</v>
      </c>
      <c r="J328" s="7">
        <v>319.31</v>
      </c>
      <c r="K328" s="7">
        <v>313.47000000000003</v>
      </c>
      <c r="L328" s="17">
        <f t="shared" ref="L328:L356" si="5">$I328*$J328</f>
        <v>27460.66</v>
      </c>
    </row>
    <row r="329" spans="2:12" hidden="1" x14ac:dyDescent="0.25">
      <c r="B329" s="7" t="s">
        <v>351</v>
      </c>
      <c r="C329" s="7" t="s">
        <v>17</v>
      </c>
      <c r="D329" s="7" t="s">
        <v>12</v>
      </c>
      <c r="E329" s="7" t="s">
        <v>19</v>
      </c>
      <c r="F329" s="7" t="s">
        <v>24</v>
      </c>
      <c r="G329" s="7" t="s">
        <v>15</v>
      </c>
      <c r="H329" s="1">
        <v>45249</v>
      </c>
      <c r="I329" s="7">
        <v>125</v>
      </c>
      <c r="J329" s="7">
        <v>378.64</v>
      </c>
      <c r="K329" s="7">
        <v>24.34</v>
      </c>
      <c r="L329" s="17">
        <f t="shared" si="5"/>
        <v>47330</v>
      </c>
    </row>
    <row r="330" spans="2:12" hidden="1" x14ac:dyDescent="0.25">
      <c r="B330" s="7" t="s">
        <v>352</v>
      </c>
      <c r="C330" s="7" t="s">
        <v>48</v>
      </c>
      <c r="D330" s="7" t="s">
        <v>18</v>
      </c>
      <c r="E330" s="7" t="s">
        <v>19</v>
      </c>
      <c r="F330" s="7" t="s">
        <v>14</v>
      </c>
      <c r="G330" s="7" t="s">
        <v>15</v>
      </c>
      <c r="H330" s="1">
        <v>45250</v>
      </c>
      <c r="I330" s="7">
        <v>163</v>
      </c>
      <c r="J330" s="7">
        <v>89.39</v>
      </c>
      <c r="K330" s="7">
        <v>341.39</v>
      </c>
      <c r="L330" s="17">
        <f t="shared" si="5"/>
        <v>14570.57</v>
      </c>
    </row>
    <row r="331" spans="2:12" hidden="1" x14ac:dyDescent="0.25">
      <c r="B331" s="7" t="s">
        <v>353</v>
      </c>
      <c r="C331" s="7" t="s">
        <v>48</v>
      </c>
      <c r="D331" s="7" t="s">
        <v>26</v>
      </c>
      <c r="E331" s="7" t="s">
        <v>13</v>
      </c>
      <c r="F331" s="7" t="s">
        <v>24</v>
      </c>
      <c r="G331" s="7" t="s">
        <v>20</v>
      </c>
      <c r="H331" s="1">
        <v>45251</v>
      </c>
      <c r="I331" s="7">
        <v>415</v>
      </c>
      <c r="J331" s="7">
        <v>207.69</v>
      </c>
      <c r="K331" s="7">
        <v>91.77</v>
      </c>
      <c r="L331" s="17">
        <f t="shared" si="5"/>
        <v>86191.35</v>
      </c>
    </row>
    <row r="332" spans="2:12" hidden="1" x14ac:dyDescent="0.25">
      <c r="B332" s="7" t="s">
        <v>354</v>
      </c>
      <c r="C332" s="7" t="s">
        <v>48</v>
      </c>
      <c r="D332" s="7" t="s">
        <v>26</v>
      </c>
      <c r="E332" s="7" t="s">
        <v>27</v>
      </c>
      <c r="F332" s="7" t="s">
        <v>24</v>
      </c>
      <c r="G332" s="7" t="s">
        <v>28</v>
      </c>
      <c r="H332" s="1">
        <v>45252</v>
      </c>
      <c r="I332" s="7">
        <v>112</v>
      </c>
      <c r="J332" s="7">
        <v>214.23</v>
      </c>
      <c r="K332" s="7">
        <v>152.01</v>
      </c>
      <c r="L332" s="17">
        <f t="shared" si="5"/>
        <v>23993.759999999998</v>
      </c>
    </row>
    <row r="333" spans="2:12" hidden="1" x14ac:dyDescent="0.25">
      <c r="B333" s="7" t="s">
        <v>355</v>
      </c>
      <c r="C333" s="7" t="s">
        <v>11</v>
      </c>
      <c r="D333" s="7" t="s">
        <v>12</v>
      </c>
      <c r="E333" s="7" t="s">
        <v>19</v>
      </c>
      <c r="F333" s="7" t="s">
        <v>24</v>
      </c>
      <c r="G333" s="7" t="s">
        <v>20</v>
      </c>
      <c r="H333" s="1">
        <v>45253</v>
      </c>
      <c r="I333" s="7">
        <v>203</v>
      </c>
      <c r="J333" s="7">
        <v>411.79</v>
      </c>
      <c r="K333" s="7">
        <v>185.77</v>
      </c>
      <c r="L333" s="17">
        <f t="shared" si="5"/>
        <v>83593.37000000001</v>
      </c>
    </row>
    <row r="334" spans="2:12" hidden="1" x14ac:dyDescent="0.25">
      <c r="B334" s="7" t="s">
        <v>356</v>
      </c>
      <c r="C334" s="7" t="s">
        <v>11</v>
      </c>
      <c r="D334" s="7" t="s">
        <v>18</v>
      </c>
      <c r="E334" s="7" t="s">
        <v>42</v>
      </c>
      <c r="F334" s="7" t="s">
        <v>24</v>
      </c>
      <c r="G334" s="7" t="s">
        <v>28</v>
      </c>
      <c r="H334" s="1">
        <v>45254</v>
      </c>
      <c r="I334" s="7">
        <v>255.9</v>
      </c>
      <c r="J334" s="7">
        <v>5.61</v>
      </c>
      <c r="K334" s="7">
        <v>193.4</v>
      </c>
      <c r="L334" s="17">
        <f t="shared" si="5"/>
        <v>1435.5990000000002</v>
      </c>
    </row>
    <row r="335" spans="2:12" hidden="1" x14ac:dyDescent="0.25">
      <c r="B335" s="7" t="s">
        <v>357</v>
      </c>
      <c r="C335" s="7" t="s">
        <v>17</v>
      </c>
      <c r="D335" s="7" t="s">
        <v>50</v>
      </c>
      <c r="E335" s="7" t="s">
        <v>13</v>
      </c>
      <c r="F335" s="7" t="s">
        <v>24</v>
      </c>
      <c r="G335" s="7" t="s">
        <v>28</v>
      </c>
      <c r="H335" s="1">
        <v>45255</v>
      </c>
      <c r="I335" s="7">
        <v>368</v>
      </c>
      <c r="J335" s="7">
        <v>153.91999999999999</v>
      </c>
      <c r="K335" s="7">
        <v>175.2</v>
      </c>
      <c r="L335" s="17">
        <f t="shared" si="5"/>
        <v>56642.559999999998</v>
      </c>
    </row>
    <row r="336" spans="2:12" hidden="1" x14ac:dyDescent="0.25">
      <c r="B336" s="7" t="s">
        <v>358</v>
      </c>
      <c r="C336" s="7" t="s">
        <v>17</v>
      </c>
      <c r="D336" s="7" t="s">
        <v>50</v>
      </c>
      <c r="E336" s="7" t="s">
        <v>42</v>
      </c>
      <c r="F336" s="7" t="s">
        <v>24</v>
      </c>
      <c r="G336" s="7" t="s">
        <v>28</v>
      </c>
      <c r="H336" s="1">
        <v>45256</v>
      </c>
      <c r="I336" s="7">
        <v>99</v>
      </c>
      <c r="J336" s="7">
        <v>490.71</v>
      </c>
      <c r="K336" s="7">
        <v>375.07</v>
      </c>
      <c r="L336" s="17">
        <f t="shared" si="5"/>
        <v>48580.29</v>
      </c>
    </row>
    <row r="337" spans="2:12" hidden="1" x14ac:dyDescent="0.25">
      <c r="B337" s="7" t="s">
        <v>359</v>
      </c>
      <c r="C337" s="7" t="s">
        <v>22</v>
      </c>
      <c r="D337" s="7" t="s">
        <v>26</v>
      </c>
      <c r="E337" s="7" t="s">
        <v>42</v>
      </c>
      <c r="F337" s="7" t="s">
        <v>14</v>
      </c>
      <c r="G337" s="7" t="s">
        <v>15</v>
      </c>
      <c r="H337" s="1">
        <v>45257</v>
      </c>
      <c r="I337" s="7">
        <v>183</v>
      </c>
      <c r="J337" s="7">
        <v>240.07</v>
      </c>
      <c r="K337" s="7">
        <v>283</v>
      </c>
      <c r="L337" s="17">
        <f t="shared" si="5"/>
        <v>43932.81</v>
      </c>
    </row>
    <row r="338" spans="2:12" hidden="1" x14ac:dyDescent="0.25">
      <c r="B338" s="7" t="s">
        <v>360</v>
      </c>
      <c r="C338" s="7" t="s">
        <v>22</v>
      </c>
      <c r="D338" s="7" t="s">
        <v>18</v>
      </c>
      <c r="E338" s="7" t="s">
        <v>42</v>
      </c>
      <c r="F338" s="7" t="s">
        <v>24</v>
      </c>
      <c r="G338" s="7" t="s">
        <v>20</v>
      </c>
      <c r="H338" s="1">
        <v>45258</v>
      </c>
      <c r="I338" s="7">
        <v>131</v>
      </c>
      <c r="J338" s="7">
        <v>194.35</v>
      </c>
      <c r="K338" s="7">
        <v>253.21</v>
      </c>
      <c r="L338" s="17">
        <f t="shared" si="5"/>
        <v>25459.85</v>
      </c>
    </row>
    <row r="339" spans="2:12" hidden="1" x14ac:dyDescent="0.25">
      <c r="B339" s="7" t="s">
        <v>361</v>
      </c>
      <c r="C339" s="7" t="s">
        <v>17</v>
      </c>
      <c r="D339" s="7" t="s">
        <v>26</v>
      </c>
      <c r="E339" s="7" t="s">
        <v>23</v>
      </c>
      <c r="F339" s="7" t="s">
        <v>24</v>
      </c>
      <c r="G339" s="7" t="s">
        <v>20</v>
      </c>
      <c r="H339" s="1">
        <v>45259</v>
      </c>
      <c r="I339" s="7">
        <v>152</v>
      </c>
      <c r="J339" s="7">
        <v>64.319999999999993</v>
      </c>
      <c r="K339" s="7">
        <v>21.84</v>
      </c>
      <c r="L339" s="17">
        <f t="shared" si="5"/>
        <v>9776.64</v>
      </c>
    </row>
    <row r="340" spans="2:12" hidden="1" x14ac:dyDescent="0.25">
      <c r="B340" s="7" t="s">
        <v>362</v>
      </c>
      <c r="C340" s="7" t="s">
        <v>11</v>
      </c>
      <c r="D340" s="7" t="s">
        <v>31</v>
      </c>
      <c r="E340" s="7" t="s">
        <v>23</v>
      </c>
      <c r="F340" s="7" t="s">
        <v>24</v>
      </c>
      <c r="G340" s="7" t="s">
        <v>28</v>
      </c>
      <c r="H340" s="1">
        <v>45260</v>
      </c>
      <c r="I340" s="7">
        <v>491</v>
      </c>
      <c r="J340" s="7">
        <v>487.21</v>
      </c>
      <c r="K340" s="7">
        <v>361.76</v>
      </c>
      <c r="L340" s="17">
        <f t="shared" si="5"/>
        <v>239220.11</v>
      </c>
    </row>
    <row r="341" spans="2:12" hidden="1" x14ac:dyDescent="0.25">
      <c r="B341" s="7" t="s">
        <v>363</v>
      </c>
      <c r="C341" s="7" t="s">
        <v>48</v>
      </c>
      <c r="D341" s="7" t="s">
        <v>26</v>
      </c>
      <c r="E341" s="7" t="s">
        <v>42</v>
      </c>
      <c r="F341" s="7" t="s">
        <v>14</v>
      </c>
      <c r="G341" s="7" t="s">
        <v>15</v>
      </c>
      <c r="H341" s="1">
        <v>45261</v>
      </c>
      <c r="I341" s="7">
        <v>115</v>
      </c>
      <c r="J341" s="7">
        <v>14.91</v>
      </c>
      <c r="K341" s="7">
        <v>363.94</v>
      </c>
      <c r="L341" s="17">
        <f t="shared" si="5"/>
        <v>1714.65</v>
      </c>
    </row>
    <row r="342" spans="2:12" hidden="1" x14ac:dyDescent="0.25">
      <c r="B342" s="7" t="s">
        <v>364</v>
      </c>
      <c r="C342" s="7" t="s">
        <v>17</v>
      </c>
      <c r="D342" s="7" t="s">
        <v>26</v>
      </c>
      <c r="E342" s="7" t="s">
        <v>13</v>
      </c>
      <c r="F342" s="7" t="s">
        <v>24</v>
      </c>
      <c r="G342" s="7" t="s">
        <v>15</v>
      </c>
      <c r="H342" s="1">
        <v>45262</v>
      </c>
      <c r="I342" s="7">
        <v>384</v>
      </c>
      <c r="J342" s="7">
        <v>369.9</v>
      </c>
      <c r="K342" s="7">
        <v>312.52</v>
      </c>
      <c r="L342" s="17">
        <f t="shared" si="5"/>
        <v>142041.59999999998</v>
      </c>
    </row>
    <row r="343" spans="2:12" hidden="1" x14ac:dyDescent="0.25">
      <c r="B343" s="7" t="s">
        <v>365</v>
      </c>
      <c r="C343" s="7" t="s">
        <v>22</v>
      </c>
      <c r="D343" s="7" t="s">
        <v>50</v>
      </c>
      <c r="E343" s="7" t="s">
        <v>19</v>
      </c>
      <c r="F343" s="7" t="s">
        <v>14</v>
      </c>
      <c r="G343" s="7" t="s">
        <v>20</v>
      </c>
      <c r="H343" s="1">
        <v>45263</v>
      </c>
      <c r="I343" s="7">
        <v>437</v>
      </c>
      <c r="J343" s="7">
        <v>385.46</v>
      </c>
      <c r="K343" s="7">
        <v>4.8</v>
      </c>
      <c r="L343" s="17">
        <f t="shared" si="5"/>
        <v>168446.02</v>
      </c>
    </row>
    <row r="344" spans="2:12" hidden="1" x14ac:dyDescent="0.25">
      <c r="B344" s="7" t="s">
        <v>366</v>
      </c>
      <c r="C344" s="7" t="s">
        <v>11</v>
      </c>
      <c r="D344" s="7" t="s">
        <v>50</v>
      </c>
      <c r="E344" s="7" t="s">
        <v>19</v>
      </c>
      <c r="F344" s="7" t="s">
        <v>24</v>
      </c>
      <c r="G344" s="7" t="s">
        <v>15</v>
      </c>
      <c r="H344" s="1">
        <v>45264</v>
      </c>
      <c r="I344" s="7">
        <v>314</v>
      </c>
      <c r="J344" s="7">
        <v>125.61</v>
      </c>
      <c r="K344" s="7">
        <v>24.8</v>
      </c>
      <c r="L344" s="17">
        <f t="shared" si="5"/>
        <v>39441.54</v>
      </c>
    </row>
    <row r="345" spans="2:12" hidden="1" x14ac:dyDescent="0.25">
      <c r="B345" s="7" t="s">
        <v>367</v>
      </c>
      <c r="C345" s="7" t="s">
        <v>17</v>
      </c>
      <c r="D345" s="7" t="s">
        <v>50</v>
      </c>
      <c r="E345" s="7" t="s">
        <v>27</v>
      </c>
      <c r="F345" s="7" t="s">
        <v>14</v>
      </c>
      <c r="G345" s="7" t="s">
        <v>15</v>
      </c>
      <c r="H345" s="1">
        <v>45265</v>
      </c>
      <c r="I345" s="7">
        <v>369</v>
      </c>
      <c r="J345" s="7">
        <v>337.42</v>
      </c>
      <c r="K345" s="7">
        <v>91.64</v>
      </c>
      <c r="L345" s="17">
        <f t="shared" si="5"/>
        <v>124507.98000000001</v>
      </c>
    </row>
    <row r="346" spans="2:12" hidden="1" x14ac:dyDescent="0.25">
      <c r="B346" s="7" t="s">
        <v>368</v>
      </c>
      <c r="C346" s="7" t="s">
        <v>17</v>
      </c>
      <c r="D346" s="7" t="s">
        <v>31</v>
      </c>
      <c r="E346" s="7" t="s">
        <v>13</v>
      </c>
      <c r="F346" s="7" t="s">
        <v>14</v>
      </c>
      <c r="G346" s="7" t="s">
        <v>28</v>
      </c>
      <c r="H346" s="1">
        <v>45266</v>
      </c>
      <c r="I346" s="7">
        <v>468</v>
      </c>
      <c r="J346" s="7">
        <v>51</v>
      </c>
      <c r="K346" s="7">
        <v>54.28</v>
      </c>
      <c r="L346" s="17">
        <f t="shared" si="5"/>
        <v>23868</v>
      </c>
    </row>
    <row r="347" spans="2:12" hidden="1" x14ac:dyDescent="0.25">
      <c r="B347" s="7" t="s">
        <v>369</v>
      </c>
      <c r="C347" s="7" t="s">
        <v>11</v>
      </c>
      <c r="D347" s="7" t="s">
        <v>50</v>
      </c>
      <c r="E347" s="7" t="s">
        <v>23</v>
      </c>
      <c r="F347" s="7" t="s">
        <v>24</v>
      </c>
      <c r="G347" s="7" t="s">
        <v>15</v>
      </c>
      <c r="H347" s="1">
        <v>45267</v>
      </c>
      <c r="I347" s="7">
        <v>326</v>
      </c>
      <c r="J347" s="7">
        <v>132.24</v>
      </c>
      <c r="K347" s="7">
        <v>160.74</v>
      </c>
      <c r="L347" s="17">
        <f t="shared" si="5"/>
        <v>43110.240000000005</v>
      </c>
    </row>
    <row r="348" spans="2:12" hidden="1" x14ac:dyDescent="0.25">
      <c r="B348" s="7" t="s">
        <v>370</v>
      </c>
      <c r="C348" s="7" t="s">
        <v>17</v>
      </c>
      <c r="D348" s="7" t="s">
        <v>18</v>
      </c>
      <c r="E348" s="7" t="s">
        <v>42</v>
      </c>
      <c r="F348" s="7" t="s">
        <v>24</v>
      </c>
      <c r="G348" s="7" t="s">
        <v>28</v>
      </c>
      <c r="H348" s="1">
        <v>45268</v>
      </c>
      <c r="I348" s="7">
        <v>460</v>
      </c>
      <c r="J348" s="7">
        <v>395.01</v>
      </c>
      <c r="K348" s="7">
        <v>369.2</v>
      </c>
      <c r="L348" s="17">
        <f t="shared" si="5"/>
        <v>181704.6</v>
      </c>
    </row>
    <row r="349" spans="2:12" hidden="1" x14ac:dyDescent="0.25">
      <c r="B349" s="7" t="s">
        <v>371</v>
      </c>
      <c r="C349" s="7" t="s">
        <v>11</v>
      </c>
      <c r="D349" s="7" t="s">
        <v>12</v>
      </c>
      <c r="E349" s="7" t="s">
        <v>27</v>
      </c>
      <c r="F349" s="7" t="s">
        <v>14</v>
      </c>
      <c r="G349" s="7" t="s">
        <v>20</v>
      </c>
      <c r="H349" s="1">
        <v>45269</v>
      </c>
      <c r="I349" s="7">
        <v>132</v>
      </c>
      <c r="J349" s="7">
        <v>433.02</v>
      </c>
      <c r="K349" s="7">
        <v>189.88</v>
      </c>
      <c r="L349" s="17">
        <f t="shared" si="5"/>
        <v>57158.64</v>
      </c>
    </row>
    <row r="350" spans="2:12" hidden="1" x14ac:dyDescent="0.25">
      <c r="B350" s="7" t="s">
        <v>372</v>
      </c>
      <c r="C350" s="7" t="s">
        <v>48</v>
      </c>
      <c r="D350" s="7" t="s">
        <v>18</v>
      </c>
      <c r="E350" s="7" t="s">
        <v>19</v>
      </c>
      <c r="F350" s="7" t="s">
        <v>24</v>
      </c>
      <c r="G350" s="7" t="s">
        <v>15</v>
      </c>
      <c r="H350" s="1">
        <v>45270</v>
      </c>
      <c r="I350" s="7">
        <v>399</v>
      </c>
      <c r="J350" s="7">
        <v>306.2</v>
      </c>
      <c r="K350" s="7">
        <v>7.33</v>
      </c>
      <c r="L350" s="17">
        <f t="shared" si="5"/>
        <v>122173.79999999999</v>
      </c>
    </row>
    <row r="351" spans="2:12" hidden="1" x14ac:dyDescent="0.25">
      <c r="B351" s="7" t="s">
        <v>373</v>
      </c>
      <c r="C351" s="7" t="s">
        <v>11</v>
      </c>
      <c r="D351" s="7" t="s">
        <v>18</v>
      </c>
      <c r="E351" s="7" t="s">
        <v>23</v>
      </c>
      <c r="F351" s="7" t="s">
        <v>14</v>
      </c>
      <c r="G351" s="7" t="s">
        <v>20</v>
      </c>
      <c r="H351" s="1">
        <v>45271</v>
      </c>
      <c r="I351" s="7">
        <v>18</v>
      </c>
      <c r="J351" s="7">
        <v>255.89</v>
      </c>
      <c r="K351" s="7">
        <v>114.53</v>
      </c>
      <c r="L351" s="17">
        <f t="shared" si="5"/>
        <v>4606.0199999999995</v>
      </c>
    </row>
    <row r="352" spans="2:12" hidden="1" x14ac:dyDescent="0.25">
      <c r="B352" s="7" t="s">
        <v>374</v>
      </c>
      <c r="C352" s="7" t="s">
        <v>11</v>
      </c>
      <c r="D352" s="7" t="s">
        <v>50</v>
      </c>
      <c r="E352" s="7" t="s">
        <v>23</v>
      </c>
      <c r="F352" s="7" t="s">
        <v>14</v>
      </c>
      <c r="G352" s="7" t="s">
        <v>20</v>
      </c>
      <c r="H352" s="1">
        <v>45272</v>
      </c>
      <c r="I352" s="7">
        <v>271</v>
      </c>
      <c r="J352" s="7">
        <v>83.86</v>
      </c>
      <c r="K352" s="7">
        <v>19.75</v>
      </c>
      <c r="L352" s="17">
        <f t="shared" si="5"/>
        <v>22726.06</v>
      </c>
    </row>
    <row r="353" spans="2:12" hidden="1" x14ac:dyDescent="0.25">
      <c r="B353" s="7" t="s">
        <v>375</v>
      </c>
      <c r="C353" s="7" t="s">
        <v>11</v>
      </c>
      <c r="D353" s="7" t="s">
        <v>12</v>
      </c>
      <c r="E353" s="7" t="s">
        <v>42</v>
      </c>
      <c r="F353" s="7" t="s">
        <v>14</v>
      </c>
      <c r="G353" s="7" t="s">
        <v>15</v>
      </c>
      <c r="H353" s="1">
        <v>45273</v>
      </c>
      <c r="I353" s="7">
        <v>82</v>
      </c>
      <c r="J353" s="7">
        <v>36.24</v>
      </c>
      <c r="K353" s="7">
        <v>16.440000000000001</v>
      </c>
      <c r="L353" s="17">
        <f t="shared" si="5"/>
        <v>2971.6800000000003</v>
      </c>
    </row>
    <row r="354" spans="2:12" hidden="1" x14ac:dyDescent="0.25">
      <c r="B354" s="7" t="s">
        <v>376</v>
      </c>
      <c r="C354" s="7" t="s">
        <v>17</v>
      </c>
      <c r="D354" s="7" t="s">
        <v>12</v>
      </c>
      <c r="E354" s="7" t="s">
        <v>19</v>
      </c>
      <c r="F354" s="7" t="s">
        <v>14</v>
      </c>
      <c r="G354" s="7" t="s">
        <v>15</v>
      </c>
      <c r="H354" s="1">
        <v>45274</v>
      </c>
      <c r="I354" s="7">
        <v>368</v>
      </c>
      <c r="J354" s="7">
        <v>63.24</v>
      </c>
      <c r="K354" s="7">
        <v>111.74</v>
      </c>
      <c r="L354" s="17">
        <f t="shared" si="5"/>
        <v>23272.32</v>
      </c>
    </row>
    <row r="355" spans="2:12" hidden="1" x14ac:dyDescent="0.25">
      <c r="B355" s="7" t="s">
        <v>377</v>
      </c>
      <c r="C355" s="7" t="s">
        <v>17</v>
      </c>
      <c r="D355" s="7" t="s">
        <v>12</v>
      </c>
      <c r="E355" s="7" t="s">
        <v>13</v>
      </c>
      <c r="F355" s="7" t="s">
        <v>14</v>
      </c>
      <c r="G355" s="7" t="s">
        <v>20</v>
      </c>
      <c r="H355" s="1">
        <v>45275</v>
      </c>
      <c r="I355" s="7">
        <v>232</v>
      </c>
      <c r="J355" s="7">
        <v>117.54</v>
      </c>
      <c r="K355" s="7">
        <v>111.69</v>
      </c>
      <c r="L355" s="17">
        <f t="shared" si="5"/>
        <v>27269.280000000002</v>
      </c>
    </row>
    <row r="356" spans="2:12" hidden="1" x14ac:dyDescent="0.25">
      <c r="B356" s="7" t="s">
        <v>378</v>
      </c>
      <c r="C356" s="7" t="s">
        <v>11</v>
      </c>
      <c r="D356" s="7" t="s">
        <v>31</v>
      </c>
      <c r="E356" s="7" t="s">
        <v>23</v>
      </c>
      <c r="F356" s="7" t="s">
        <v>24</v>
      </c>
      <c r="G356" s="7" t="s">
        <v>15</v>
      </c>
      <c r="H356" s="1">
        <v>45276</v>
      </c>
      <c r="I356" s="7">
        <v>425</v>
      </c>
      <c r="J356" s="7">
        <v>174.13</v>
      </c>
      <c r="K356" s="7">
        <v>315.27999999999997</v>
      </c>
      <c r="L356" s="17">
        <f t="shared" si="5"/>
        <v>74005.25</v>
      </c>
    </row>
  </sheetData>
  <autoFilter ref="B6:L356" xr:uid="{72F29805-1898-45B3-BA84-A5ACF3917B0D}">
    <filterColumn colId="0">
      <filters>
        <filter val="ORD0123"/>
      </filters>
    </filterColumn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5B8C9-7BB2-404B-A370-0026C1512A2F}">
  <dimension ref="A2:O356"/>
  <sheetViews>
    <sheetView workbookViewId="0">
      <selection activeCell="L7" sqref="L7"/>
    </sheetView>
  </sheetViews>
  <sheetFormatPr defaultRowHeight="15" x14ac:dyDescent="0.25"/>
  <cols>
    <col min="11" max="11" width="13.42578125" style="11" customWidth="1"/>
    <col min="14" max="14" width="15.42578125" bestFit="1" customWidth="1"/>
    <col min="15" max="15" width="16.140625" bestFit="1" customWidth="1"/>
  </cols>
  <sheetData>
    <row r="2" spans="1:15" ht="21" x14ac:dyDescent="0.35">
      <c r="A2" s="4" t="s">
        <v>379</v>
      </c>
      <c r="B2" s="4" t="s">
        <v>386</v>
      </c>
    </row>
    <row r="4" spans="1:15" ht="21" x14ac:dyDescent="0.35">
      <c r="A4" s="4" t="s">
        <v>381</v>
      </c>
    </row>
    <row r="6" spans="1:15" x14ac:dyDescent="0.25">
      <c r="A6" s="3" t="s">
        <v>0</v>
      </c>
      <c r="B6" s="3" t="s">
        <v>1</v>
      </c>
      <c r="C6" s="3" t="s">
        <v>2</v>
      </c>
      <c r="D6" s="3" t="s">
        <v>3</v>
      </c>
      <c r="E6" s="3" t="s">
        <v>4</v>
      </c>
      <c r="F6" s="3" t="s">
        <v>5</v>
      </c>
      <c r="G6" s="3" t="s">
        <v>6</v>
      </c>
      <c r="H6" s="3" t="s">
        <v>7</v>
      </c>
      <c r="I6" s="3" t="s">
        <v>8</v>
      </c>
      <c r="J6" s="3" t="s">
        <v>9</v>
      </c>
      <c r="K6" s="10" t="s">
        <v>390</v>
      </c>
      <c r="L6" s="10" t="s">
        <v>392</v>
      </c>
      <c r="N6" s="21" t="s">
        <v>393</v>
      </c>
      <c r="O6" s="12" t="s">
        <v>395</v>
      </c>
    </row>
    <row r="7" spans="1:15" x14ac:dyDescent="0.25">
      <c r="A7" s="7" t="s">
        <v>10</v>
      </c>
      <c r="B7" s="7" t="s">
        <v>11</v>
      </c>
      <c r="C7" s="7" t="s">
        <v>12</v>
      </c>
      <c r="D7" s="7" t="s">
        <v>13</v>
      </c>
      <c r="E7" s="7" t="s">
        <v>14</v>
      </c>
      <c r="F7" s="7" t="s">
        <v>15</v>
      </c>
      <c r="G7" s="1">
        <v>44927</v>
      </c>
      <c r="H7" s="1">
        <v>235</v>
      </c>
      <c r="I7" s="1">
        <v>152.91999999999999</v>
      </c>
      <c r="J7" s="1">
        <v>153.6</v>
      </c>
      <c r="K7" s="18">
        <f>$H7*$I7</f>
        <v>35936.199999999997</v>
      </c>
      <c r="L7" s="1">
        <f>($I7-$J7)*$H7</f>
        <v>-159.8000000000016</v>
      </c>
      <c r="N7" s="12" t="s">
        <v>11</v>
      </c>
      <c r="O7" s="18">
        <v>12486.281627659577</v>
      </c>
    </row>
    <row r="8" spans="1:15" x14ac:dyDescent="0.25">
      <c r="A8" s="7" t="s">
        <v>16</v>
      </c>
      <c r="B8" s="7" t="s">
        <v>17</v>
      </c>
      <c r="C8" s="7" t="s">
        <v>18</v>
      </c>
      <c r="D8" s="7" t="s">
        <v>19</v>
      </c>
      <c r="E8" s="7" t="s">
        <v>14</v>
      </c>
      <c r="F8" s="7" t="s">
        <v>20</v>
      </c>
      <c r="G8" s="1">
        <v>44928</v>
      </c>
      <c r="H8" s="1">
        <v>341</v>
      </c>
      <c r="I8" s="1">
        <v>467.92</v>
      </c>
      <c r="J8" s="1">
        <v>139.84</v>
      </c>
      <c r="K8" s="18">
        <f>$H8*$I8</f>
        <v>159560.72</v>
      </c>
      <c r="L8" s="1">
        <f t="shared" ref="L8:L71" si="0">($I8-$J8)*$H8</f>
        <v>111875.28000000001</v>
      </c>
      <c r="N8" s="12" t="s">
        <v>22</v>
      </c>
      <c r="O8" s="18">
        <v>15505.567185185186</v>
      </c>
    </row>
    <row r="9" spans="1:15" x14ac:dyDescent="0.25">
      <c r="A9" s="7" t="s">
        <v>21</v>
      </c>
      <c r="B9" s="7" t="s">
        <v>22</v>
      </c>
      <c r="C9" s="7" t="s">
        <v>18</v>
      </c>
      <c r="D9" s="7" t="s">
        <v>23</v>
      </c>
      <c r="E9" s="7" t="s">
        <v>24</v>
      </c>
      <c r="F9" s="7" t="s">
        <v>15</v>
      </c>
      <c r="G9" s="1">
        <v>44929</v>
      </c>
      <c r="H9" s="1">
        <v>179</v>
      </c>
      <c r="I9" s="1">
        <v>473.94</v>
      </c>
      <c r="J9" s="1">
        <v>97.14</v>
      </c>
      <c r="K9" s="18">
        <f>$H9*$I9</f>
        <v>84835.26</v>
      </c>
      <c r="L9" s="1">
        <f t="shared" si="0"/>
        <v>67447.199999999997</v>
      </c>
      <c r="N9" s="12" t="s">
        <v>48</v>
      </c>
      <c r="O9" s="18">
        <v>18193.032434210538</v>
      </c>
    </row>
    <row r="10" spans="1:15" x14ac:dyDescent="0.25">
      <c r="A10" s="7" t="s">
        <v>25</v>
      </c>
      <c r="B10" s="7" t="s">
        <v>11</v>
      </c>
      <c r="C10" s="7" t="s">
        <v>26</v>
      </c>
      <c r="D10" s="7" t="s">
        <v>27</v>
      </c>
      <c r="E10" s="7" t="s">
        <v>24</v>
      </c>
      <c r="F10" s="7" t="s">
        <v>28</v>
      </c>
      <c r="G10" s="1">
        <v>44930</v>
      </c>
      <c r="H10" s="7">
        <v>18</v>
      </c>
      <c r="I10" s="7">
        <v>314.52999999999997</v>
      </c>
      <c r="J10" s="7">
        <v>204.87</v>
      </c>
      <c r="K10" s="18">
        <f>$H10*$I10</f>
        <v>5661.5399999999991</v>
      </c>
      <c r="L10" s="1">
        <f t="shared" si="0"/>
        <v>1973.8799999999994</v>
      </c>
      <c r="N10" s="12" t="s">
        <v>17</v>
      </c>
      <c r="O10" s="18">
        <v>12695.697707070705</v>
      </c>
    </row>
    <row r="11" spans="1:15" x14ac:dyDescent="0.25">
      <c r="A11" s="7" t="s">
        <v>29</v>
      </c>
      <c r="B11" s="7" t="s">
        <v>11</v>
      </c>
      <c r="C11" s="7" t="s">
        <v>18</v>
      </c>
      <c r="D11" s="7" t="s">
        <v>27</v>
      </c>
      <c r="E11" s="7" t="s">
        <v>24</v>
      </c>
      <c r="F11" s="7" t="s">
        <v>28</v>
      </c>
      <c r="G11" s="1">
        <v>44931</v>
      </c>
      <c r="H11" s="7">
        <v>472</v>
      </c>
      <c r="I11" s="7">
        <v>392.79</v>
      </c>
      <c r="J11" s="7">
        <v>330.46</v>
      </c>
      <c r="K11" s="18">
        <f>$H11*$I11</f>
        <v>185396.88</v>
      </c>
      <c r="L11" s="1">
        <f t="shared" si="0"/>
        <v>29419.76000000002</v>
      </c>
      <c r="N11" s="12" t="s">
        <v>394</v>
      </c>
      <c r="O11" s="18">
        <v>14483.445579999978</v>
      </c>
    </row>
    <row r="12" spans="1:15" x14ac:dyDescent="0.25">
      <c r="A12" s="7" t="s">
        <v>30</v>
      </c>
      <c r="B12" s="7" t="s">
        <v>17</v>
      </c>
      <c r="C12" s="7" t="s">
        <v>31</v>
      </c>
      <c r="D12" s="7" t="s">
        <v>23</v>
      </c>
      <c r="E12" s="7" t="s">
        <v>14</v>
      </c>
      <c r="F12" s="7" t="s">
        <v>15</v>
      </c>
      <c r="G12" s="1">
        <v>44932</v>
      </c>
      <c r="H12" s="7">
        <v>49</v>
      </c>
      <c r="I12" s="7">
        <v>308.07</v>
      </c>
      <c r="J12" s="7">
        <v>113.32</v>
      </c>
      <c r="K12" s="18">
        <f>$H12*$I12</f>
        <v>15095.43</v>
      </c>
      <c r="L12" s="1">
        <f t="shared" si="0"/>
        <v>9542.75</v>
      </c>
    </row>
    <row r="13" spans="1:15" x14ac:dyDescent="0.25">
      <c r="A13" s="7" t="s">
        <v>32</v>
      </c>
      <c r="B13" s="7" t="s">
        <v>22</v>
      </c>
      <c r="C13" s="7" t="s">
        <v>12</v>
      </c>
      <c r="D13" s="7" t="s">
        <v>23</v>
      </c>
      <c r="E13" s="7" t="s">
        <v>14</v>
      </c>
      <c r="F13" s="7" t="s">
        <v>20</v>
      </c>
      <c r="G13" s="1">
        <v>44933</v>
      </c>
      <c r="H13" s="7">
        <v>34</v>
      </c>
      <c r="I13" s="7">
        <v>244.78</v>
      </c>
      <c r="J13" s="7">
        <v>377.07</v>
      </c>
      <c r="K13" s="18">
        <f>$H13*$I13</f>
        <v>8322.52</v>
      </c>
      <c r="L13" s="1">
        <f t="shared" si="0"/>
        <v>-4497.8599999999997</v>
      </c>
    </row>
    <row r="14" spans="1:15" x14ac:dyDescent="0.25">
      <c r="A14" s="7" t="s">
        <v>33</v>
      </c>
      <c r="B14" s="7" t="s">
        <v>22</v>
      </c>
      <c r="C14" s="7" t="s">
        <v>18</v>
      </c>
      <c r="D14" s="7" t="s">
        <v>13</v>
      </c>
      <c r="E14" s="7" t="s">
        <v>14</v>
      </c>
      <c r="F14" s="7" t="s">
        <v>15</v>
      </c>
      <c r="G14" s="1">
        <v>44934</v>
      </c>
      <c r="H14" s="7">
        <v>270</v>
      </c>
      <c r="I14" s="7">
        <v>332.11</v>
      </c>
      <c r="J14" s="7">
        <v>349.59</v>
      </c>
      <c r="K14" s="18">
        <f>$H14*$I14</f>
        <v>89669.7</v>
      </c>
      <c r="L14" s="1">
        <f t="shared" si="0"/>
        <v>-4719.5999999999894</v>
      </c>
    </row>
    <row r="15" spans="1:15" x14ac:dyDescent="0.25">
      <c r="A15" s="7" t="s">
        <v>34</v>
      </c>
      <c r="B15" s="7" t="s">
        <v>11</v>
      </c>
      <c r="C15" s="7" t="s">
        <v>18</v>
      </c>
      <c r="D15" s="7" t="s">
        <v>13</v>
      </c>
      <c r="E15" s="7" t="s">
        <v>14</v>
      </c>
      <c r="F15" s="7" t="s">
        <v>20</v>
      </c>
      <c r="G15" s="1">
        <v>44935</v>
      </c>
      <c r="H15" s="7">
        <v>404</v>
      </c>
      <c r="I15" s="7">
        <v>278.74</v>
      </c>
      <c r="J15" s="7">
        <v>66.38</v>
      </c>
      <c r="K15" s="18">
        <f>$H15*$I15</f>
        <v>112610.96</v>
      </c>
      <c r="L15" s="1">
        <f t="shared" si="0"/>
        <v>85793.44</v>
      </c>
    </row>
    <row r="16" spans="1:15" x14ac:dyDescent="0.25">
      <c r="A16" s="7" t="s">
        <v>35</v>
      </c>
      <c r="B16" s="7" t="s">
        <v>11</v>
      </c>
      <c r="C16" s="7" t="s">
        <v>26</v>
      </c>
      <c r="D16" s="7" t="s">
        <v>27</v>
      </c>
      <c r="E16" s="7" t="s">
        <v>14</v>
      </c>
      <c r="F16" s="7" t="s">
        <v>28</v>
      </c>
      <c r="G16" s="1">
        <v>44936</v>
      </c>
      <c r="H16" s="7">
        <v>452</v>
      </c>
      <c r="I16" s="7">
        <v>300.75</v>
      </c>
      <c r="J16" s="7">
        <v>314.94</v>
      </c>
      <c r="K16" s="18">
        <f>$H16*$I16</f>
        <v>135939</v>
      </c>
      <c r="L16" s="1">
        <f t="shared" si="0"/>
        <v>-6413.8799999999992</v>
      </c>
    </row>
    <row r="17" spans="1:12" x14ac:dyDescent="0.25">
      <c r="A17" s="7" t="s">
        <v>36</v>
      </c>
      <c r="B17" s="7" t="s">
        <v>11</v>
      </c>
      <c r="C17" s="7" t="s">
        <v>26</v>
      </c>
      <c r="D17" s="7" t="s">
        <v>19</v>
      </c>
      <c r="E17" s="7" t="s">
        <v>14</v>
      </c>
      <c r="F17" s="7" t="s">
        <v>20</v>
      </c>
      <c r="G17" s="1">
        <v>44937</v>
      </c>
      <c r="H17" s="7">
        <v>235</v>
      </c>
      <c r="I17" s="7">
        <v>393</v>
      </c>
      <c r="J17" s="7">
        <v>230.69</v>
      </c>
      <c r="K17" s="18">
        <f>$H17*$I17</f>
        <v>92355</v>
      </c>
      <c r="L17" s="1">
        <f t="shared" si="0"/>
        <v>38142.85</v>
      </c>
    </row>
    <row r="18" spans="1:12" x14ac:dyDescent="0.25">
      <c r="A18" s="7" t="s">
        <v>37</v>
      </c>
      <c r="B18" s="7" t="s">
        <v>11</v>
      </c>
      <c r="C18" s="7" t="s">
        <v>31</v>
      </c>
      <c r="D18" s="7" t="s">
        <v>27</v>
      </c>
      <c r="E18" s="7" t="s">
        <v>24</v>
      </c>
      <c r="F18" s="7" t="s">
        <v>28</v>
      </c>
      <c r="G18" s="1">
        <v>44938</v>
      </c>
      <c r="H18" s="7">
        <v>481</v>
      </c>
      <c r="I18" s="7">
        <v>243.05</v>
      </c>
      <c r="J18" s="7">
        <v>227.5</v>
      </c>
      <c r="K18" s="18">
        <f>$H18*$I18</f>
        <v>116907.05</v>
      </c>
      <c r="L18" s="1">
        <f t="shared" si="0"/>
        <v>7479.5500000000056</v>
      </c>
    </row>
    <row r="19" spans="1:12" x14ac:dyDescent="0.25">
      <c r="A19" s="7" t="s">
        <v>38</v>
      </c>
      <c r="B19" s="7" t="s">
        <v>11</v>
      </c>
      <c r="C19" s="7" t="s">
        <v>12</v>
      </c>
      <c r="D19" s="7" t="s">
        <v>19</v>
      </c>
      <c r="E19" s="7" t="s">
        <v>24</v>
      </c>
      <c r="F19" s="7" t="s">
        <v>20</v>
      </c>
      <c r="G19" s="1">
        <v>44939</v>
      </c>
      <c r="H19" s="7">
        <v>133</v>
      </c>
      <c r="I19" s="7">
        <v>25.17</v>
      </c>
      <c r="J19" s="7">
        <v>157.63999999999999</v>
      </c>
      <c r="K19" s="18">
        <f>$H19*$I19</f>
        <v>3347.61</v>
      </c>
      <c r="L19" s="1">
        <f t="shared" si="0"/>
        <v>-17618.509999999995</v>
      </c>
    </row>
    <row r="20" spans="1:12" x14ac:dyDescent="0.25">
      <c r="A20" s="7" t="s">
        <v>39</v>
      </c>
      <c r="B20" s="7" t="s">
        <v>11</v>
      </c>
      <c r="C20" s="7" t="s">
        <v>26</v>
      </c>
      <c r="D20" s="7" t="s">
        <v>19</v>
      </c>
      <c r="E20" s="7" t="s">
        <v>24</v>
      </c>
      <c r="F20" s="7" t="s">
        <v>20</v>
      </c>
      <c r="G20" s="1">
        <v>44940</v>
      </c>
      <c r="H20" s="7">
        <v>472</v>
      </c>
      <c r="I20" s="7">
        <v>86.18</v>
      </c>
      <c r="J20" s="7">
        <v>201.46</v>
      </c>
      <c r="K20" s="18">
        <f>$H20*$I20</f>
        <v>40676.960000000006</v>
      </c>
      <c r="L20" s="1">
        <f t="shared" si="0"/>
        <v>-54412.160000000003</v>
      </c>
    </row>
    <row r="21" spans="1:12" x14ac:dyDescent="0.25">
      <c r="A21" s="7" t="s">
        <v>40</v>
      </c>
      <c r="B21" s="7" t="s">
        <v>17</v>
      </c>
      <c r="C21" s="7" t="s">
        <v>18</v>
      </c>
      <c r="D21" s="7" t="s">
        <v>13</v>
      </c>
      <c r="E21" s="7" t="s">
        <v>24</v>
      </c>
      <c r="F21" s="7" t="s">
        <v>20</v>
      </c>
      <c r="G21" s="1">
        <v>44941</v>
      </c>
      <c r="H21" s="7">
        <v>47</v>
      </c>
      <c r="I21" s="7">
        <v>222.11</v>
      </c>
      <c r="J21" s="7">
        <v>160.08000000000001</v>
      </c>
      <c r="K21" s="18">
        <f>$H21*$I21</f>
        <v>10439.17</v>
      </c>
      <c r="L21" s="1">
        <f t="shared" si="0"/>
        <v>2915.41</v>
      </c>
    </row>
    <row r="22" spans="1:12" x14ac:dyDescent="0.25">
      <c r="A22" s="7" t="s">
        <v>41</v>
      </c>
      <c r="B22" s="7" t="s">
        <v>22</v>
      </c>
      <c r="C22" s="7" t="s">
        <v>12</v>
      </c>
      <c r="D22" s="7" t="s">
        <v>42</v>
      </c>
      <c r="E22" s="7" t="s">
        <v>14</v>
      </c>
      <c r="F22" s="7" t="s">
        <v>15</v>
      </c>
      <c r="G22" s="1">
        <v>44942</v>
      </c>
      <c r="H22" s="7">
        <v>337</v>
      </c>
      <c r="I22" s="7">
        <v>363.79</v>
      </c>
      <c r="J22" s="7">
        <v>216.81</v>
      </c>
      <c r="K22" s="18">
        <f>$H22*$I22</f>
        <v>122597.23000000001</v>
      </c>
      <c r="L22" s="1">
        <f t="shared" si="0"/>
        <v>49532.260000000009</v>
      </c>
    </row>
    <row r="23" spans="1:12" x14ac:dyDescent="0.25">
      <c r="A23" s="7" t="s">
        <v>43</v>
      </c>
      <c r="B23" s="7" t="s">
        <v>17</v>
      </c>
      <c r="C23" s="7" t="s">
        <v>12</v>
      </c>
      <c r="D23" s="7" t="s">
        <v>42</v>
      </c>
      <c r="E23" s="7" t="s">
        <v>14</v>
      </c>
      <c r="F23" s="7" t="s">
        <v>15</v>
      </c>
      <c r="G23" s="1">
        <v>44943</v>
      </c>
      <c r="H23" s="7">
        <v>260</v>
      </c>
      <c r="I23" s="7">
        <v>298.67</v>
      </c>
      <c r="J23" s="7">
        <v>251.92</v>
      </c>
      <c r="K23" s="18">
        <f>$H23*$I23</f>
        <v>77654.2</v>
      </c>
      <c r="L23" s="1">
        <f t="shared" si="0"/>
        <v>12155.000000000007</v>
      </c>
    </row>
    <row r="24" spans="1:12" x14ac:dyDescent="0.25">
      <c r="A24" s="7" t="s">
        <v>44</v>
      </c>
      <c r="B24" s="7" t="s">
        <v>17</v>
      </c>
      <c r="C24" s="7" t="s">
        <v>18</v>
      </c>
      <c r="D24" s="7" t="s">
        <v>23</v>
      </c>
      <c r="E24" s="7" t="s">
        <v>24</v>
      </c>
      <c r="F24" s="7" t="s">
        <v>28</v>
      </c>
      <c r="G24" s="1">
        <v>44944</v>
      </c>
      <c r="H24" s="7">
        <v>398</v>
      </c>
      <c r="I24" s="7">
        <v>326.89999999999998</v>
      </c>
      <c r="J24" s="7">
        <v>270.37</v>
      </c>
      <c r="K24" s="18">
        <f>$H24*$I24</f>
        <v>130106.2</v>
      </c>
      <c r="L24" s="1">
        <f t="shared" si="0"/>
        <v>22498.939999999988</v>
      </c>
    </row>
    <row r="25" spans="1:12" x14ac:dyDescent="0.25">
      <c r="A25" s="7" t="s">
        <v>45</v>
      </c>
      <c r="B25" s="7" t="s">
        <v>17</v>
      </c>
      <c r="C25" s="7" t="s">
        <v>26</v>
      </c>
      <c r="D25" s="7" t="s">
        <v>13</v>
      </c>
      <c r="E25" s="7" t="s">
        <v>14</v>
      </c>
      <c r="F25" s="7" t="s">
        <v>28</v>
      </c>
      <c r="G25" s="1">
        <v>44945</v>
      </c>
      <c r="H25" s="7">
        <v>185</v>
      </c>
      <c r="I25" s="7">
        <v>242.24</v>
      </c>
      <c r="J25" s="7">
        <v>213.93</v>
      </c>
      <c r="K25" s="18">
        <f>$H25*$I25</f>
        <v>44814.400000000001</v>
      </c>
      <c r="L25" s="1">
        <f t="shared" si="0"/>
        <v>5237.3500000000004</v>
      </c>
    </row>
    <row r="26" spans="1:12" x14ac:dyDescent="0.25">
      <c r="A26" s="7" t="s">
        <v>46</v>
      </c>
      <c r="B26" s="7" t="s">
        <v>11</v>
      </c>
      <c r="C26" s="7" t="s">
        <v>18</v>
      </c>
      <c r="D26" s="7" t="s">
        <v>19</v>
      </c>
      <c r="E26" s="7" t="s">
        <v>24</v>
      </c>
      <c r="F26" s="7" t="s">
        <v>15</v>
      </c>
      <c r="G26" s="1">
        <v>44946</v>
      </c>
      <c r="H26" s="7">
        <v>99</v>
      </c>
      <c r="I26" s="7">
        <v>309.79000000000002</v>
      </c>
      <c r="J26" s="7">
        <v>289.13</v>
      </c>
      <c r="K26" s="18">
        <f>$H26*$I26</f>
        <v>30669.210000000003</v>
      </c>
      <c r="L26" s="1">
        <f t="shared" si="0"/>
        <v>2045.3400000000024</v>
      </c>
    </row>
    <row r="27" spans="1:12" x14ac:dyDescent="0.25">
      <c r="A27" s="7" t="s">
        <v>47</v>
      </c>
      <c r="B27" s="7" t="s">
        <v>48</v>
      </c>
      <c r="C27" s="7" t="s">
        <v>12</v>
      </c>
      <c r="D27" s="7" t="s">
        <v>42</v>
      </c>
      <c r="E27" s="7" t="s">
        <v>24</v>
      </c>
      <c r="F27" s="7" t="s">
        <v>28</v>
      </c>
      <c r="G27" s="1">
        <v>44947</v>
      </c>
      <c r="H27" s="7">
        <v>411</v>
      </c>
      <c r="I27" s="7">
        <v>167.86</v>
      </c>
      <c r="J27" s="7">
        <v>58.23</v>
      </c>
      <c r="K27" s="18">
        <f>$H27*$I27</f>
        <v>68990.460000000006</v>
      </c>
      <c r="L27" s="1">
        <f t="shared" si="0"/>
        <v>45057.930000000008</v>
      </c>
    </row>
    <row r="28" spans="1:12" x14ac:dyDescent="0.25">
      <c r="A28" s="7" t="s">
        <v>49</v>
      </c>
      <c r="B28" s="7" t="s">
        <v>22</v>
      </c>
      <c r="C28" s="7" t="s">
        <v>50</v>
      </c>
      <c r="D28" s="7" t="s">
        <v>19</v>
      </c>
      <c r="E28" s="7" t="s">
        <v>24</v>
      </c>
      <c r="F28" s="7" t="s">
        <v>15</v>
      </c>
      <c r="G28" s="1">
        <v>44948</v>
      </c>
      <c r="H28" s="7">
        <v>463</v>
      </c>
      <c r="I28" s="7">
        <v>237.74</v>
      </c>
      <c r="J28" s="7">
        <v>86.37</v>
      </c>
      <c r="K28" s="18">
        <f>$H28*$I28</f>
        <v>110073.62000000001</v>
      </c>
      <c r="L28" s="1">
        <f t="shared" si="0"/>
        <v>70084.31</v>
      </c>
    </row>
    <row r="29" spans="1:12" x14ac:dyDescent="0.25">
      <c r="A29" s="7" t="s">
        <v>51</v>
      </c>
      <c r="B29" s="7" t="s">
        <v>48</v>
      </c>
      <c r="C29" s="7" t="s">
        <v>50</v>
      </c>
      <c r="D29" s="7" t="s">
        <v>42</v>
      </c>
      <c r="E29" s="7" t="s">
        <v>14</v>
      </c>
      <c r="F29" s="7" t="s">
        <v>20</v>
      </c>
      <c r="G29" s="1">
        <v>44949</v>
      </c>
      <c r="H29" s="7">
        <v>46</v>
      </c>
      <c r="I29" s="7">
        <v>373.42</v>
      </c>
      <c r="J29" s="7">
        <v>327.86</v>
      </c>
      <c r="K29" s="18">
        <f>$H29*$I29</f>
        <v>17177.32</v>
      </c>
      <c r="L29" s="1">
        <f t="shared" si="0"/>
        <v>2095.7600000000002</v>
      </c>
    </row>
    <row r="30" spans="1:12" x14ac:dyDescent="0.25">
      <c r="A30" s="7" t="s">
        <v>52</v>
      </c>
      <c r="B30" s="7" t="s">
        <v>17</v>
      </c>
      <c r="C30" s="7" t="s">
        <v>31</v>
      </c>
      <c r="D30" s="7" t="s">
        <v>42</v>
      </c>
      <c r="E30" s="7" t="s">
        <v>24</v>
      </c>
      <c r="F30" s="7" t="s">
        <v>28</v>
      </c>
      <c r="G30" s="1">
        <v>44950</v>
      </c>
      <c r="H30" s="7">
        <v>325</v>
      </c>
      <c r="I30" s="7">
        <v>436.56</v>
      </c>
      <c r="J30" s="7">
        <v>130.37</v>
      </c>
      <c r="K30" s="18">
        <f>$H30*$I30</f>
        <v>141882</v>
      </c>
      <c r="L30" s="1">
        <f t="shared" si="0"/>
        <v>99511.75</v>
      </c>
    </row>
    <row r="31" spans="1:12" x14ac:dyDescent="0.25">
      <c r="A31" s="7" t="s">
        <v>53</v>
      </c>
      <c r="B31" s="7" t="s">
        <v>17</v>
      </c>
      <c r="C31" s="7" t="s">
        <v>18</v>
      </c>
      <c r="D31" s="7" t="s">
        <v>42</v>
      </c>
      <c r="E31" s="7" t="s">
        <v>24</v>
      </c>
      <c r="F31" s="7" t="s">
        <v>28</v>
      </c>
      <c r="G31" s="1">
        <v>44951</v>
      </c>
      <c r="H31" s="7">
        <v>185</v>
      </c>
      <c r="I31" s="7">
        <v>219.66</v>
      </c>
      <c r="J31" s="7">
        <v>11.11</v>
      </c>
      <c r="K31" s="18">
        <f>$H31*$I31</f>
        <v>40637.1</v>
      </c>
      <c r="L31" s="1">
        <f t="shared" si="0"/>
        <v>38581.75</v>
      </c>
    </row>
    <row r="32" spans="1:12" x14ac:dyDescent="0.25">
      <c r="A32" s="7" t="s">
        <v>54</v>
      </c>
      <c r="B32" s="7" t="s">
        <v>48</v>
      </c>
      <c r="C32" s="7" t="s">
        <v>18</v>
      </c>
      <c r="D32" s="7" t="s">
        <v>13</v>
      </c>
      <c r="E32" s="7" t="s">
        <v>24</v>
      </c>
      <c r="F32" s="7" t="s">
        <v>15</v>
      </c>
      <c r="G32" s="1">
        <v>44952</v>
      </c>
      <c r="H32" s="7">
        <v>470</v>
      </c>
      <c r="I32" s="7">
        <v>26.61</v>
      </c>
      <c r="J32" s="7">
        <v>63.21</v>
      </c>
      <c r="K32" s="18">
        <f>$H32*$I32</f>
        <v>12506.699999999999</v>
      </c>
      <c r="L32" s="1">
        <f t="shared" si="0"/>
        <v>-17202</v>
      </c>
    </row>
    <row r="33" spans="1:12" x14ac:dyDescent="0.25">
      <c r="A33" s="7" t="s">
        <v>55</v>
      </c>
      <c r="B33" s="7" t="s">
        <v>48</v>
      </c>
      <c r="C33" s="7" t="s">
        <v>31</v>
      </c>
      <c r="D33" s="7" t="s">
        <v>27</v>
      </c>
      <c r="E33" s="7" t="s">
        <v>14</v>
      </c>
      <c r="F33" s="7" t="s">
        <v>28</v>
      </c>
      <c r="G33" s="1">
        <v>44953</v>
      </c>
      <c r="H33" s="7">
        <v>293</v>
      </c>
      <c r="I33" s="7">
        <v>85.03</v>
      </c>
      <c r="J33" s="7">
        <v>91</v>
      </c>
      <c r="K33" s="18">
        <f>$H33*$I33</f>
        <v>24913.79</v>
      </c>
      <c r="L33" s="1">
        <f t="shared" si="0"/>
        <v>-1749.2099999999996</v>
      </c>
    </row>
    <row r="34" spans="1:12" x14ac:dyDescent="0.25">
      <c r="A34" s="7" t="s">
        <v>56</v>
      </c>
      <c r="B34" s="7" t="s">
        <v>48</v>
      </c>
      <c r="C34" s="7" t="s">
        <v>31</v>
      </c>
      <c r="D34" s="7" t="s">
        <v>19</v>
      </c>
      <c r="E34" s="7" t="s">
        <v>14</v>
      </c>
      <c r="F34" s="7" t="s">
        <v>28</v>
      </c>
      <c r="G34" s="1">
        <v>44954</v>
      </c>
      <c r="H34" s="7">
        <v>462</v>
      </c>
      <c r="I34" s="7">
        <v>249.64</v>
      </c>
      <c r="J34" s="7">
        <v>383.01</v>
      </c>
      <c r="K34" s="18">
        <f>$H34*$I34</f>
        <v>115333.68</v>
      </c>
      <c r="L34" s="1">
        <f t="shared" si="0"/>
        <v>-61616.94</v>
      </c>
    </row>
    <row r="35" spans="1:12" x14ac:dyDescent="0.25">
      <c r="A35" s="7" t="s">
        <v>57</v>
      </c>
      <c r="B35" s="7" t="s">
        <v>17</v>
      </c>
      <c r="C35" s="7" t="s">
        <v>31</v>
      </c>
      <c r="D35" s="7" t="s">
        <v>13</v>
      </c>
      <c r="E35" s="7" t="s">
        <v>24</v>
      </c>
      <c r="F35" s="7" t="s">
        <v>20</v>
      </c>
      <c r="G35" s="1">
        <v>44955</v>
      </c>
      <c r="H35" s="7">
        <v>470</v>
      </c>
      <c r="I35" s="7">
        <v>328.37</v>
      </c>
      <c r="J35" s="7">
        <v>230.07</v>
      </c>
      <c r="K35" s="18">
        <f>$H35*$I35</f>
        <v>154333.9</v>
      </c>
      <c r="L35" s="1">
        <f t="shared" si="0"/>
        <v>46201.000000000007</v>
      </c>
    </row>
    <row r="36" spans="1:12" x14ac:dyDescent="0.25">
      <c r="A36" s="7" t="s">
        <v>58</v>
      </c>
      <c r="B36" s="7" t="s">
        <v>17</v>
      </c>
      <c r="C36" s="7" t="s">
        <v>12</v>
      </c>
      <c r="D36" s="7" t="s">
        <v>13</v>
      </c>
      <c r="E36" s="7" t="s">
        <v>14</v>
      </c>
      <c r="F36" s="7" t="s">
        <v>28</v>
      </c>
      <c r="G36" s="1">
        <v>44956</v>
      </c>
      <c r="H36" s="7">
        <v>90</v>
      </c>
      <c r="I36" s="7">
        <v>169.5</v>
      </c>
      <c r="J36" s="7">
        <v>373.23</v>
      </c>
      <c r="K36" s="18">
        <f>$H36*$I36</f>
        <v>15255</v>
      </c>
      <c r="L36" s="1">
        <f t="shared" si="0"/>
        <v>-18335.7</v>
      </c>
    </row>
    <row r="37" spans="1:12" x14ac:dyDescent="0.25">
      <c r="A37" s="7" t="s">
        <v>59</v>
      </c>
      <c r="B37" s="7" t="s">
        <v>17</v>
      </c>
      <c r="C37" s="7" t="s">
        <v>18</v>
      </c>
      <c r="D37" s="7" t="s">
        <v>13</v>
      </c>
      <c r="E37" s="7" t="s">
        <v>14</v>
      </c>
      <c r="F37" s="7" t="s">
        <v>20</v>
      </c>
      <c r="G37" s="1">
        <v>44957</v>
      </c>
      <c r="H37" s="7">
        <v>123</v>
      </c>
      <c r="I37" s="7">
        <v>273.52999999999997</v>
      </c>
      <c r="J37" s="7">
        <v>230.92</v>
      </c>
      <c r="K37" s="18">
        <f>$H37*$I37</f>
        <v>33644.189999999995</v>
      </c>
      <c r="L37" s="1">
        <f t="shared" si="0"/>
        <v>5241.0299999999979</v>
      </c>
    </row>
    <row r="38" spans="1:12" x14ac:dyDescent="0.25">
      <c r="A38" s="7" t="s">
        <v>60</v>
      </c>
      <c r="B38" s="7" t="s">
        <v>22</v>
      </c>
      <c r="C38" s="7" t="s">
        <v>12</v>
      </c>
      <c r="D38" s="7" t="s">
        <v>13</v>
      </c>
      <c r="E38" s="7" t="s">
        <v>14</v>
      </c>
      <c r="F38" s="7" t="s">
        <v>15</v>
      </c>
      <c r="G38" s="1">
        <v>44958</v>
      </c>
      <c r="H38" s="7">
        <v>49</v>
      </c>
      <c r="I38" s="7">
        <v>249.17</v>
      </c>
      <c r="J38" s="7">
        <v>192.78</v>
      </c>
      <c r="K38" s="18">
        <f>$H38*$I38</f>
        <v>12209.33</v>
      </c>
      <c r="L38" s="1">
        <f t="shared" si="0"/>
        <v>2763.1099999999992</v>
      </c>
    </row>
    <row r="39" spans="1:12" x14ac:dyDescent="0.25">
      <c r="A39" s="7" t="s">
        <v>61</v>
      </c>
      <c r="B39" s="7" t="s">
        <v>17</v>
      </c>
      <c r="C39" s="7" t="s">
        <v>31</v>
      </c>
      <c r="D39" s="7" t="s">
        <v>13</v>
      </c>
      <c r="E39" s="7" t="s">
        <v>14</v>
      </c>
      <c r="F39" s="7" t="s">
        <v>28</v>
      </c>
      <c r="G39" s="1">
        <v>44959</v>
      </c>
      <c r="H39" s="7">
        <v>310</v>
      </c>
      <c r="I39" s="7">
        <v>45.36</v>
      </c>
      <c r="J39" s="7">
        <v>126.86</v>
      </c>
      <c r="K39" s="18">
        <f>$H39*$I39</f>
        <v>14061.6</v>
      </c>
      <c r="L39" s="1">
        <f t="shared" si="0"/>
        <v>-25265</v>
      </c>
    </row>
    <row r="40" spans="1:12" x14ac:dyDescent="0.25">
      <c r="A40" s="7" t="s">
        <v>62</v>
      </c>
      <c r="B40" s="7" t="s">
        <v>48</v>
      </c>
      <c r="C40" s="7" t="s">
        <v>18</v>
      </c>
      <c r="D40" s="7" t="s">
        <v>23</v>
      </c>
      <c r="E40" s="7" t="s">
        <v>14</v>
      </c>
      <c r="F40" s="7" t="s">
        <v>20</v>
      </c>
      <c r="G40" s="1">
        <v>44960</v>
      </c>
      <c r="H40" s="7">
        <v>233</v>
      </c>
      <c r="I40" s="7">
        <v>204.61</v>
      </c>
      <c r="J40" s="7">
        <v>243.34</v>
      </c>
      <c r="K40" s="18">
        <f>$H40*$I40</f>
        <v>47674.130000000005</v>
      </c>
      <c r="L40" s="1">
        <f t="shared" si="0"/>
        <v>-9024.0899999999983</v>
      </c>
    </row>
    <row r="41" spans="1:12" x14ac:dyDescent="0.25">
      <c r="A41" s="7" t="s">
        <v>63</v>
      </c>
      <c r="B41" s="7" t="s">
        <v>48</v>
      </c>
      <c r="C41" s="7" t="s">
        <v>12</v>
      </c>
      <c r="D41" s="7" t="s">
        <v>19</v>
      </c>
      <c r="E41" s="7" t="s">
        <v>14</v>
      </c>
      <c r="F41" s="7" t="s">
        <v>15</v>
      </c>
      <c r="G41" s="1">
        <v>44961</v>
      </c>
      <c r="H41" s="7">
        <v>327</v>
      </c>
      <c r="I41" s="7">
        <v>114.18</v>
      </c>
      <c r="J41" s="7">
        <v>57.4</v>
      </c>
      <c r="K41" s="18">
        <f>$H41*$I41</f>
        <v>37336.86</v>
      </c>
      <c r="L41" s="1">
        <f t="shared" si="0"/>
        <v>18567.060000000001</v>
      </c>
    </row>
    <row r="42" spans="1:12" x14ac:dyDescent="0.25">
      <c r="A42" s="7" t="s">
        <v>64</v>
      </c>
      <c r="B42" s="7" t="s">
        <v>22</v>
      </c>
      <c r="C42" s="7" t="s">
        <v>12</v>
      </c>
      <c r="D42" s="7" t="s">
        <v>13</v>
      </c>
      <c r="E42" s="7" t="s">
        <v>14</v>
      </c>
      <c r="F42" s="7" t="s">
        <v>28</v>
      </c>
      <c r="G42" s="1">
        <v>44962</v>
      </c>
      <c r="H42" s="7">
        <v>358</v>
      </c>
      <c r="I42" s="7">
        <v>212.11</v>
      </c>
      <c r="J42" s="7">
        <v>359.51</v>
      </c>
      <c r="K42" s="18">
        <f>$H42*$I42</f>
        <v>75935.38</v>
      </c>
      <c r="L42" s="1">
        <f t="shared" si="0"/>
        <v>-52769.19999999999</v>
      </c>
    </row>
    <row r="43" spans="1:12" x14ac:dyDescent="0.25">
      <c r="A43" s="7" t="s">
        <v>65</v>
      </c>
      <c r="B43" s="7" t="s">
        <v>17</v>
      </c>
      <c r="C43" s="7" t="s">
        <v>31</v>
      </c>
      <c r="D43" s="7" t="s">
        <v>19</v>
      </c>
      <c r="E43" s="7" t="s">
        <v>14</v>
      </c>
      <c r="F43" s="7" t="s">
        <v>15</v>
      </c>
      <c r="G43" s="1">
        <v>44963</v>
      </c>
      <c r="H43" s="7">
        <v>124</v>
      </c>
      <c r="I43" s="7">
        <v>249.64</v>
      </c>
      <c r="J43" s="7">
        <v>332.07</v>
      </c>
      <c r="K43" s="18">
        <f>$H43*$I43</f>
        <v>30955.359999999997</v>
      </c>
      <c r="L43" s="1">
        <f t="shared" si="0"/>
        <v>-10221.320000000002</v>
      </c>
    </row>
    <row r="44" spans="1:12" x14ac:dyDescent="0.25">
      <c r="A44" s="7" t="s">
        <v>66</v>
      </c>
      <c r="B44" s="7" t="s">
        <v>22</v>
      </c>
      <c r="C44" s="7" t="s">
        <v>18</v>
      </c>
      <c r="D44" s="7" t="s">
        <v>23</v>
      </c>
      <c r="E44" s="7" t="s">
        <v>14</v>
      </c>
      <c r="F44" s="7" t="s">
        <v>28</v>
      </c>
      <c r="G44" s="1">
        <v>44964</v>
      </c>
      <c r="H44" s="7">
        <v>195</v>
      </c>
      <c r="I44" s="7">
        <v>421.02</v>
      </c>
      <c r="J44" s="7">
        <v>128.38</v>
      </c>
      <c r="K44" s="18">
        <f>$H44*$I44</f>
        <v>82098.899999999994</v>
      </c>
      <c r="L44" s="1">
        <f t="shared" si="0"/>
        <v>57064.799999999996</v>
      </c>
    </row>
    <row r="45" spans="1:12" x14ac:dyDescent="0.25">
      <c r="A45" s="7" t="s">
        <v>67</v>
      </c>
      <c r="B45" s="7" t="s">
        <v>22</v>
      </c>
      <c r="C45" s="7" t="s">
        <v>31</v>
      </c>
      <c r="D45" s="7" t="s">
        <v>23</v>
      </c>
      <c r="E45" s="7" t="s">
        <v>14</v>
      </c>
      <c r="F45" s="7" t="s">
        <v>15</v>
      </c>
      <c r="G45" s="1">
        <v>44965</v>
      </c>
      <c r="H45" s="7">
        <v>255.9</v>
      </c>
      <c r="I45" s="7">
        <v>91.23</v>
      </c>
      <c r="J45" s="7">
        <v>381.21</v>
      </c>
      <c r="K45" s="18">
        <f>$H45*$I45</f>
        <v>23345.757000000001</v>
      </c>
      <c r="L45" s="1">
        <f t="shared" si="0"/>
        <v>-74205.881999999998</v>
      </c>
    </row>
    <row r="46" spans="1:12" x14ac:dyDescent="0.25">
      <c r="A46" s="7" t="s">
        <v>68</v>
      </c>
      <c r="B46" s="7" t="s">
        <v>11</v>
      </c>
      <c r="C46" s="7" t="s">
        <v>18</v>
      </c>
      <c r="D46" s="7" t="s">
        <v>19</v>
      </c>
      <c r="E46" s="7" t="s">
        <v>24</v>
      </c>
      <c r="F46" s="7" t="s">
        <v>15</v>
      </c>
      <c r="G46" s="1">
        <v>44966</v>
      </c>
      <c r="H46" s="7">
        <v>65</v>
      </c>
      <c r="I46" s="7">
        <v>480.59</v>
      </c>
      <c r="J46" s="7">
        <v>330.43</v>
      </c>
      <c r="K46" s="18">
        <f>$H46*$I46</f>
        <v>31238.35</v>
      </c>
      <c r="L46" s="1">
        <f t="shared" si="0"/>
        <v>9760.3999999999978</v>
      </c>
    </row>
    <row r="47" spans="1:12" x14ac:dyDescent="0.25">
      <c r="A47" s="7" t="s">
        <v>69</v>
      </c>
      <c r="B47" s="7" t="s">
        <v>11</v>
      </c>
      <c r="C47" s="7" t="s">
        <v>50</v>
      </c>
      <c r="D47" s="7" t="s">
        <v>42</v>
      </c>
      <c r="E47" s="7" t="s">
        <v>24</v>
      </c>
      <c r="F47" s="7" t="s">
        <v>20</v>
      </c>
      <c r="G47" s="1">
        <v>44967</v>
      </c>
      <c r="H47" s="7">
        <v>49</v>
      </c>
      <c r="I47" s="7">
        <v>210.87</v>
      </c>
      <c r="J47" s="7">
        <v>267.19</v>
      </c>
      <c r="K47" s="18">
        <f>$H47*$I47</f>
        <v>10332.630000000001</v>
      </c>
      <c r="L47" s="1">
        <f t="shared" si="0"/>
        <v>-2759.68</v>
      </c>
    </row>
    <row r="48" spans="1:12" x14ac:dyDescent="0.25">
      <c r="A48" s="7" t="s">
        <v>70</v>
      </c>
      <c r="B48" s="7" t="s">
        <v>11</v>
      </c>
      <c r="C48" s="7" t="s">
        <v>26</v>
      </c>
      <c r="D48" s="7" t="s">
        <v>27</v>
      </c>
      <c r="E48" s="7" t="s">
        <v>14</v>
      </c>
      <c r="F48" s="7" t="s">
        <v>15</v>
      </c>
      <c r="G48" s="1">
        <v>44968</v>
      </c>
      <c r="H48" s="7">
        <v>363</v>
      </c>
      <c r="I48" s="7">
        <v>423.89</v>
      </c>
      <c r="J48" s="7">
        <v>50.46</v>
      </c>
      <c r="K48" s="18">
        <f>$H48*$I48</f>
        <v>153872.07</v>
      </c>
      <c r="L48" s="1">
        <f t="shared" si="0"/>
        <v>135555.09</v>
      </c>
    </row>
    <row r="49" spans="1:12" x14ac:dyDescent="0.25">
      <c r="A49" s="7" t="s">
        <v>71</v>
      </c>
      <c r="B49" s="7" t="s">
        <v>48</v>
      </c>
      <c r="C49" s="7" t="s">
        <v>26</v>
      </c>
      <c r="D49" s="7" t="s">
        <v>42</v>
      </c>
      <c r="E49" s="7" t="s">
        <v>24</v>
      </c>
      <c r="F49" s="7" t="s">
        <v>28</v>
      </c>
      <c r="G49" s="1">
        <v>44969</v>
      </c>
      <c r="H49" s="7">
        <v>49</v>
      </c>
      <c r="I49" s="7">
        <v>316.24</v>
      </c>
      <c r="J49" s="7">
        <v>192.34</v>
      </c>
      <c r="K49" s="18">
        <f>$H49*$I49</f>
        <v>15495.76</v>
      </c>
      <c r="L49" s="1">
        <f t="shared" si="0"/>
        <v>6071.1</v>
      </c>
    </row>
    <row r="50" spans="1:12" x14ac:dyDescent="0.25">
      <c r="A50" s="7" t="s">
        <v>72</v>
      </c>
      <c r="B50" s="7" t="s">
        <v>17</v>
      </c>
      <c r="C50" s="7" t="s">
        <v>26</v>
      </c>
      <c r="D50" s="7" t="s">
        <v>42</v>
      </c>
      <c r="E50" s="7" t="s">
        <v>24</v>
      </c>
      <c r="F50" s="7" t="s">
        <v>28</v>
      </c>
      <c r="G50" s="1">
        <v>44970</v>
      </c>
      <c r="H50" s="7">
        <v>356</v>
      </c>
      <c r="I50" s="7">
        <v>369</v>
      </c>
      <c r="J50" s="7">
        <v>203.43</v>
      </c>
      <c r="K50" s="18">
        <f>$H50*$I50</f>
        <v>131364</v>
      </c>
      <c r="L50" s="1">
        <f t="shared" si="0"/>
        <v>58942.92</v>
      </c>
    </row>
    <row r="51" spans="1:12" x14ac:dyDescent="0.25">
      <c r="A51" s="7" t="s">
        <v>73</v>
      </c>
      <c r="B51" s="7" t="s">
        <v>17</v>
      </c>
      <c r="C51" s="7" t="s">
        <v>31</v>
      </c>
      <c r="D51" s="7" t="s">
        <v>42</v>
      </c>
      <c r="E51" s="7" t="s">
        <v>14</v>
      </c>
      <c r="F51" s="7" t="s">
        <v>20</v>
      </c>
      <c r="G51" s="1">
        <v>44971</v>
      </c>
      <c r="H51" s="7">
        <v>470</v>
      </c>
      <c r="I51" s="7">
        <v>249.64</v>
      </c>
      <c r="J51" s="7">
        <v>94.56</v>
      </c>
      <c r="K51" s="18">
        <f>$H51*$I51</f>
        <v>117330.79999999999</v>
      </c>
      <c r="L51" s="1">
        <f t="shared" si="0"/>
        <v>72887.599999999991</v>
      </c>
    </row>
    <row r="52" spans="1:12" x14ac:dyDescent="0.25">
      <c r="A52" s="7" t="s">
        <v>74</v>
      </c>
      <c r="B52" s="7" t="s">
        <v>17</v>
      </c>
      <c r="C52" s="7" t="s">
        <v>50</v>
      </c>
      <c r="D52" s="7" t="s">
        <v>13</v>
      </c>
      <c r="E52" s="7" t="s">
        <v>14</v>
      </c>
      <c r="F52" s="7" t="s">
        <v>28</v>
      </c>
      <c r="G52" s="1">
        <v>44972</v>
      </c>
      <c r="H52" s="7">
        <v>246</v>
      </c>
      <c r="I52" s="7">
        <v>254.9</v>
      </c>
      <c r="J52" s="7">
        <v>33.83</v>
      </c>
      <c r="K52" s="18">
        <f>$H52*$I52</f>
        <v>62705.4</v>
      </c>
      <c r="L52" s="1">
        <f t="shared" si="0"/>
        <v>54383.22</v>
      </c>
    </row>
    <row r="53" spans="1:12" x14ac:dyDescent="0.25">
      <c r="A53" s="7" t="s">
        <v>75</v>
      </c>
      <c r="B53" s="7" t="s">
        <v>17</v>
      </c>
      <c r="C53" s="7" t="s">
        <v>18</v>
      </c>
      <c r="D53" s="7" t="s">
        <v>23</v>
      </c>
      <c r="E53" s="7" t="s">
        <v>14</v>
      </c>
      <c r="F53" s="7" t="s">
        <v>28</v>
      </c>
      <c r="G53" s="1">
        <v>44973</v>
      </c>
      <c r="H53" s="7">
        <v>298</v>
      </c>
      <c r="I53" s="7">
        <v>273.93</v>
      </c>
      <c r="J53" s="7">
        <v>311.14</v>
      </c>
      <c r="K53" s="18">
        <f>$H53*$I53</f>
        <v>81631.14</v>
      </c>
      <c r="L53" s="1">
        <f t="shared" si="0"/>
        <v>-11088.579999999994</v>
      </c>
    </row>
    <row r="54" spans="1:12" x14ac:dyDescent="0.25">
      <c r="A54" s="7" t="s">
        <v>76</v>
      </c>
      <c r="B54" s="7" t="s">
        <v>11</v>
      </c>
      <c r="C54" s="7" t="s">
        <v>12</v>
      </c>
      <c r="D54" s="7" t="s">
        <v>42</v>
      </c>
      <c r="E54" s="7" t="s">
        <v>24</v>
      </c>
      <c r="F54" s="7" t="s">
        <v>28</v>
      </c>
      <c r="G54" s="1">
        <v>44974</v>
      </c>
      <c r="H54" s="7">
        <v>271</v>
      </c>
      <c r="I54" s="7">
        <v>259.43</v>
      </c>
      <c r="J54" s="7">
        <v>50.57</v>
      </c>
      <c r="K54" s="18">
        <f>$H54*$I54</f>
        <v>70305.53</v>
      </c>
      <c r="L54" s="1">
        <f t="shared" si="0"/>
        <v>56601.060000000005</v>
      </c>
    </row>
    <row r="55" spans="1:12" x14ac:dyDescent="0.25">
      <c r="A55" s="7" t="s">
        <v>77</v>
      </c>
      <c r="B55" s="7" t="s">
        <v>48</v>
      </c>
      <c r="C55" s="7" t="s">
        <v>18</v>
      </c>
      <c r="D55" s="7" t="s">
        <v>23</v>
      </c>
      <c r="E55" s="7" t="s">
        <v>24</v>
      </c>
      <c r="F55" s="7" t="s">
        <v>15</v>
      </c>
      <c r="G55" s="1">
        <v>44975</v>
      </c>
      <c r="H55" s="7">
        <v>225</v>
      </c>
      <c r="I55" s="7">
        <v>296.08999999999997</v>
      </c>
      <c r="J55" s="7">
        <v>238.53</v>
      </c>
      <c r="K55" s="18">
        <f>$H55*$I55</f>
        <v>66620.25</v>
      </c>
      <c r="L55" s="1">
        <f t="shared" si="0"/>
        <v>12950.999999999995</v>
      </c>
    </row>
    <row r="56" spans="1:12" x14ac:dyDescent="0.25">
      <c r="A56" s="7" t="s">
        <v>78</v>
      </c>
      <c r="B56" s="7" t="s">
        <v>48</v>
      </c>
      <c r="C56" s="7" t="s">
        <v>12</v>
      </c>
      <c r="D56" s="7" t="s">
        <v>19</v>
      </c>
      <c r="E56" s="7" t="s">
        <v>14</v>
      </c>
      <c r="F56" s="7" t="s">
        <v>15</v>
      </c>
      <c r="G56" s="1">
        <v>44976</v>
      </c>
      <c r="H56" s="7">
        <v>156</v>
      </c>
      <c r="I56" s="7">
        <v>19.55</v>
      </c>
      <c r="J56" s="7">
        <v>374.71</v>
      </c>
      <c r="K56" s="18">
        <f>$H56*$I56</f>
        <v>3049.8</v>
      </c>
      <c r="L56" s="1">
        <f t="shared" si="0"/>
        <v>-55404.959999999992</v>
      </c>
    </row>
    <row r="57" spans="1:12" x14ac:dyDescent="0.25">
      <c r="A57" s="7" t="s">
        <v>79</v>
      </c>
      <c r="B57" s="7" t="s">
        <v>11</v>
      </c>
      <c r="C57" s="7" t="s">
        <v>18</v>
      </c>
      <c r="D57" s="7" t="s">
        <v>27</v>
      </c>
      <c r="E57" s="7" t="s">
        <v>14</v>
      </c>
      <c r="F57" s="7" t="s">
        <v>28</v>
      </c>
      <c r="G57" s="1">
        <v>44977</v>
      </c>
      <c r="H57" s="7">
        <v>345</v>
      </c>
      <c r="I57" s="7">
        <v>200.78</v>
      </c>
      <c r="J57" s="7">
        <v>350.69</v>
      </c>
      <c r="K57" s="18">
        <f>$H57*$I57</f>
        <v>69269.100000000006</v>
      </c>
      <c r="L57" s="1">
        <f t="shared" si="0"/>
        <v>-51718.95</v>
      </c>
    </row>
    <row r="58" spans="1:12" x14ac:dyDescent="0.25">
      <c r="A58" s="7" t="s">
        <v>80</v>
      </c>
      <c r="B58" s="7" t="s">
        <v>48</v>
      </c>
      <c r="C58" s="7" t="s">
        <v>50</v>
      </c>
      <c r="D58" s="7" t="s">
        <v>19</v>
      </c>
      <c r="E58" s="7" t="s">
        <v>14</v>
      </c>
      <c r="F58" s="7" t="s">
        <v>20</v>
      </c>
      <c r="G58" s="1">
        <v>44978</v>
      </c>
      <c r="H58" s="7">
        <v>177</v>
      </c>
      <c r="I58" s="7">
        <v>305.06</v>
      </c>
      <c r="J58" s="7">
        <v>112.55</v>
      </c>
      <c r="K58" s="18">
        <f>$H58*$I58</f>
        <v>53995.62</v>
      </c>
      <c r="L58" s="1">
        <f t="shared" si="0"/>
        <v>34074.269999999997</v>
      </c>
    </row>
    <row r="59" spans="1:12" x14ac:dyDescent="0.25">
      <c r="A59" s="7" t="s">
        <v>81</v>
      </c>
      <c r="B59" s="7" t="s">
        <v>11</v>
      </c>
      <c r="C59" s="7" t="s">
        <v>12</v>
      </c>
      <c r="D59" s="7" t="s">
        <v>19</v>
      </c>
      <c r="E59" s="7" t="s">
        <v>24</v>
      </c>
      <c r="F59" s="7" t="s">
        <v>15</v>
      </c>
      <c r="G59" s="1">
        <v>44979</v>
      </c>
      <c r="H59" s="7">
        <v>101</v>
      </c>
      <c r="I59" s="7">
        <v>300.87</v>
      </c>
      <c r="J59" s="7">
        <v>340.88</v>
      </c>
      <c r="K59" s="18">
        <f>$H59*$I59</f>
        <v>30387.87</v>
      </c>
      <c r="L59" s="1">
        <f t="shared" si="0"/>
        <v>-4041.0099999999993</v>
      </c>
    </row>
    <row r="60" spans="1:12" x14ac:dyDescent="0.25">
      <c r="A60" s="7" t="s">
        <v>82</v>
      </c>
      <c r="B60" s="7" t="s">
        <v>17</v>
      </c>
      <c r="C60" s="7" t="s">
        <v>31</v>
      </c>
      <c r="D60" s="7" t="s">
        <v>13</v>
      </c>
      <c r="E60" s="7" t="s">
        <v>24</v>
      </c>
      <c r="F60" s="7" t="s">
        <v>20</v>
      </c>
      <c r="G60" s="1">
        <v>44980</v>
      </c>
      <c r="H60" s="7">
        <v>362</v>
      </c>
      <c r="I60" s="7">
        <v>397.51</v>
      </c>
      <c r="J60" s="7">
        <v>2.13</v>
      </c>
      <c r="K60" s="18">
        <f>$H60*$I60</f>
        <v>143898.62</v>
      </c>
      <c r="L60" s="1">
        <f t="shared" si="0"/>
        <v>143127.56</v>
      </c>
    </row>
    <row r="61" spans="1:12" x14ac:dyDescent="0.25">
      <c r="A61" s="7" t="s">
        <v>83</v>
      </c>
      <c r="B61" s="7" t="s">
        <v>11</v>
      </c>
      <c r="C61" s="7" t="s">
        <v>18</v>
      </c>
      <c r="D61" s="7" t="s">
        <v>27</v>
      </c>
      <c r="E61" s="7" t="s">
        <v>24</v>
      </c>
      <c r="F61" s="7" t="s">
        <v>28</v>
      </c>
      <c r="G61" s="1">
        <v>44981</v>
      </c>
      <c r="H61" s="7">
        <v>68</v>
      </c>
      <c r="I61" s="7">
        <v>329.23</v>
      </c>
      <c r="J61" s="7">
        <v>9.0399999999999991</v>
      </c>
      <c r="K61" s="18">
        <f>$H61*$I61</f>
        <v>22387.64</v>
      </c>
      <c r="L61" s="1">
        <f t="shared" si="0"/>
        <v>21772.92</v>
      </c>
    </row>
    <row r="62" spans="1:12" x14ac:dyDescent="0.25">
      <c r="A62" s="7" t="s">
        <v>84</v>
      </c>
      <c r="B62" s="7" t="s">
        <v>17</v>
      </c>
      <c r="C62" s="7" t="s">
        <v>18</v>
      </c>
      <c r="D62" s="7" t="s">
        <v>19</v>
      </c>
      <c r="E62" s="7" t="s">
        <v>24</v>
      </c>
      <c r="F62" s="7" t="s">
        <v>28</v>
      </c>
      <c r="G62" s="1">
        <v>44982</v>
      </c>
      <c r="H62" s="7">
        <v>68</v>
      </c>
      <c r="I62" s="7">
        <v>496.11</v>
      </c>
      <c r="J62" s="7">
        <v>241.82</v>
      </c>
      <c r="K62" s="18">
        <f>$H62*$I62</f>
        <v>33735.480000000003</v>
      </c>
      <c r="L62" s="1">
        <f t="shared" si="0"/>
        <v>17291.72</v>
      </c>
    </row>
    <row r="63" spans="1:12" x14ac:dyDescent="0.25">
      <c r="A63" s="7" t="s">
        <v>85</v>
      </c>
      <c r="B63" s="7" t="s">
        <v>17</v>
      </c>
      <c r="C63" s="7" t="s">
        <v>12</v>
      </c>
      <c r="D63" s="7" t="s">
        <v>19</v>
      </c>
      <c r="E63" s="7" t="s">
        <v>14</v>
      </c>
      <c r="F63" s="7" t="s">
        <v>15</v>
      </c>
      <c r="G63" s="1">
        <v>44983</v>
      </c>
      <c r="H63" s="7">
        <v>313</v>
      </c>
      <c r="I63" s="7">
        <v>145.51</v>
      </c>
      <c r="J63" s="7">
        <v>147.19</v>
      </c>
      <c r="K63" s="18">
        <f>$H63*$I63</f>
        <v>45544.63</v>
      </c>
      <c r="L63" s="1">
        <f t="shared" si="0"/>
        <v>-525.84000000000219</v>
      </c>
    </row>
    <row r="64" spans="1:12" x14ac:dyDescent="0.25">
      <c r="A64" s="7" t="s">
        <v>86</v>
      </c>
      <c r="B64" s="7" t="s">
        <v>22</v>
      </c>
      <c r="C64" s="7" t="s">
        <v>31</v>
      </c>
      <c r="D64" s="7" t="s">
        <v>27</v>
      </c>
      <c r="E64" s="7" t="s">
        <v>14</v>
      </c>
      <c r="F64" s="7" t="s">
        <v>28</v>
      </c>
      <c r="G64" s="1">
        <v>44984</v>
      </c>
      <c r="H64" s="7">
        <v>178</v>
      </c>
      <c r="I64" s="7">
        <v>182.78</v>
      </c>
      <c r="J64" s="7">
        <v>155.81</v>
      </c>
      <c r="K64" s="18">
        <f>$H64*$I64</f>
        <v>32534.84</v>
      </c>
      <c r="L64" s="1">
        <f t="shared" si="0"/>
        <v>4800.66</v>
      </c>
    </row>
    <row r="65" spans="1:12" x14ac:dyDescent="0.25">
      <c r="A65" s="7" t="s">
        <v>87</v>
      </c>
      <c r="B65" s="7" t="s">
        <v>11</v>
      </c>
      <c r="C65" s="7" t="s">
        <v>31</v>
      </c>
      <c r="D65" s="7" t="s">
        <v>27</v>
      </c>
      <c r="E65" s="7" t="s">
        <v>14</v>
      </c>
      <c r="F65" s="7" t="s">
        <v>15</v>
      </c>
      <c r="G65" s="1">
        <v>44985</v>
      </c>
      <c r="H65" s="7">
        <v>278</v>
      </c>
      <c r="I65" s="7">
        <v>195</v>
      </c>
      <c r="J65" s="7">
        <v>226.65</v>
      </c>
      <c r="K65" s="18">
        <f>$H65*$I65</f>
        <v>54210</v>
      </c>
      <c r="L65" s="1">
        <f t="shared" si="0"/>
        <v>-8798.7000000000007</v>
      </c>
    </row>
    <row r="66" spans="1:12" x14ac:dyDescent="0.25">
      <c r="A66" s="7" t="s">
        <v>88</v>
      </c>
      <c r="B66" s="7" t="s">
        <v>22</v>
      </c>
      <c r="C66" s="7" t="s">
        <v>50</v>
      </c>
      <c r="D66" s="7" t="s">
        <v>19</v>
      </c>
      <c r="E66" s="7" t="s">
        <v>14</v>
      </c>
      <c r="F66" s="7" t="s">
        <v>28</v>
      </c>
      <c r="G66" s="1">
        <v>44986</v>
      </c>
      <c r="H66" s="7">
        <v>372</v>
      </c>
      <c r="I66" s="7">
        <v>235.58</v>
      </c>
      <c r="J66" s="7">
        <v>78.33</v>
      </c>
      <c r="K66" s="18">
        <f>$H66*$I66</f>
        <v>87635.760000000009</v>
      </c>
      <c r="L66" s="1">
        <f t="shared" si="0"/>
        <v>58497</v>
      </c>
    </row>
    <row r="67" spans="1:12" x14ac:dyDescent="0.25">
      <c r="A67" s="7" t="s">
        <v>89</v>
      </c>
      <c r="B67" s="7" t="s">
        <v>11</v>
      </c>
      <c r="C67" s="7" t="s">
        <v>31</v>
      </c>
      <c r="D67" s="7" t="s">
        <v>27</v>
      </c>
      <c r="E67" s="7" t="s">
        <v>24</v>
      </c>
      <c r="F67" s="7" t="s">
        <v>28</v>
      </c>
      <c r="G67" s="1">
        <v>44987</v>
      </c>
      <c r="H67" s="7">
        <v>54</v>
      </c>
      <c r="I67" s="7">
        <v>418.82</v>
      </c>
      <c r="J67" s="7">
        <v>86.28</v>
      </c>
      <c r="K67" s="18">
        <f>$H67*$I67</f>
        <v>22616.28</v>
      </c>
      <c r="L67" s="1">
        <f t="shared" si="0"/>
        <v>17957.159999999996</v>
      </c>
    </row>
    <row r="68" spans="1:12" x14ac:dyDescent="0.25">
      <c r="A68" s="7" t="s">
        <v>90</v>
      </c>
      <c r="B68" s="7" t="s">
        <v>11</v>
      </c>
      <c r="C68" s="7" t="s">
        <v>31</v>
      </c>
      <c r="D68" s="7" t="s">
        <v>19</v>
      </c>
      <c r="E68" s="7" t="s">
        <v>24</v>
      </c>
      <c r="F68" s="7" t="s">
        <v>15</v>
      </c>
      <c r="G68" s="1">
        <v>44988</v>
      </c>
      <c r="H68" s="7">
        <v>354</v>
      </c>
      <c r="I68" s="7">
        <v>121.72</v>
      </c>
      <c r="J68" s="7">
        <v>194.87</v>
      </c>
      <c r="K68" s="18">
        <f>$H68*$I68</f>
        <v>43088.88</v>
      </c>
      <c r="L68" s="1">
        <f t="shared" si="0"/>
        <v>-25895.100000000002</v>
      </c>
    </row>
    <row r="69" spans="1:12" x14ac:dyDescent="0.25">
      <c r="A69" s="7" t="s">
        <v>91</v>
      </c>
      <c r="B69" s="7" t="s">
        <v>22</v>
      </c>
      <c r="C69" s="7" t="s">
        <v>31</v>
      </c>
      <c r="D69" s="7" t="s">
        <v>19</v>
      </c>
      <c r="E69" s="7" t="s">
        <v>14</v>
      </c>
      <c r="F69" s="7" t="s">
        <v>15</v>
      </c>
      <c r="G69" s="1">
        <v>44989</v>
      </c>
      <c r="H69" s="7">
        <v>190</v>
      </c>
      <c r="I69" s="7">
        <v>389.12</v>
      </c>
      <c r="J69" s="7">
        <v>302.19</v>
      </c>
      <c r="K69" s="18">
        <f>$H69*$I69</f>
        <v>73932.800000000003</v>
      </c>
      <c r="L69" s="1">
        <f t="shared" si="0"/>
        <v>16516.7</v>
      </c>
    </row>
    <row r="70" spans="1:12" x14ac:dyDescent="0.25">
      <c r="A70" s="7" t="s">
        <v>92</v>
      </c>
      <c r="B70" s="7" t="s">
        <v>22</v>
      </c>
      <c r="C70" s="7" t="s">
        <v>26</v>
      </c>
      <c r="D70" s="7" t="s">
        <v>13</v>
      </c>
      <c r="E70" s="7" t="s">
        <v>14</v>
      </c>
      <c r="F70" s="7" t="s">
        <v>15</v>
      </c>
      <c r="G70" s="1">
        <v>44990</v>
      </c>
      <c r="H70" s="7">
        <v>179</v>
      </c>
      <c r="I70" s="7">
        <v>205.63</v>
      </c>
      <c r="J70" s="7">
        <v>248.56</v>
      </c>
      <c r="K70" s="18">
        <f>$H70*$I70</f>
        <v>36807.769999999997</v>
      </c>
      <c r="L70" s="1">
        <f t="shared" si="0"/>
        <v>-7684.4700000000012</v>
      </c>
    </row>
    <row r="71" spans="1:12" x14ac:dyDescent="0.25">
      <c r="A71" s="7" t="s">
        <v>93</v>
      </c>
      <c r="B71" s="7" t="s">
        <v>11</v>
      </c>
      <c r="C71" s="7" t="s">
        <v>50</v>
      </c>
      <c r="D71" s="7" t="s">
        <v>42</v>
      </c>
      <c r="E71" s="7" t="s">
        <v>24</v>
      </c>
      <c r="F71" s="7" t="s">
        <v>28</v>
      </c>
      <c r="G71" s="1">
        <v>44991</v>
      </c>
      <c r="H71" s="7">
        <v>365</v>
      </c>
      <c r="I71" s="7">
        <v>302.92</v>
      </c>
      <c r="J71" s="7">
        <v>120.35</v>
      </c>
      <c r="K71" s="18">
        <f>$H71*$I71</f>
        <v>110565.8</v>
      </c>
      <c r="L71" s="1">
        <f t="shared" si="0"/>
        <v>66638.05</v>
      </c>
    </row>
    <row r="72" spans="1:12" x14ac:dyDescent="0.25">
      <c r="A72" s="7" t="s">
        <v>94</v>
      </c>
      <c r="B72" s="7" t="s">
        <v>48</v>
      </c>
      <c r="C72" s="7" t="s">
        <v>18</v>
      </c>
      <c r="D72" s="7" t="s">
        <v>19</v>
      </c>
      <c r="E72" s="7" t="s">
        <v>14</v>
      </c>
      <c r="F72" s="7" t="s">
        <v>28</v>
      </c>
      <c r="G72" s="1">
        <v>44992</v>
      </c>
      <c r="H72" s="7">
        <v>200</v>
      </c>
      <c r="I72" s="7">
        <v>318.11</v>
      </c>
      <c r="J72" s="7">
        <v>173.27</v>
      </c>
      <c r="K72" s="18">
        <f>$H72*$I72</f>
        <v>63622</v>
      </c>
      <c r="L72" s="1">
        <f t="shared" ref="L72:L135" si="1">($I72-$J72)*$H72</f>
        <v>28968</v>
      </c>
    </row>
    <row r="73" spans="1:12" x14ac:dyDescent="0.25">
      <c r="A73" s="7" t="s">
        <v>95</v>
      </c>
      <c r="B73" s="7" t="s">
        <v>17</v>
      </c>
      <c r="C73" s="7" t="s">
        <v>12</v>
      </c>
      <c r="D73" s="7" t="s">
        <v>23</v>
      </c>
      <c r="E73" s="7" t="s">
        <v>24</v>
      </c>
      <c r="F73" s="7" t="s">
        <v>20</v>
      </c>
      <c r="G73" s="1">
        <v>44993</v>
      </c>
      <c r="H73" s="7">
        <v>164</v>
      </c>
      <c r="I73" s="7">
        <v>189.56</v>
      </c>
      <c r="J73" s="7">
        <v>69.92</v>
      </c>
      <c r="K73" s="18">
        <f>$H73*$I73</f>
        <v>31087.84</v>
      </c>
      <c r="L73" s="1">
        <f t="shared" si="1"/>
        <v>19620.96</v>
      </c>
    </row>
    <row r="74" spans="1:12" x14ac:dyDescent="0.25">
      <c r="A74" s="7" t="s">
        <v>96</v>
      </c>
      <c r="B74" s="7" t="s">
        <v>22</v>
      </c>
      <c r="C74" s="7" t="s">
        <v>18</v>
      </c>
      <c r="D74" s="7" t="s">
        <v>42</v>
      </c>
      <c r="E74" s="7" t="s">
        <v>14</v>
      </c>
      <c r="F74" s="7" t="s">
        <v>15</v>
      </c>
      <c r="G74" s="1">
        <v>44994</v>
      </c>
      <c r="H74" s="7">
        <v>431</v>
      </c>
      <c r="I74" s="7">
        <v>258.74</v>
      </c>
      <c r="J74" s="7">
        <v>31.7</v>
      </c>
      <c r="K74" s="18">
        <f>$H74*$I74</f>
        <v>111516.94</v>
      </c>
      <c r="L74" s="1">
        <f t="shared" si="1"/>
        <v>97854.24</v>
      </c>
    </row>
    <row r="75" spans="1:12" x14ac:dyDescent="0.25">
      <c r="A75" s="7" t="s">
        <v>97</v>
      </c>
      <c r="B75" s="7" t="s">
        <v>17</v>
      </c>
      <c r="C75" s="7" t="s">
        <v>50</v>
      </c>
      <c r="D75" s="7" t="s">
        <v>42</v>
      </c>
      <c r="E75" s="7" t="s">
        <v>14</v>
      </c>
      <c r="F75" s="7" t="s">
        <v>28</v>
      </c>
      <c r="G75" s="1">
        <v>44995</v>
      </c>
      <c r="H75" s="7">
        <v>197</v>
      </c>
      <c r="I75" s="7">
        <v>209.45</v>
      </c>
      <c r="J75" s="7">
        <v>313.51</v>
      </c>
      <c r="K75" s="18">
        <f>$H75*$I75</f>
        <v>41261.649999999994</v>
      </c>
      <c r="L75" s="1">
        <f t="shared" si="1"/>
        <v>-20499.82</v>
      </c>
    </row>
    <row r="76" spans="1:12" x14ac:dyDescent="0.25">
      <c r="A76" s="7" t="s">
        <v>98</v>
      </c>
      <c r="B76" s="7" t="s">
        <v>48</v>
      </c>
      <c r="C76" s="7" t="s">
        <v>12</v>
      </c>
      <c r="D76" s="7" t="s">
        <v>42</v>
      </c>
      <c r="E76" s="7" t="s">
        <v>14</v>
      </c>
      <c r="F76" s="7" t="s">
        <v>28</v>
      </c>
      <c r="G76" s="1">
        <v>44996</v>
      </c>
      <c r="H76" s="7">
        <v>16</v>
      </c>
      <c r="I76" s="7">
        <v>39.22</v>
      </c>
      <c r="J76" s="7">
        <v>107.62</v>
      </c>
      <c r="K76" s="18">
        <f>$H76*$I76</f>
        <v>627.52</v>
      </c>
      <c r="L76" s="1">
        <f t="shared" si="1"/>
        <v>-1094.4000000000001</v>
      </c>
    </row>
    <row r="77" spans="1:12" x14ac:dyDescent="0.25">
      <c r="A77" s="7" t="s">
        <v>99</v>
      </c>
      <c r="B77" s="7" t="s">
        <v>48</v>
      </c>
      <c r="C77" s="7" t="s">
        <v>50</v>
      </c>
      <c r="D77" s="7" t="s">
        <v>13</v>
      </c>
      <c r="E77" s="7" t="s">
        <v>14</v>
      </c>
      <c r="F77" s="7" t="s">
        <v>15</v>
      </c>
      <c r="G77" s="1">
        <v>44997</v>
      </c>
      <c r="H77" s="7">
        <v>142</v>
      </c>
      <c r="I77" s="7">
        <v>221.4</v>
      </c>
      <c r="J77" s="7">
        <v>72.75</v>
      </c>
      <c r="K77" s="18">
        <f>$H77*$I77</f>
        <v>31438.799999999999</v>
      </c>
      <c r="L77" s="1">
        <f t="shared" si="1"/>
        <v>21108.3</v>
      </c>
    </row>
    <row r="78" spans="1:12" x14ac:dyDescent="0.25">
      <c r="A78" s="7" t="s">
        <v>100</v>
      </c>
      <c r="B78" s="7" t="s">
        <v>48</v>
      </c>
      <c r="C78" s="7" t="s">
        <v>31</v>
      </c>
      <c r="D78" s="7" t="s">
        <v>19</v>
      </c>
      <c r="E78" s="7" t="s">
        <v>14</v>
      </c>
      <c r="F78" s="7" t="s">
        <v>20</v>
      </c>
      <c r="G78" s="1">
        <v>44998</v>
      </c>
      <c r="H78" s="7">
        <v>244</v>
      </c>
      <c r="I78" s="7">
        <v>53.21</v>
      </c>
      <c r="J78" s="7">
        <v>277.26</v>
      </c>
      <c r="K78" s="18">
        <f>$H78*$I78</f>
        <v>12983.24</v>
      </c>
      <c r="L78" s="1">
        <f t="shared" si="1"/>
        <v>-54668.2</v>
      </c>
    </row>
    <row r="79" spans="1:12" x14ac:dyDescent="0.25">
      <c r="A79" s="7" t="s">
        <v>101</v>
      </c>
      <c r="B79" s="7" t="s">
        <v>22</v>
      </c>
      <c r="C79" s="7" t="s">
        <v>12</v>
      </c>
      <c r="D79" s="7" t="s">
        <v>13</v>
      </c>
      <c r="E79" s="7" t="s">
        <v>14</v>
      </c>
      <c r="F79" s="7" t="s">
        <v>15</v>
      </c>
      <c r="G79" s="1">
        <v>44999</v>
      </c>
      <c r="H79" s="7">
        <v>54</v>
      </c>
      <c r="I79" s="7">
        <v>205.49</v>
      </c>
      <c r="J79" s="7">
        <v>247.98</v>
      </c>
      <c r="K79" s="18">
        <f>$H79*$I79</f>
        <v>11096.460000000001</v>
      </c>
      <c r="L79" s="1">
        <f t="shared" si="1"/>
        <v>-2294.4599999999991</v>
      </c>
    </row>
    <row r="80" spans="1:12" x14ac:dyDescent="0.25">
      <c r="A80" s="7" t="s">
        <v>102</v>
      </c>
      <c r="B80" s="7" t="s">
        <v>48</v>
      </c>
      <c r="C80" s="7" t="s">
        <v>31</v>
      </c>
      <c r="D80" s="7" t="s">
        <v>19</v>
      </c>
      <c r="E80" s="7" t="s">
        <v>14</v>
      </c>
      <c r="F80" s="7" t="s">
        <v>20</v>
      </c>
      <c r="G80" s="1">
        <v>45000</v>
      </c>
      <c r="H80" s="7">
        <v>323</v>
      </c>
      <c r="I80" s="7">
        <v>298.49</v>
      </c>
      <c r="J80" s="7">
        <v>254.01</v>
      </c>
      <c r="K80" s="18">
        <f>$H80*$I80</f>
        <v>96412.27</v>
      </c>
      <c r="L80" s="1">
        <f t="shared" si="1"/>
        <v>14367.040000000006</v>
      </c>
    </row>
    <row r="81" spans="1:12" x14ac:dyDescent="0.25">
      <c r="A81" s="7" t="s">
        <v>103</v>
      </c>
      <c r="B81" s="7" t="s">
        <v>22</v>
      </c>
      <c r="C81" s="7" t="s">
        <v>18</v>
      </c>
      <c r="D81" s="7" t="s">
        <v>13</v>
      </c>
      <c r="E81" s="7" t="s">
        <v>24</v>
      </c>
      <c r="F81" s="7" t="s">
        <v>28</v>
      </c>
      <c r="G81" s="1">
        <v>45001</v>
      </c>
      <c r="H81" s="7">
        <v>258</v>
      </c>
      <c r="I81" s="7">
        <v>291.81</v>
      </c>
      <c r="J81" s="7">
        <v>93.1</v>
      </c>
      <c r="K81" s="18">
        <f>$H81*$I81</f>
        <v>75286.98</v>
      </c>
      <c r="L81" s="1">
        <f t="shared" si="1"/>
        <v>51267.18</v>
      </c>
    </row>
    <row r="82" spans="1:12" x14ac:dyDescent="0.25">
      <c r="A82" s="7" t="s">
        <v>104</v>
      </c>
      <c r="B82" s="7" t="s">
        <v>48</v>
      </c>
      <c r="C82" s="7" t="s">
        <v>18</v>
      </c>
      <c r="D82" s="7" t="s">
        <v>13</v>
      </c>
      <c r="E82" s="7" t="s">
        <v>24</v>
      </c>
      <c r="F82" s="7" t="s">
        <v>20</v>
      </c>
      <c r="G82" s="1">
        <v>45002</v>
      </c>
      <c r="H82" s="7">
        <v>40</v>
      </c>
      <c r="I82" s="7">
        <v>333</v>
      </c>
      <c r="J82" s="7">
        <v>94.59</v>
      </c>
      <c r="K82" s="18">
        <f>$H82*$I82</f>
        <v>13320</v>
      </c>
      <c r="L82" s="1">
        <f t="shared" si="1"/>
        <v>9536.4</v>
      </c>
    </row>
    <row r="83" spans="1:12" x14ac:dyDescent="0.25">
      <c r="A83" s="7" t="s">
        <v>105</v>
      </c>
      <c r="B83" s="7" t="s">
        <v>17</v>
      </c>
      <c r="C83" s="7" t="s">
        <v>12</v>
      </c>
      <c r="D83" s="7" t="s">
        <v>23</v>
      </c>
      <c r="E83" s="7" t="s">
        <v>24</v>
      </c>
      <c r="F83" s="7" t="s">
        <v>28</v>
      </c>
      <c r="G83" s="1">
        <v>45003</v>
      </c>
      <c r="H83" s="7">
        <v>32</v>
      </c>
      <c r="I83" s="7">
        <v>52.15</v>
      </c>
      <c r="J83" s="7">
        <v>89.88</v>
      </c>
      <c r="K83" s="18">
        <f>$H83*$I83</f>
        <v>1668.8</v>
      </c>
      <c r="L83" s="1">
        <f t="shared" si="1"/>
        <v>-1207.3599999999999</v>
      </c>
    </row>
    <row r="84" spans="1:12" x14ac:dyDescent="0.25">
      <c r="A84" s="7" t="s">
        <v>106</v>
      </c>
      <c r="B84" s="7" t="s">
        <v>17</v>
      </c>
      <c r="C84" s="7" t="s">
        <v>12</v>
      </c>
      <c r="D84" s="7" t="s">
        <v>13</v>
      </c>
      <c r="E84" s="7" t="s">
        <v>24</v>
      </c>
      <c r="F84" s="7" t="s">
        <v>15</v>
      </c>
      <c r="G84" s="1">
        <v>45004</v>
      </c>
      <c r="H84" s="7">
        <v>435</v>
      </c>
      <c r="I84" s="7">
        <v>327.8</v>
      </c>
      <c r="J84" s="7">
        <v>71.150000000000006</v>
      </c>
      <c r="K84" s="18">
        <f>$H84*$I84</f>
        <v>142593</v>
      </c>
      <c r="L84" s="1">
        <f t="shared" si="1"/>
        <v>111642.74999999999</v>
      </c>
    </row>
    <row r="85" spans="1:12" x14ac:dyDescent="0.25">
      <c r="A85" s="7" t="s">
        <v>107</v>
      </c>
      <c r="B85" s="7" t="s">
        <v>11</v>
      </c>
      <c r="C85" s="7" t="s">
        <v>50</v>
      </c>
      <c r="D85" s="7" t="s">
        <v>27</v>
      </c>
      <c r="E85" s="7" t="s">
        <v>24</v>
      </c>
      <c r="F85" s="7" t="s">
        <v>15</v>
      </c>
      <c r="G85" s="1">
        <v>45005</v>
      </c>
      <c r="H85" s="7">
        <v>403</v>
      </c>
      <c r="I85" s="7">
        <v>159.51</v>
      </c>
      <c r="J85" s="7">
        <v>262.98</v>
      </c>
      <c r="K85" s="18">
        <f>$H85*$I85</f>
        <v>64282.53</v>
      </c>
      <c r="L85" s="1">
        <f t="shared" si="1"/>
        <v>-41698.410000000011</v>
      </c>
    </row>
    <row r="86" spans="1:12" x14ac:dyDescent="0.25">
      <c r="A86" s="7" t="s">
        <v>108</v>
      </c>
      <c r="B86" s="7" t="s">
        <v>17</v>
      </c>
      <c r="C86" s="7" t="s">
        <v>50</v>
      </c>
      <c r="D86" s="7" t="s">
        <v>23</v>
      </c>
      <c r="E86" s="7" t="s">
        <v>14</v>
      </c>
      <c r="F86" s="7" t="s">
        <v>15</v>
      </c>
      <c r="G86" s="1">
        <v>45006</v>
      </c>
      <c r="H86" s="7">
        <v>169</v>
      </c>
      <c r="I86" s="7">
        <v>249.64</v>
      </c>
      <c r="J86" s="7">
        <v>339.51</v>
      </c>
      <c r="K86" s="18">
        <f>$H86*$I86</f>
        <v>42189.159999999996</v>
      </c>
      <c r="L86" s="1">
        <f t="shared" si="1"/>
        <v>-15188.03</v>
      </c>
    </row>
    <row r="87" spans="1:12" x14ac:dyDescent="0.25">
      <c r="A87" s="7" t="s">
        <v>109</v>
      </c>
      <c r="B87" s="7" t="s">
        <v>11</v>
      </c>
      <c r="C87" s="7" t="s">
        <v>31</v>
      </c>
      <c r="D87" s="7" t="s">
        <v>13</v>
      </c>
      <c r="E87" s="7" t="s">
        <v>14</v>
      </c>
      <c r="F87" s="7" t="s">
        <v>20</v>
      </c>
      <c r="G87" s="1">
        <v>45007</v>
      </c>
      <c r="H87" s="7">
        <v>372</v>
      </c>
      <c r="I87" s="7">
        <v>429.7</v>
      </c>
      <c r="J87" s="7">
        <v>290.27999999999997</v>
      </c>
      <c r="K87" s="18">
        <f>$H87*$I87</f>
        <v>159848.4</v>
      </c>
      <c r="L87" s="1">
        <f t="shared" si="1"/>
        <v>51864.240000000005</v>
      </c>
    </row>
    <row r="88" spans="1:12" x14ac:dyDescent="0.25">
      <c r="A88" s="7" t="s">
        <v>110</v>
      </c>
      <c r="B88" s="7" t="s">
        <v>17</v>
      </c>
      <c r="C88" s="7" t="s">
        <v>12</v>
      </c>
      <c r="D88" s="7" t="s">
        <v>42</v>
      </c>
      <c r="E88" s="7" t="s">
        <v>24</v>
      </c>
      <c r="F88" s="7" t="s">
        <v>28</v>
      </c>
      <c r="G88" s="1">
        <v>45008</v>
      </c>
      <c r="H88" s="7">
        <v>446</v>
      </c>
      <c r="I88" s="7">
        <v>9.4700000000000006</v>
      </c>
      <c r="J88" s="7">
        <v>317.25</v>
      </c>
      <c r="K88" s="18">
        <f>$H88*$I88</f>
        <v>4223.62</v>
      </c>
      <c r="L88" s="1">
        <f t="shared" si="1"/>
        <v>-137269.87999999998</v>
      </c>
    </row>
    <row r="89" spans="1:12" x14ac:dyDescent="0.25">
      <c r="A89" s="7" t="s">
        <v>111</v>
      </c>
      <c r="B89" s="7" t="s">
        <v>22</v>
      </c>
      <c r="C89" s="7" t="s">
        <v>18</v>
      </c>
      <c r="D89" s="7" t="s">
        <v>27</v>
      </c>
      <c r="E89" s="7" t="s">
        <v>14</v>
      </c>
      <c r="F89" s="7" t="s">
        <v>15</v>
      </c>
      <c r="G89" s="1">
        <v>45009</v>
      </c>
      <c r="H89" s="7">
        <v>167</v>
      </c>
      <c r="I89" s="7">
        <v>296.26</v>
      </c>
      <c r="J89" s="7">
        <v>163.11000000000001</v>
      </c>
      <c r="K89" s="18">
        <f>$H89*$I89</f>
        <v>49475.42</v>
      </c>
      <c r="L89" s="1">
        <f t="shared" si="1"/>
        <v>22236.049999999996</v>
      </c>
    </row>
    <row r="90" spans="1:12" x14ac:dyDescent="0.25">
      <c r="A90" s="7" t="s">
        <v>112</v>
      </c>
      <c r="B90" s="7" t="s">
        <v>17</v>
      </c>
      <c r="C90" s="7" t="s">
        <v>50</v>
      </c>
      <c r="D90" s="7" t="s">
        <v>27</v>
      </c>
      <c r="E90" s="7" t="s">
        <v>24</v>
      </c>
      <c r="F90" s="7" t="s">
        <v>15</v>
      </c>
      <c r="G90" s="1">
        <v>45010</v>
      </c>
      <c r="H90" s="7">
        <v>48</v>
      </c>
      <c r="I90" s="7">
        <v>301.36</v>
      </c>
      <c r="J90" s="7">
        <v>262.32</v>
      </c>
      <c r="K90" s="18">
        <f>$H90*$I90</f>
        <v>14465.28</v>
      </c>
      <c r="L90" s="1">
        <f t="shared" si="1"/>
        <v>1873.920000000001</v>
      </c>
    </row>
    <row r="91" spans="1:12" x14ac:dyDescent="0.25">
      <c r="A91" s="7" t="s">
        <v>113</v>
      </c>
      <c r="B91" s="7" t="s">
        <v>11</v>
      </c>
      <c r="C91" s="7" t="s">
        <v>50</v>
      </c>
      <c r="D91" s="7" t="s">
        <v>27</v>
      </c>
      <c r="E91" s="7" t="s">
        <v>24</v>
      </c>
      <c r="F91" s="7" t="s">
        <v>28</v>
      </c>
      <c r="G91" s="1">
        <v>45011</v>
      </c>
      <c r="H91" s="7">
        <v>424</v>
      </c>
      <c r="I91" s="7">
        <v>201.35</v>
      </c>
      <c r="J91" s="7">
        <v>142.99</v>
      </c>
      <c r="K91" s="18">
        <f>$H91*$I91</f>
        <v>85372.4</v>
      </c>
      <c r="L91" s="1">
        <f t="shared" si="1"/>
        <v>24744.639999999992</v>
      </c>
    </row>
    <row r="92" spans="1:12" x14ac:dyDescent="0.25">
      <c r="A92" s="7" t="s">
        <v>114</v>
      </c>
      <c r="B92" s="7" t="s">
        <v>11</v>
      </c>
      <c r="C92" s="7" t="s">
        <v>18</v>
      </c>
      <c r="D92" s="7" t="s">
        <v>23</v>
      </c>
      <c r="E92" s="7" t="s">
        <v>14</v>
      </c>
      <c r="F92" s="7" t="s">
        <v>15</v>
      </c>
      <c r="G92" s="1">
        <v>45012</v>
      </c>
      <c r="H92" s="7">
        <v>91</v>
      </c>
      <c r="I92" s="7">
        <v>122.33</v>
      </c>
      <c r="J92" s="7">
        <v>211.15</v>
      </c>
      <c r="K92" s="18">
        <f>$H92*$I92</f>
        <v>11132.03</v>
      </c>
      <c r="L92" s="1">
        <f t="shared" si="1"/>
        <v>-8082.6200000000008</v>
      </c>
    </row>
    <row r="93" spans="1:12" x14ac:dyDescent="0.25">
      <c r="A93" s="7" t="s">
        <v>115</v>
      </c>
      <c r="B93" s="7" t="s">
        <v>48</v>
      </c>
      <c r="C93" s="7" t="s">
        <v>50</v>
      </c>
      <c r="D93" s="7" t="s">
        <v>13</v>
      </c>
      <c r="E93" s="7" t="s">
        <v>14</v>
      </c>
      <c r="F93" s="7" t="s">
        <v>28</v>
      </c>
      <c r="G93" s="1">
        <v>45013</v>
      </c>
      <c r="H93" s="7">
        <v>365</v>
      </c>
      <c r="I93" s="7">
        <v>121.16</v>
      </c>
      <c r="J93" s="7">
        <v>193.69</v>
      </c>
      <c r="K93" s="18">
        <f>$H93*$I93</f>
        <v>44223.4</v>
      </c>
      <c r="L93" s="1">
        <f t="shared" si="1"/>
        <v>-26473.45</v>
      </c>
    </row>
    <row r="94" spans="1:12" x14ac:dyDescent="0.25">
      <c r="A94" s="7" t="s">
        <v>116</v>
      </c>
      <c r="B94" s="7" t="s">
        <v>22</v>
      </c>
      <c r="C94" s="7" t="s">
        <v>31</v>
      </c>
      <c r="D94" s="7" t="s">
        <v>13</v>
      </c>
      <c r="E94" s="7" t="s">
        <v>14</v>
      </c>
      <c r="F94" s="7" t="s">
        <v>28</v>
      </c>
      <c r="G94" s="1">
        <v>45014</v>
      </c>
      <c r="H94" s="7">
        <v>267</v>
      </c>
      <c r="I94" s="7">
        <v>442.44</v>
      </c>
      <c r="J94" s="7">
        <v>72.400000000000006</v>
      </c>
      <c r="K94" s="18">
        <f>$H94*$I94</f>
        <v>118131.48</v>
      </c>
      <c r="L94" s="1">
        <f t="shared" si="1"/>
        <v>98800.68</v>
      </c>
    </row>
    <row r="95" spans="1:12" x14ac:dyDescent="0.25">
      <c r="A95" s="7" t="s">
        <v>117</v>
      </c>
      <c r="B95" s="7" t="s">
        <v>17</v>
      </c>
      <c r="C95" s="7" t="s">
        <v>12</v>
      </c>
      <c r="D95" s="7" t="s">
        <v>42</v>
      </c>
      <c r="E95" s="7" t="s">
        <v>24</v>
      </c>
      <c r="F95" s="7" t="s">
        <v>28</v>
      </c>
      <c r="G95" s="1">
        <v>45015</v>
      </c>
      <c r="H95" s="7">
        <v>215</v>
      </c>
      <c r="I95" s="7">
        <v>223.8</v>
      </c>
      <c r="J95" s="7">
        <v>156.06</v>
      </c>
      <c r="K95" s="18">
        <f>$H95*$I95</f>
        <v>48117</v>
      </c>
      <c r="L95" s="1">
        <f t="shared" si="1"/>
        <v>14564.100000000002</v>
      </c>
    </row>
    <row r="96" spans="1:12" x14ac:dyDescent="0.25">
      <c r="A96" s="7" t="s">
        <v>118</v>
      </c>
      <c r="B96" s="7" t="s">
        <v>48</v>
      </c>
      <c r="C96" s="7" t="s">
        <v>18</v>
      </c>
      <c r="D96" s="7" t="s">
        <v>42</v>
      </c>
      <c r="E96" s="7" t="s">
        <v>14</v>
      </c>
      <c r="F96" s="7" t="s">
        <v>28</v>
      </c>
      <c r="G96" s="1">
        <v>45016</v>
      </c>
      <c r="H96" s="7">
        <v>86</v>
      </c>
      <c r="I96" s="7">
        <v>168.79</v>
      </c>
      <c r="J96" s="7">
        <v>385.6</v>
      </c>
      <c r="K96" s="18">
        <f>$H96*$I96</f>
        <v>14515.939999999999</v>
      </c>
      <c r="L96" s="1">
        <f t="shared" si="1"/>
        <v>-18645.660000000003</v>
      </c>
    </row>
    <row r="97" spans="1:12" x14ac:dyDescent="0.25">
      <c r="A97" s="7" t="s">
        <v>119</v>
      </c>
      <c r="B97" s="7" t="s">
        <v>17</v>
      </c>
      <c r="C97" s="7" t="s">
        <v>12</v>
      </c>
      <c r="D97" s="7" t="s">
        <v>27</v>
      </c>
      <c r="E97" s="7" t="s">
        <v>24</v>
      </c>
      <c r="F97" s="7" t="s">
        <v>28</v>
      </c>
      <c r="G97" s="1">
        <v>45017</v>
      </c>
      <c r="H97" s="7">
        <v>486</v>
      </c>
      <c r="I97" s="7">
        <v>227.14</v>
      </c>
      <c r="J97" s="7">
        <v>100.93</v>
      </c>
      <c r="K97" s="18">
        <f>$H97*$I97</f>
        <v>110390.04</v>
      </c>
      <c r="L97" s="1">
        <f t="shared" si="1"/>
        <v>61338.05999999999</v>
      </c>
    </row>
    <row r="98" spans="1:12" x14ac:dyDescent="0.25">
      <c r="A98" s="7" t="s">
        <v>120</v>
      </c>
      <c r="B98" s="7" t="s">
        <v>17</v>
      </c>
      <c r="C98" s="7" t="s">
        <v>50</v>
      </c>
      <c r="D98" s="7" t="s">
        <v>42</v>
      </c>
      <c r="E98" s="7" t="s">
        <v>24</v>
      </c>
      <c r="F98" s="7" t="s">
        <v>20</v>
      </c>
      <c r="G98" s="1">
        <v>45018</v>
      </c>
      <c r="H98" s="7">
        <v>21</v>
      </c>
      <c r="I98" s="7">
        <v>249.64</v>
      </c>
      <c r="J98" s="7">
        <v>55.25</v>
      </c>
      <c r="K98" s="18">
        <f>$H98*$I98</f>
        <v>5242.4399999999996</v>
      </c>
      <c r="L98" s="1">
        <f t="shared" si="1"/>
        <v>4082.1899999999996</v>
      </c>
    </row>
    <row r="99" spans="1:12" x14ac:dyDescent="0.25">
      <c r="A99" s="7" t="s">
        <v>121</v>
      </c>
      <c r="B99" s="7" t="s">
        <v>48</v>
      </c>
      <c r="C99" s="7" t="s">
        <v>50</v>
      </c>
      <c r="D99" s="7" t="s">
        <v>23</v>
      </c>
      <c r="E99" s="7" t="s">
        <v>24</v>
      </c>
      <c r="F99" s="7" t="s">
        <v>15</v>
      </c>
      <c r="G99" s="1">
        <v>45019</v>
      </c>
      <c r="H99" s="7">
        <v>304</v>
      </c>
      <c r="I99" s="7">
        <v>77.150000000000006</v>
      </c>
      <c r="J99" s="7">
        <v>168.6</v>
      </c>
      <c r="K99" s="18">
        <f>$H99*$I99</f>
        <v>23453.600000000002</v>
      </c>
      <c r="L99" s="1">
        <f t="shared" si="1"/>
        <v>-27800.799999999996</v>
      </c>
    </row>
    <row r="100" spans="1:12" x14ac:dyDescent="0.25">
      <c r="A100" s="7" t="s">
        <v>122</v>
      </c>
      <c r="B100" s="7" t="s">
        <v>48</v>
      </c>
      <c r="C100" s="7" t="s">
        <v>18</v>
      </c>
      <c r="D100" s="7" t="s">
        <v>13</v>
      </c>
      <c r="E100" s="7" t="s">
        <v>14</v>
      </c>
      <c r="F100" s="7" t="s">
        <v>20</v>
      </c>
      <c r="G100" s="1">
        <v>45020</v>
      </c>
      <c r="H100" s="7">
        <v>459</v>
      </c>
      <c r="I100" s="7">
        <v>227.47</v>
      </c>
      <c r="J100" s="7">
        <v>316.55</v>
      </c>
      <c r="K100" s="18">
        <f>$H100*$I100</f>
        <v>104408.73</v>
      </c>
      <c r="L100" s="1">
        <f t="shared" si="1"/>
        <v>-40887.720000000008</v>
      </c>
    </row>
    <row r="101" spans="1:12" x14ac:dyDescent="0.25">
      <c r="A101" s="7" t="s">
        <v>123</v>
      </c>
      <c r="B101" s="7" t="s">
        <v>48</v>
      </c>
      <c r="C101" s="7" t="s">
        <v>31</v>
      </c>
      <c r="D101" s="7" t="s">
        <v>27</v>
      </c>
      <c r="E101" s="7" t="s">
        <v>14</v>
      </c>
      <c r="F101" s="7" t="s">
        <v>15</v>
      </c>
      <c r="G101" s="1">
        <v>45021</v>
      </c>
      <c r="H101" s="7">
        <v>233</v>
      </c>
      <c r="I101" s="7">
        <v>296</v>
      </c>
      <c r="J101" s="7">
        <v>233.69</v>
      </c>
      <c r="K101" s="18">
        <f>$H101*$I101</f>
        <v>68968</v>
      </c>
      <c r="L101" s="1">
        <f t="shared" si="1"/>
        <v>14518.230000000001</v>
      </c>
    </row>
    <row r="102" spans="1:12" x14ac:dyDescent="0.25">
      <c r="A102" s="7" t="s">
        <v>124</v>
      </c>
      <c r="B102" s="7" t="s">
        <v>48</v>
      </c>
      <c r="C102" s="7" t="s">
        <v>26</v>
      </c>
      <c r="D102" s="7" t="s">
        <v>42</v>
      </c>
      <c r="E102" s="7" t="s">
        <v>24</v>
      </c>
      <c r="F102" s="7" t="s">
        <v>20</v>
      </c>
      <c r="G102" s="1">
        <v>45022</v>
      </c>
      <c r="H102" s="7">
        <v>22</v>
      </c>
      <c r="I102" s="7">
        <v>474.55</v>
      </c>
      <c r="J102" s="7">
        <v>273.02999999999997</v>
      </c>
      <c r="K102" s="18">
        <f>$H102*$I102</f>
        <v>10440.1</v>
      </c>
      <c r="L102" s="1">
        <f t="shared" si="1"/>
        <v>4433.4400000000005</v>
      </c>
    </row>
    <row r="103" spans="1:12" x14ac:dyDescent="0.25">
      <c r="A103" s="7" t="s">
        <v>125</v>
      </c>
      <c r="B103" s="7" t="s">
        <v>48</v>
      </c>
      <c r="C103" s="7" t="s">
        <v>18</v>
      </c>
      <c r="D103" s="7" t="s">
        <v>23</v>
      </c>
      <c r="E103" s="7" t="s">
        <v>14</v>
      </c>
      <c r="F103" s="7" t="s">
        <v>28</v>
      </c>
      <c r="G103" s="1">
        <v>45023</v>
      </c>
      <c r="H103" s="7">
        <v>55</v>
      </c>
      <c r="I103" s="7">
        <v>130</v>
      </c>
      <c r="J103" s="7">
        <v>77.5</v>
      </c>
      <c r="K103" s="18">
        <f>$H103*$I103</f>
        <v>7150</v>
      </c>
      <c r="L103" s="1">
        <f t="shared" si="1"/>
        <v>2887.5</v>
      </c>
    </row>
    <row r="104" spans="1:12" x14ac:dyDescent="0.25">
      <c r="A104" s="7" t="s">
        <v>126</v>
      </c>
      <c r="B104" s="7" t="s">
        <v>17</v>
      </c>
      <c r="C104" s="7" t="s">
        <v>26</v>
      </c>
      <c r="D104" s="7" t="s">
        <v>23</v>
      </c>
      <c r="E104" s="7" t="s">
        <v>14</v>
      </c>
      <c r="F104" s="7" t="s">
        <v>15</v>
      </c>
      <c r="G104" s="1">
        <v>45024</v>
      </c>
      <c r="H104" s="7">
        <v>164</v>
      </c>
      <c r="I104" s="7">
        <v>182.83</v>
      </c>
      <c r="J104" s="7">
        <v>248.34</v>
      </c>
      <c r="K104" s="18">
        <f>$H104*$I104</f>
        <v>29984.120000000003</v>
      </c>
      <c r="L104" s="1">
        <f t="shared" si="1"/>
        <v>-10743.64</v>
      </c>
    </row>
    <row r="105" spans="1:12" x14ac:dyDescent="0.25">
      <c r="A105" s="7" t="s">
        <v>127</v>
      </c>
      <c r="B105" s="7" t="s">
        <v>48</v>
      </c>
      <c r="C105" s="7" t="s">
        <v>26</v>
      </c>
      <c r="D105" s="7" t="s">
        <v>42</v>
      </c>
      <c r="E105" s="7" t="s">
        <v>14</v>
      </c>
      <c r="F105" s="7" t="s">
        <v>15</v>
      </c>
      <c r="G105" s="1">
        <v>45025</v>
      </c>
      <c r="H105" s="7">
        <v>122</v>
      </c>
      <c r="I105" s="7">
        <v>192.78</v>
      </c>
      <c r="J105" s="7">
        <v>130.75</v>
      </c>
      <c r="K105" s="18">
        <f>$H105*$I105</f>
        <v>23519.16</v>
      </c>
      <c r="L105" s="1">
        <f t="shared" si="1"/>
        <v>7567.66</v>
      </c>
    </row>
    <row r="106" spans="1:12" x14ac:dyDescent="0.25">
      <c r="A106" s="7" t="s">
        <v>128</v>
      </c>
      <c r="B106" s="7" t="s">
        <v>22</v>
      </c>
      <c r="C106" s="7" t="s">
        <v>31</v>
      </c>
      <c r="D106" s="7" t="s">
        <v>13</v>
      </c>
      <c r="E106" s="7" t="s">
        <v>24</v>
      </c>
      <c r="F106" s="7" t="s">
        <v>20</v>
      </c>
      <c r="G106" s="1">
        <v>45026</v>
      </c>
      <c r="H106" s="7">
        <v>242</v>
      </c>
      <c r="I106" s="7">
        <v>304.74</v>
      </c>
      <c r="J106" s="7">
        <v>334.05</v>
      </c>
      <c r="K106" s="18">
        <f>$H106*$I106</f>
        <v>73747.08</v>
      </c>
      <c r="L106" s="1">
        <f t="shared" si="1"/>
        <v>-7093.02</v>
      </c>
    </row>
    <row r="107" spans="1:12" x14ac:dyDescent="0.25">
      <c r="A107" s="7" t="s">
        <v>129</v>
      </c>
      <c r="B107" s="7" t="s">
        <v>11</v>
      </c>
      <c r="C107" s="7" t="s">
        <v>26</v>
      </c>
      <c r="D107" s="7" t="s">
        <v>42</v>
      </c>
      <c r="E107" s="7" t="s">
        <v>24</v>
      </c>
      <c r="F107" s="7" t="s">
        <v>20</v>
      </c>
      <c r="G107" s="1">
        <v>45027</v>
      </c>
      <c r="H107" s="7">
        <v>26</v>
      </c>
      <c r="I107" s="7">
        <v>181.58</v>
      </c>
      <c r="J107" s="7">
        <v>252.46</v>
      </c>
      <c r="K107" s="18">
        <f>$H107*$I107</f>
        <v>4721.08</v>
      </c>
      <c r="L107" s="1">
        <f t="shared" si="1"/>
        <v>-1842.8799999999999</v>
      </c>
    </row>
    <row r="108" spans="1:12" x14ac:dyDescent="0.25">
      <c r="A108" s="7" t="s">
        <v>130</v>
      </c>
      <c r="B108" s="7" t="s">
        <v>48</v>
      </c>
      <c r="C108" s="7" t="s">
        <v>26</v>
      </c>
      <c r="D108" s="7" t="s">
        <v>27</v>
      </c>
      <c r="E108" s="7" t="s">
        <v>14</v>
      </c>
      <c r="F108" s="7" t="s">
        <v>15</v>
      </c>
      <c r="G108" s="1">
        <v>45028</v>
      </c>
      <c r="H108" s="7">
        <v>369</v>
      </c>
      <c r="I108" s="7">
        <v>269.08999999999997</v>
      </c>
      <c r="J108" s="7">
        <v>81.14</v>
      </c>
      <c r="K108" s="18">
        <f>$H108*$I108</f>
        <v>99294.209999999992</v>
      </c>
      <c r="L108" s="1">
        <f t="shared" si="1"/>
        <v>69353.55</v>
      </c>
    </row>
    <row r="109" spans="1:12" x14ac:dyDescent="0.25">
      <c r="A109" s="7" t="s">
        <v>131</v>
      </c>
      <c r="B109" s="7" t="s">
        <v>48</v>
      </c>
      <c r="C109" s="7" t="s">
        <v>31</v>
      </c>
      <c r="D109" s="7" t="s">
        <v>42</v>
      </c>
      <c r="E109" s="7" t="s">
        <v>24</v>
      </c>
      <c r="F109" s="7" t="s">
        <v>20</v>
      </c>
      <c r="G109" s="1">
        <v>45029</v>
      </c>
      <c r="H109" s="7">
        <v>232</v>
      </c>
      <c r="I109" s="7">
        <v>391.99</v>
      </c>
      <c r="J109" s="7">
        <v>27.72</v>
      </c>
      <c r="K109" s="18">
        <f>$H109*$I109</f>
        <v>90941.680000000008</v>
      </c>
      <c r="L109" s="1">
        <f t="shared" si="1"/>
        <v>84510.64</v>
      </c>
    </row>
    <row r="110" spans="1:12" x14ac:dyDescent="0.25">
      <c r="A110" s="7" t="s">
        <v>132</v>
      </c>
      <c r="B110" s="7" t="s">
        <v>17</v>
      </c>
      <c r="C110" s="7" t="s">
        <v>26</v>
      </c>
      <c r="D110" s="7" t="s">
        <v>23</v>
      </c>
      <c r="E110" s="7" t="s">
        <v>14</v>
      </c>
      <c r="F110" s="7" t="s">
        <v>20</v>
      </c>
      <c r="G110" s="1">
        <v>45030</v>
      </c>
      <c r="H110" s="7">
        <v>363</v>
      </c>
      <c r="I110" s="7">
        <v>354.17</v>
      </c>
      <c r="J110" s="7">
        <v>18.97</v>
      </c>
      <c r="K110" s="18">
        <f>$H110*$I110</f>
        <v>128563.71</v>
      </c>
      <c r="L110" s="1">
        <f t="shared" si="1"/>
        <v>121677.60000000002</v>
      </c>
    </row>
    <row r="111" spans="1:12" x14ac:dyDescent="0.25">
      <c r="A111" s="7" t="s">
        <v>133</v>
      </c>
      <c r="B111" s="7" t="s">
        <v>48</v>
      </c>
      <c r="C111" s="7" t="s">
        <v>26</v>
      </c>
      <c r="D111" s="7" t="s">
        <v>42</v>
      </c>
      <c r="E111" s="7" t="s">
        <v>14</v>
      </c>
      <c r="F111" s="7" t="s">
        <v>20</v>
      </c>
      <c r="G111" s="1">
        <v>45031</v>
      </c>
      <c r="H111" s="7">
        <v>197</v>
      </c>
      <c r="I111" s="7">
        <v>225.95</v>
      </c>
      <c r="J111" s="7">
        <v>149.82</v>
      </c>
      <c r="K111" s="18">
        <f>$H111*$I111</f>
        <v>44512.149999999994</v>
      </c>
      <c r="L111" s="1">
        <f t="shared" si="1"/>
        <v>14997.609999999999</v>
      </c>
    </row>
    <row r="112" spans="1:12" x14ac:dyDescent="0.25">
      <c r="A112" s="7" t="s">
        <v>134</v>
      </c>
      <c r="B112" s="7" t="s">
        <v>48</v>
      </c>
      <c r="C112" s="7" t="s">
        <v>26</v>
      </c>
      <c r="D112" s="7" t="s">
        <v>13</v>
      </c>
      <c r="E112" s="7" t="s">
        <v>14</v>
      </c>
      <c r="F112" s="7" t="s">
        <v>28</v>
      </c>
      <c r="G112" s="1">
        <v>45032</v>
      </c>
      <c r="H112" s="7">
        <v>457</v>
      </c>
      <c r="I112" s="7">
        <v>432.79</v>
      </c>
      <c r="J112" s="7">
        <v>107.81</v>
      </c>
      <c r="K112" s="18">
        <f>$H112*$I112</f>
        <v>197785.03</v>
      </c>
      <c r="L112" s="1">
        <f t="shared" si="1"/>
        <v>148515.86000000002</v>
      </c>
    </row>
    <row r="113" spans="1:12" x14ac:dyDescent="0.25">
      <c r="A113" s="7" t="s">
        <v>135</v>
      </c>
      <c r="B113" s="7" t="s">
        <v>48</v>
      </c>
      <c r="C113" s="7" t="s">
        <v>18</v>
      </c>
      <c r="D113" s="7" t="s">
        <v>19</v>
      </c>
      <c r="E113" s="7" t="s">
        <v>14</v>
      </c>
      <c r="F113" s="7" t="s">
        <v>28</v>
      </c>
      <c r="G113" s="1">
        <v>45033</v>
      </c>
      <c r="H113" s="7">
        <v>353</v>
      </c>
      <c r="I113" s="7">
        <v>281.27999999999997</v>
      </c>
      <c r="J113" s="7">
        <v>259.14</v>
      </c>
      <c r="K113" s="18">
        <f>$H113*$I113</f>
        <v>99291.839999999997</v>
      </c>
      <c r="L113" s="1">
        <f t="shared" si="1"/>
        <v>7815.4199999999955</v>
      </c>
    </row>
    <row r="114" spans="1:12" x14ac:dyDescent="0.25">
      <c r="A114" s="7" t="s">
        <v>136</v>
      </c>
      <c r="B114" s="7" t="s">
        <v>17</v>
      </c>
      <c r="C114" s="7" t="s">
        <v>18</v>
      </c>
      <c r="D114" s="7" t="s">
        <v>42</v>
      </c>
      <c r="E114" s="7" t="s">
        <v>24</v>
      </c>
      <c r="F114" s="7" t="s">
        <v>20</v>
      </c>
      <c r="G114" s="1">
        <v>45034</v>
      </c>
      <c r="H114" s="7">
        <v>374</v>
      </c>
      <c r="I114" s="7">
        <v>272.25</v>
      </c>
      <c r="J114" s="7">
        <v>200.73</v>
      </c>
      <c r="K114" s="18">
        <f>$H114*$I114</f>
        <v>101821.5</v>
      </c>
      <c r="L114" s="1">
        <f t="shared" si="1"/>
        <v>26748.480000000003</v>
      </c>
    </row>
    <row r="115" spans="1:12" x14ac:dyDescent="0.25">
      <c r="A115" s="7" t="s">
        <v>137</v>
      </c>
      <c r="B115" s="7" t="s">
        <v>48</v>
      </c>
      <c r="C115" s="7" t="s">
        <v>18</v>
      </c>
      <c r="D115" s="7" t="s">
        <v>13</v>
      </c>
      <c r="E115" s="7" t="s">
        <v>24</v>
      </c>
      <c r="F115" s="7" t="s">
        <v>20</v>
      </c>
      <c r="G115" s="1">
        <v>45035</v>
      </c>
      <c r="H115" s="7">
        <v>172</v>
      </c>
      <c r="I115" s="7">
        <v>21.92</v>
      </c>
      <c r="J115" s="7">
        <v>107.88</v>
      </c>
      <c r="K115" s="18">
        <f>$H115*$I115</f>
        <v>3770.2400000000002</v>
      </c>
      <c r="L115" s="1">
        <f t="shared" si="1"/>
        <v>-14785.119999999999</v>
      </c>
    </row>
    <row r="116" spans="1:12" x14ac:dyDescent="0.25">
      <c r="A116" s="7" t="s">
        <v>138</v>
      </c>
      <c r="B116" s="7" t="s">
        <v>11</v>
      </c>
      <c r="C116" s="7" t="s">
        <v>31</v>
      </c>
      <c r="D116" s="7" t="s">
        <v>13</v>
      </c>
      <c r="E116" s="7" t="s">
        <v>24</v>
      </c>
      <c r="F116" s="7" t="s">
        <v>28</v>
      </c>
      <c r="G116" s="1">
        <v>45036</v>
      </c>
      <c r="H116" s="7">
        <v>335</v>
      </c>
      <c r="I116" s="7">
        <v>493.41</v>
      </c>
      <c r="J116" s="7">
        <v>61.4</v>
      </c>
      <c r="K116" s="18">
        <f>$H116*$I116</f>
        <v>165292.35</v>
      </c>
      <c r="L116" s="1">
        <f t="shared" si="1"/>
        <v>144723.35</v>
      </c>
    </row>
    <row r="117" spans="1:12" x14ac:dyDescent="0.25">
      <c r="A117" s="7" t="s">
        <v>139</v>
      </c>
      <c r="B117" s="7" t="s">
        <v>17</v>
      </c>
      <c r="C117" s="7" t="s">
        <v>50</v>
      </c>
      <c r="D117" s="7" t="s">
        <v>23</v>
      </c>
      <c r="E117" s="7" t="s">
        <v>14</v>
      </c>
      <c r="F117" s="7" t="s">
        <v>28</v>
      </c>
      <c r="G117" s="1">
        <v>45037</v>
      </c>
      <c r="H117" s="7">
        <v>476</v>
      </c>
      <c r="I117" s="7">
        <v>65.87</v>
      </c>
      <c r="J117" s="7">
        <v>52.63</v>
      </c>
      <c r="K117" s="18">
        <f>$H117*$I117</f>
        <v>31354.120000000003</v>
      </c>
      <c r="L117" s="1">
        <f t="shared" si="1"/>
        <v>6302.2400000000007</v>
      </c>
    </row>
    <row r="118" spans="1:12" x14ac:dyDescent="0.25">
      <c r="A118" s="7" t="s">
        <v>140</v>
      </c>
      <c r="B118" s="7" t="s">
        <v>11</v>
      </c>
      <c r="C118" s="7" t="s">
        <v>26</v>
      </c>
      <c r="D118" s="7" t="s">
        <v>13</v>
      </c>
      <c r="E118" s="7" t="s">
        <v>14</v>
      </c>
      <c r="F118" s="7" t="s">
        <v>15</v>
      </c>
      <c r="G118" s="1">
        <v>45038</v>
      </c>
      <c r="H118" s="7">
        <v>423</v>
      </c>
      <c r="I118" s="7">
        <v>119.41</v>
      </c>
      <c r="J118" s="7">
        <v>346.13</v>
      </c>
      <c r="K118" s="18">
        <f>$H118*$I118</f>
        <v>50510.43</v>
      </c>
      <c r="L118" s="1">
        <f t="shared" si="1"/>
        <v>-95902.56</v>
      </c>
    </row>
    <row r="119" spans="1:12" x14ac:dyDescent="0.25">
      <c r="A119" s="7" t="s">
        <v>141</v>
      </c>
      <c r="B119" s="7" t="s">
        <v>17</v>
      </c>
      <c r="C119" s="7" t="s">
        <v>26</v>
      </c>
      <c r="D119" s="7" t="s">
        <v>13</v>
      </c>
      <c r="E119" s="7" t="s">
        <v>14</v>
      </c>
      <c r="F119" s="7" t="s">
        <v>15</v>
      </c>
      <c r="G119" s="1">
        <v>45039</v>
      </c>
      <c r="H119" s="7">
        <v>464</v>
      </c>
      <c r="I119" s="7">
        <v>30.59</v>
      </c>
      <c r="J119" s="7">
        <v>98.9</v>
      </c>
      <c r="K119" s="18">
        <f>$H119*$I119</f>
        <v>14193.76</v>
      </c>
      <c r="L119" s="1">
        <f t="shared" si="1"/>
        <v>-31695.84</v>
      </c>
    </row>
    <row r="120" spans="1:12" x14ac:dyDescent="0.25">
      <c r="A120" s="7" t="s">
        <v>142</v>
      </c>
      <c r="B120" s="7" t="s">
        <v>48</v>
      </c>
      <c r="C120" s="7" t="s">
        <v>31</v>
      </c>
      <c r="D120" s="7" t="s">
        <v>13</v>
      </c>
      <c r="E120" s="7" t="s">
        <v>24</v>
      </c>
      <c r="F120" s="7" t="s">
        <v>28</v>
      </c>
      <c r="G120" s="1">
        <v>45040</v>
      </c>
      <c r="H120" s="7">
        <v>83</v>
      </c>
      <c r="I120" s="7">
        <v>321.8</v>
      </c>
      <c r="J120" s="7">
        <v>261.38</v>
      </c>
      <c r="K120" s="18">
        <f>$H120*$I120</f>
        <v>26709.4</v>
      </c>
      <c r="L120" s="1">
        <f t="shared" si="1"/>
        <v>5014.8600000000015</v>
      </c>
    </row>
    <row r="121" spans="1:12" x14ac:dyDescent="0.25">
      <c r="A121" s="7" t="s">
        <v>143</v>
      </c>
      <c r="B121" s="7" t="s">
        <v>11</v>
      </c>
      <c r="C121" s="7" t="s">
        <v>26</v>
      </c>
      <c r="D121" s="7" t="s">
        <v>13</v>
      </c>
      <c r="E121" s="7" t="s">
        <v>14</v>
      </c>
      <c r="F121" s="7" t="s">
        <v>20</v>
      </c>
      <c r="G121" s="1">
        <v>45041</v>
      </c>
      <c r="H121" s="7">
        <v>242</v>
      </c>
      <c r="I121" s="7">
        <v>116.23</v>
      </c>
      <c r="J121" s="7">
        <v>324.64999999999998</v>
      </c>
      <c r="K121" s="18">
        <f>$H121*$I121</f>
        <v>28127.66</v>
      </c>
      <c r="L121" s="1">
        <f t="shared" si="1"/>
        <v>-50437.639999999992</v>
      </c>
    </row>
    <row r="122" spans="1:12" x14ac:dyDescent="0.25">
      <c r="A122" s="7" t="s">
        <v>144</v>
      </c>
      <c r="B122" s="7" t="s">
        <v>17</v>
      </c>
      <c r="C122" s="7" t="s">
        <v>18</v>
      </c>
      <c r="D122" s="7" t="s">
        <v>27</v>
      </c>
      <c r="E122" s="7" t="s">
        <v>24</v>
      </c>
      <c r="F122" s="7" t="s">
        <v>20</v>
      </c>
      <c r="G122" s="1">
        <v>45042</v>
      </c>
      <c r="H122" s="7">
        <v>233</v>
      </c>
      <c r="I122" s="7">
        <v>94.11</v>
      </c>
      <c r="J122" s="7">
        <v>246.4</v>
      </c>
      <c r="K122" s="18">
        <f>$H122*$I122</f>
        <v>21927.63</v>
      </c>
      <c r="L122" s="1">
        <f t="shared" si="1"/>
        <v>-35483.570000000007</v>
      </c>
    </row>
    <row r="123" spans="1:12" x14ac:dyDescent="0.25">
      <c r="A123" s="7" t="s">
        <v>145</v>
      </c>
      <c r="B123" s="7" t="s">
        <v>22</v>
      </c>
      <c r="C123" s="7" t="s">
        <v>50</v>
      </c>
      <c r="D123" s="7" t="s">
        <v>27</v>
      </c>
      <c r="E123" s="7" t="s">
        <v>24</v>
      </c>
      <c r="F123" s="7" t="s">
        <v>20</v>
      </c>
      <c r="G123" s="1">
        <v>45043</v>
      </c>
      <c r="H123" s="7">
        <v>491</v>
      </c>
      <c r="I123" s="7">
        <v>48.84</v>
      </c>
      <c r="J123" s="7">
        <v>344.11</v>
      </c>
      <c r="K123" s="18">
        <f>$H123*$I123</f>
        <v>23980.440000000002</v>
      </c>
      <c r="L123" s="1">
        <f t="shared" si="1"/>
        <v>-144977.56999999998</v>
      </c>
    </row>
    <row r="124" spans="1:12" x14ac:dyDescent="0.25">
      <c r="A124" s="7" t="s">
        <v>146</v>
      </c>
      <c r="B124" s="7" t="s">
        <v>22</v>
      </c>
      <c r="C124" s="7" t="s">
        <v>12</v>
      </c>
      <c r="D124" s="7" t="s">
        <v>23</v>
      </c>
      <c r="E124" s="7" t="s">
        <v>24</v>
      </c>
      <c r="F124" s="7" t="s">
        <v>20</v>
      </c>
      <c r="G124" s="1">
        <v>45044</v>
      </c>
      <c r="H124" s="7">
        <v>328</v>
      </c>
      <c r="I124" s="7">
        <v>56.14</v>
      </c>
      <c r="J124" s="7">
        <v>158.16999999999999</v>
      </c>
      <c r="K124" s="18">
        <f>$H124*$I124</f>
        <v>18413.920000000002</v>
      </c>
      <c r="L124" s="1">
        <f t="shared" si="1"/>
        <v>-33465.839999999997</v>
      </c>
    </row>
    <row r="125" spans="1:12" x14ac:dyDescent="0.25">
      <c r="A125" s="7" t="s">
        <v>147</v>
      </c>
      <c r="B125" s="7" t="s">
        <v>17</v>
      </c>
      <c r="C125" s="7" t="s">
        <v>26</v>
      </c>
      <c r="D125" s="7" t="s">
        <v>42</v>
      </c>
      <c r="E125" s="7" t="s">
        <v>24</v>
      </c>
      <c r="F125" s="7" t="s">
        <v>15</v>
      </c>
      <c r="G125" s="1">
        <v>45045</v>
      </c>
      <c r="H125" s="7">
        <v>421</v>
      </c>
      <c r="I125" s="7">
        <v>294.41000000000003</v>
      </c>
      <c r="J125" s="7">
        <v>382.58</v>
      </c>
      <c r="K125" s="18">
        <f>$H125*$I125</f>
        <v>123946.61000000002</v>
      </c>
      <c r="L125" s="1">
        <f t="shared" si="1"/>
        <v>-37119.569999999985</v>
      </c>
    </row>
    <row r="126" spans="1:12" x14ac:dyDescent="0.25">
      <c r="A126" s="7" t="s">
        <v>148</v>
      </c>
      <c r="B126" s="7" t="s">
        <v>22</v>
      </c>
      <c r="C126" s="7" t="s">
        <v>18</v>
      </c>
      <c r="D126" s="7" t="s">
        <v>13</v>
      </c>
      <c r="E126" s="7" t="s">
        <v>24</v>
      </c>
      <c r="F126" s="7" t="s">
        <v>28</v>
      </c>
      <c r="G126" s="1">
        <v>45046</v>
      </c>
      <c r="H126" s="7">
        <v>69</v>
      </c>
      <c r="I126" s="7">
        <v>345.66</v>
      </c>
      <c r="J126" s="7">
        <v>54.99</v>
      </c>
      <c r="K126" s="18">
        <f>$H126*$I126</f>
        <v>23850.54</v>
      </c>
      <c r="L126" s="1">
        <f t="shared" si="1"/>
        <v>20056.23</v>
      </c>
    </row>
    <row r="127" spans="1:12" x14ac:dyDescent="0.25">
      <c r="A127" s="7" t="s">
        <v>149</v>
      </c>
      <c r="B127" s="7" t="s">
        <v>17</v>
      </c>
      <c r="C127" s="7" t="s">
        <v>12</v>
      </c>
      <c r="D127" s="7" t="s">
        <v>42</v>
      </c>
      <c r="E127" s="7" t="s">
        <v>24</v>
      </c>
      <c r="F127" s="7" t="s">
        <v>20</v>
      </c>
      <c r="G127" s="1">
        <v>45047</v>
      </c>
      <c r="H127" s="7">
        <v>344</v>
      </c>
      <c r="I127" s="7">
        <v>201.7</v>
      </c>
      <c r="J127" s="7">
        <v>42.66</v>
      </c>
      <c r="K127" s="18">
        <f>$H127*$I127</f>
        <v>69384.800000000003</v>
      </c>
      <c r="L127" s="1">
        <f t="shared" si="1"/>
        <v>54709.759999999995</v>
      </c>
    </row>
    <row r="128" spans="1:12" x14ac:dyDescent="0.25">
      <c r="A128" s="7" t="s">
        <v>150</v>
      </c>
      <c r="B128" s="7" t="s">
        <v>17</v>
      </c>
      <c r="C128" s="7" t="s">
        <v>50</v>
      </c>
      <c r="D128" s="7" t="s">
        <v>42</v>
      </c>
      <c r="E128" s="7" t="s">
        <v>14</v>
      </c>
      <c r="F128" s="7" t="s">
        <v>15</v>
      </c>
      <c r="G128" s="1">
        <v>45048</v>
      </c>
      <c r="H128" s="7">
        <v>231</v>
      </c>
      <c r="I128" s="7">
        <v>242.55</v>
      </c>
      <c r="J128" s="7">
        <v>264.16000000000003</v>
      </c>
      <c r="K128" s="18">
        <f>$H128*$I128</f>
        <v>56029.05</v>
      </c>
      <c r="L128" s="1">
        <f t="shared" si="1"/>
        <v>-4991.9100000000035</v>
      </c>
    </row>
    <row r="129" spans="1:12" x14ac:dyDescent="0.25">
      <c r="A129" s="7" t="s">
        <v>151</v>
      </c>
      <c r="B129" s="7" t="s">
        <v>48</v>
      </c>
      <c r="C129" s="7" t="s">
        <v>12</v>
      </c>
      <c r="D129" s="7" t="s">
        <v>23</v>
      </c>
      <c r="E129" s="7" t="s">
        <v>14</v>
      </c>
      <c r="F129" s="7" t="s">
        <v>20</v>
      </c>
      <c r="G129" s="1">
        <v>45049</v>
      </c>
      <c r="H129" s="7">
        <v>46</v>
      </c>
      <c r="I129" s="7">
        <v>344.55</v>
      </c>
      <c r="J129" s="7">
        <v>377.25</v>
      </c>
      <c r="K129" s="18">
        <f>$H129*$I129</f>
        <v>15849.300000000001</v>
      </c>
      <c r="L129" s="1">
        <f t="shared" si="1"/>
        <v>-1504.1999999999994</v>
      </c>
    </row>
    <row r="130" spans="1:12" x14ac:dyDescent="0.25">
      <c r="A130" s="7" t="s">
        <v>152</v>
      </c>
      <c r="B130" s="7" t="s">
        <v>11</v>
      </c>
      <c r="C130" s="7" t="s">
        <v>18</v>
      </c>
      <c r="D130" s="7" t="s">
        <v>13</v>
      </c>
      <c r="E130" s="7" t="s">
        <v>24</v>
      </c>
      <c r="F130" s="7" t="s">
        <v>28</v>
      </c>
      <c r="G130" s="1">
        <v>45050</v>
      </c>
      <c r="H130" s="7">
        <v>486</v>
      </c>
      <c r="I130" s="7">
        <v>13.6</v>
      </c>
      <c r="J130" s="7">
        <v>323.94</v>
      </c>
      <c r="K130" s="18">
        <f>$H130*$I130</f>
        <v>6609.5999999999995</v>
      </c>
      <c r="L130" s="1">
        <f t="shared" si="1"/>
        <v>-150825.24</v>
      </c>
    </row>
    <row r="131" spans="1:12" x14ac:dyDescent="0.25">
      <c r="A131" s="7" t="s">
        <v>153</v>
      </c>
      <c r="B131" s="7" t="s">
        <v>22</v>
      </c>
      <c r="C131" s="7" t="s">
        <v>12</v>
      </c>
      <c r="D131" s="7" t="s">
        <v>13</v>
      </c>
      <c r="E131" s="7" t="s">
        <v>24</v>
      </c>
      <c r="F131" s="7" t="s">
        <v>15</v>
      </c>
      <c r="G131" s="1">
        <v>45051</v>
      </c>
      <c r="H131" s="7">
        <v>287</v>
      </c>
      <c r="I131" s="7">
        <v>164.95</v>
      </c>
      <c r="J131" s="7">
        <v>32.409999999999997</v>
      </c>
      <c r="K131" s="18">
        <f>$H131*$I131</f>
        <v>47340.649999999994</v>
      </c>
      <c r="L131" s="1">
        <f t="shared" si="1"/>
        <v>38038.979999999996</v>
      </c>
    </row>
    <row r="132" spans="1:12" x14ac:dyDescent="0.25">
      <c r="A132" s="7" t="s">
        <v>154</v>
      </c>
      <c r="B132" s="7" t="s">
        <v>17</v>
      </c>
      <c r="C132" s="7" t="s">
        <v>31</v>
      </c>
      <c r="D132" s="7" t="s">
        <v>19</v>
      </c>
      <c r="E132" s="7" t="s">
        <v>14</v>
      </c>
      <c r="F132" s="7" t="s">
        <v>28</v>
      </c>
      <c r="G132" s="1">
        <v>45052</v>
      </c>
      <c r="H132" s="7">
        <v>205</v>
      </c>
      <c r="I132" s="7">
        <v>486.68</v>
      </c>
      <c r="J132" s="7">
        <v>113.19</v>
      </c>
      <c r="K132" s="18">
        <f>$H132*$I132</f>
        <v>99769.4</v>
      </c>
      <c r="L132" s="1">
        <f t="shared" si="1"/>
        <v>76565.45</v>
      </c>
    </row>
    <row r="133" spans="1:12" x14ac:dyDescent="0.25">
      <c r="A133" s="7" t="s">
        <v>155</v>
      </c>
      <c r="B133" s="7" t="s">
        <v>48</v>
      </c>
      <c r="C133" s="7" t="s">
        <v>12</v>
      </c>
      <c r="D133" s="7" t="s">
        <v>42</v>
      </c>
      <c r="E133" s="7" t="s">
        <v>24</v>
      </c>
      <c r="F133" s="7" t="s">
        <v>28</v>
      </c>
      <c r="G133" s="1">
        <v>45053</v>
      </c>
      <c r="H133" s="7">
        <v>413</v>
      </c>
      <c r="I133" s="7">
        <v>292.16000000000003</v>
      </c>
      <c r="J133" s="7">
        <v>372.27</v>
      </c>
      <c r="K133" s="18">
        <f>$H133*$I133</f>
        <v>120662.08000000002</v>
      </c>
      <c r="L133" s="1">
        <f t="shared" si="1"/>
        <v>-33085.429999999986</v>
      </c>
    </row>
    <row r="134" spans="1:12" x14ac:dyDescent="0.25">
      <c r="A134" s="7" t="s">
        <v>156</v>
      </c>
      <c r="B134" s="7" t="s">
        <v>22</v>
      </c>
      <c r="C134" s="7" t="s">
        <v>26</v>
      </c>
      <c r="D134" s="7" t="s">
        <v>42</v>
      </c>
      <c r="E134" s="7" t="s">
        <v>24</v>
      </c>
      <c r="F134" s="7" t="s">
        <v>15</v>
      </c>
      <c r="G134" s="1">
        <v>45054</v>
      </c>
      <c r="H134" s="7">
        <v>361</v>
      </c>
      <c r="I134" s="7">
        <v>130.84</v>
      </c>
      <c r="J134" s="7">
        <v>102.72</v>
      </c>
      <c r="K134" s="18">
        <f>$H134*$I134</f>
        <v>47233.24</v>
      </c>
      <c r="L134" s="1">
        <f t="shared" si="1"/>
        <v>10151.320000000002</v>
      </c>
    </row>
    <row r="135" spans="1:12" x14ac:dyDescent="0.25">
      <c r="A135" s="7" t="s">
        <v>157</v>
      </c>
      <c r="B135" s="7" t="s">
        <v>17</v>
      </c>
      <c r="C135" s="7" t="s">
        <v>26</v>
      </c>
      <c r="D135" s="7" t="s">
        <v>27</v>
      </c>
      <c r="E135" s="7" t="s">
        <v>14</v>
      </c>
      <c r="F135" s="7" t="s">
        <v>15</v>
      </c>
      <c r="G135" s="1">
        <v>45055</v>
      </c>
      <c r="H135" s="7">
        <v>493</v>
      </c>
      <c r="I135" s="7">
        <v>263.26</v>
      </c>
      <c r="J135" s="7">
        <v>312.91000000000003</v>
      </c>
      <c r="K135" s="18">
        <f>$H135*$I135</f>
        <v>129787.18</v>
      </c>
      <c r="L135" s="1">
        <f t="shared" si="1"/>
        <v>-24477.450000000015</v>
      </c>
    </row>
    <row r="136" spans="1:12" x14ac:dyDescent="0.25">
      <c r="A136" s="7" t="s">
        <v>158</v>
      </c>
      <c r="B136" s="7" t="s">
        <v>17</v>
      </c>
      <c r="C136" s="7" t="s">
        <v>31</v>
      </c>
      <c r="D136" s="7" t="s">
        <v>19</v>
      </c>
      <c r="E136" s="7" t="s">
        <v>24</v>
      </c>
      <c r="F136" s="7" t="s">
        <v>15</v>
      </c>
      <c r="G136" s="1">
        <v>45056</v>
      </c>
      <c r="H136" s="7">
        <v>251</v>
      </c>
      <c r="I136" s="7">
        <v>174.61</v>
      </c>
      <c r="J136" s="7">
        <v>330.4</v>
      </c>
      <c r="K136" s="18">
        <f>$H136*$I136</f>
        <v>43827.11</v>
      </c>
      <c r="L136" s="1">
        <f t="shared" ref="L136:L199" si="2">($I136-$J136)*$H136</f>
        <v>-39103.289999999994</v>
      </c>
    </row>
    <row r="137" spans="1:12" x14ac:dyDescent="0.25">
      <c r="A137" s="7" t="s">
        <v>159</v>
      </c>
      <c r="B137" s="7" t="s">
        <v>17</v>
      </c>
      <c r="C137" s="7" t="s">
        <v>18</v>
      </c>
      <c r="D137" s="7" t="s">
        <v>27</v>
      </c>
      <c r="E137" s="7" t="s">
        <v>24</v>
      </c>
      <c r="F137" s="7" t="s">
        <v>15</v>
      </c>
      <c r="G137" s="1">
        <v>45057</v>
      </c>
      <c r="H137" s="7">
        <v>255.9</v>
      </c>
      <c r="I137" s="7">
        <v>268.45999999999998</v>
      </c>
      <c r="J137" s="7">
        <v>199.19</v>
      </c>
      <c r="K137" s="18">
        <f>$H137*$I137</f>
        <v>68698.91399999999</v>
      </c>
      <c r="L137" s="1">
        <f t="shared" si="2"/>
        <v>17726.192999999996</v>
      </c>
    </row>
    <row r="138" spans="1:12" x14ac:dyDescent="0.25">
      <c r="A138" s="7" t="s">
        <v>160</v>
      </c>
      <c r="B138" s="7" t="s">
        <v>22</v>
      </c>
      <c r="C138" s="7" t="s">
        <v>26</v>
      </c>
      <c r="D138" s="7" t="s">
        <v>27</v>
      </c>
      <c r="E138" s="7" t="s">
        <v>24</v>
      </c>
      <c r="F138" s="7" t="s">
        <v>15</v>
      </c>
      <c r="G138" s="1">
        <v>45058</v>
      </c>
      <c r="H138" s="7">
        <v>228</v>
      </c>
      <c r="I138" s="7">
        <v>67.239999999999995</v>
      </c>
      <c r="J138" s="7">
        <v>155.77000000000001</v>
      </c>
      <c r="K138" s="18">
        <f>$H138*$I138</f>
        <v>15330.72</v>
      </c>
      <c r="L138" s="1">
        <f t="shared" si="2"/>
        <v>-20184.840000000004</v>
      </c>
    </row>
    <row r="139" spans="1:12" x14ac:dyDescent="0.25">
      <c r="A139" s="7" t="s">
        <v>161</v>
      </c>
      <c r="B139" s="7" t="s">
        <v>22</v>
      </c>
      <c r="C139" s="7" t="s">
        <v>50</v>
      </c>
      <c r="D139" s="7" t="s">
        <v>27</v>
      </c>
      <c r="E139" s="7" t="s">
        <v>14</v>
      </c>
      <c r="F139" s="7" t="s">
        <v>15</v>
      </c>
      <c r="G139" s="1">
        <v>45059</v>
      </c>
      <c r="H139" s="7">
        <v>201</v>
      </c>
      <c r="I139" s="7">
        <v>70.69</v>
      </c>
      <c r="J139" s="7">
        <v>181.15</v>
      </c>
      <c r="K139" s="18">
        <f>$H139*$I139</f>
        <v>14208.689999999999</v>
      </c>
      <c r="L139" s="1">
        <f t="shared" si="2"/>
        <v>-22202.460000000003</v>
      </c>
    </row>
    <row r="140" spans="1:12" x14ac:dyDescent="0.25">
      <c r="A140" s="7" t="s">
        <v>162</v>
      </c>
      <c r="B140" s="7" t="s">
        <v>22</v>
      </c>
      <c r="C140" s="7" t="s">
        <v>26</v>
      </c>
      <c r="D140" s="7" t="s">
        <v>23</v>
      </c>
      <c r="E140" s="7" t="s">
        <v>14</v>
      </c>
      <c r="F140" s="7" t="s">
        <v>15</v>
      </c>
      <c r="G140" s="1">
        <v>45060</v>
      </c>
      <c r="H140" s="7">
        <v>26</v>
      </c>
      <c r="I140" s="7">
        <v>76.05</v>
      </c>
      <c r="J140" s="7">
        <v>92.33</v>
      </c>
      <c r="K140" s="18">
        <f>$H140*$I140</f>
        <v>1977.3</v>
      </c>
      <c r="L140" s="1">
        <f t="shared" si="2"/>
        <v>-423.28000000000003</v>
      </c>
    </row>
    <row r="141" spans="1:12" x14ac:dyDescent="0.25">
      <c r="A141" s="7" t="s">
        <v>163</v>
      </c>
      <c r="B141" s="7" t="s">
        <v>11</v>
      </c>
      <c r="C141" s="7" t="s">
        <v>26</v>
      </c>
      <c r="D141" s="7" t="s">
        <v>23</v>
      </c>
      <c r="E141" s="7" t="s">
        <v>14</v>
      </c>
      <c r="F141" s="7" t="s">
        <v>20</v>
      </c>
      <c r="G141" s="1">
        <v>45061</v>
      </c>
      <c r="H141" s="7">
        <v>21</v>
      </c>
      <c r="I141" s="7">
        <v>470.21</v>
      </c>
      <c r="J141" s="7">
        <v>355.98</v>
      </c>
      <c r="K141" s="18">
        <f>$H141*$I141</f>
        <v>9874.41</v>
      </c>
      <c r="L141" s="1">
        <f t="shared" si="2"/>
        <v>2398.829999999999</v>
      </c>
    </row>
    <row r="142" spans="1:12" x14ac:dyDescent="0.25">
      <c r="A142" s="7" t="s">
        <v>164</v>
      </c>
      <c r="B142" s="7" t="s">
        <v>22</v>
      </c>
      <c r="C142" s="7" t="s">
        <v>18</v>
      </c>
      <c r="D142" s="7" t="s">
        <v>27</v>
      </c>
      <c r="E142" s="7" t="s">
        <v>24</v>
      </c>
      <c r="F142" s="7" t="s">
        <v>28</v>
      </c>
      <c r="G142" s="1">
        <v>45062</v>
      </c>
      <c r="H142" s="7">
        <v>415</v>
      </c>
      <c r="I142" s="7">
        <v>367.78</v>
      </c>
      <c r="J142" s="7">
        <v>181.35</v>
      </c>
      <c r="K142" s="18">
        <f>$H142*$I142</f>
        <v>152628.69999999998</v>
      </c>
      <c r="L142" s="1">
        <f t="shared" si="2"/>
        <v>77368.45</v>
      </c>
    </row>
    <row r="143" spans="1:12" x14ac:dyDescent="0.25">
      <c r="A143" s="7" t="s">
        <v>165</v>
      </c>
      <c r="B143" s="7" t="s">
        <v>22</v>
      </c>
      <c r="C143" s="7" t="s">
        <v>12</v>
      </c>
      <c r="D143" s="7" t="s">
        <v>19</v>
      </c>
      <c r="E143" s="7" t="s">
        <v>24</v>
      </c>
      <c r="F143" s="7" t="s">
        <v>15</v>
      </c>
      <c r="G143" s="1">
        <v>45063</v>
      </c>
      <c r="H143" s="7">
        <v>410</v>
      </c>
      <c r="I143" s="7">
        <v>85.38</v>
      </c>
      <c r="J143" s="7">
        <v>353.22</v>
      </c>
      <c r="K143" s="18">
        <f>$H143*$I143</f>
        <v>35005.799999999996</v>
      </c>
      <c r="L143" s="1">
        <f t="shared" si="2"/>
        <v>-109814.40000000001</v>
      </c>
    </row>
    <row r="144" spans="1:12" x14ac:dyDescent="0.25">
      <c r="A144" s="7" t="s">
        <v>166</v>
      </c>
      <c r="B144" s="7" t="s">
        <v>22</v>
      </c>
      <c r="C144" s="7" t="s">
        <v>26</v>
      </c>
      <c r="D144" s="7" t="s">
        <v>42</v>
      </c>
      <c r="E144" s="7" t="s">
        <v>14</v>
      </c>
      <c r="F144" s="7" t="s">
        <v>20</v>
      </c>
      <c r="G144" s="1">
        <v>45064</v>
      </c>
      <c r="H144" s="7">
        <v>403</v>
      </c>
      <c r="I144" s="7">
        <v>98.23</v>
      </c>
      <c r="J144" s="7">
        <v>44.07</v>
      </c>
      <c r="K144" s="18">
        <f>$H144*$I144</f>
        <v>39586.69</v>
      </c>
      <c r="L144" s="1">
        <f t="shared" si="2"/>
        <v>21826.480000000003</v>
      </c>
    </row>
    <row r="145" spans="1:12" x14ac:dyDescent="0.25">
      <c r="A145" s="7" t="s">
        <v>167</v>
      </c>
      <c r="B145" s="7" t="s">
        <v>11</v>
      </c>
      <c r="C145" s="7" t="s">
        <v>31</v>
      </c>
      <c r="D145" s="7" t="s">
        <v>19</v>
      </c>
      <c r="E145" s="7" t="s">
        <v>24</v>
      </c>
      <c r="F145" s="7" t="s">
        <v>20</v>
      </c>
      <c r="G145" s="1">
        <v>45065</v>
      </c>
      <c r="H145" s="7">
        <v>383</v>
      </c>
      <c r="I145" s="7">
        <v>366.76</v>
      </c>
      <c r="J145" s="7">
        <v>395.33</v>
      </c>
      <c r="K145" s="18">
        <f>$H145*$I145</f>
        <v>140469.07999999999</v>
      </c>
      <c r="L145" s="1">
        <f t="shared" si="2"/>
        <v>-10942.309999999998</v>
      </c>
    </row>
    <row r="146" spans="1:12" x14ac:dyDescent="0.25">
      <c r="A146" s="7" t="s">
        <v>168</v>
      </c>
      <c r="B146" s="7" t="s">
        <v>22</v>
      </c>
      <c r="C146" s="7" t="s">
        <v>12</v>
      </c>
      <c r="D146" s="7" t="s">
        <v>13</v>
      </c>
      <c r="E146" s="7" t="s">
        <v>24</v>
      </c>
      <c r="F146" s="7" t="s">
        <v>20</v>
      </c>
      <c r="G146" s="1">
        <v>45066</v>
      </c>
      <c r="H146" s="7">
        <v>202</v>
      </c>
      <c r="I146" s="7">
        <v>82.3</v>
      </c>
      <c r="J146" s="7">
        <v>178.42</v>
      </c>
      <c r="K146" s="18">
        <f>$H146*$I146</f>
        <v>16624.599999999999</v>
      </c>
      <c r="L146" s="1">
        <f t="shared" si="2"/>
        <v>-19416.239999999998</v>
      </c>
    </row>
    <row r="147" spans="1:12" x14ac:dyDescent="0.25">
      <c r="A147" s="7" t="s">
        <v>169</v>
      </c>
      <c r="B147" s="7" t="s">
        <v>17</v>
      </c>
      <c r="C147" s="7" t="s">
        <v>50</v>
      </c>
      <c r="D147" s="7" t="s">
        <v>23</v>
      </c>
      <c r="E147" s="7" t="s">
        <v>24</v>
      </c>
      <c r="F147" s="7" t="s">
        <v>28</v>
      </c>
      <c r="G147" s="1">
        <v>45067</v>
      </c>
      <c r="H147" s="7">
        <v>31</v>
      </c>
      <c r="I147" s="7">
        <v>121.11</v>
      </c>
      <c r="J147" s="7">
        <v>21.04</v>
      </c>
      <c r="K147" s="18">
        <f>$H147*$I147</f>
        <v>3754.41</v>
      </c>
      <c r="L147" s="1">
        <f t="shared" si="2"/>
        <v>3102.1699999999996</v>
      </c>
    </row>
    <row r="148" spans="1:12" x14ac:dyDescent="0.25">
      <c r="A148" s="7" t="s">
        <v>170</v>
      </c>
      <c r="B148" s="7" t="s">
        <v>22</v>
      </c>
      <c r="C148" s="7" t="s">
        <v>18</v>
      </c>
      <c r="D148" s="7" t="s">
        <v>42</v>
      </c>
      <c r="E148" s="7" t="s">
        <v>24</v>
      </c>
      <c r="F148" s="7" t="s">
        <v>15</v>
      </c>
      <c r="G148" s="1">
        <v>45068</v>
      </c>
      <c r="H148" s="7">
        <v>483</v>
      </c>
      <c r="I148" s="7">
        <v>481.86</v>
      </c>
      <c r="J148" s="7">
        <v>17.13</v>
      </c>
      <c r="K148" s="18">
        <f>$H148*$I148</f>
        <v>232738.38</v>
      </c>
      <c r="L148" s="1">
        <f t="shared" si="2"/>
        <v>224464.59</v>
      </c>
    </row>
    <row r="149" spans="1:12" x14ac:dyDescent="0.25">
      <c r="A149" s="7" t="s">
        <v>171</v>
      </c>
      <c r="B149" s="7" t="s">
        <v>17</v>
      </c>
      <c r="C149" s="7" t="s">
        <v>50</v>
      </c>
      <c r="D149" s="7" t="s">
        <v>42</v>
      </c>
      <c r="E149" s="7" t="s">
        <v>24</v>
      </c>
      <c r="F149" s="7" t="s">
        <v>20</v>
      </c>
      <c r="G149" s="1">
        <v>45069</v>
      </c>
      <c r="H149" s="7">
        <v>129</v>
      </c>
      <c r="I149" s="7">
        <v>131.38</v>
      </c>
      <c r="J149" s="7">
        <v>298.99</v>
      </c>
      <c r="K149" s="18">
        <f>$H149*$I149</f>
        <v>16948.02</v>
      </c>
      <c r="L149" s="1">
        <f t="shared" si="2"/>
        <v>-21621.690000000002</v>
      </c>
    </row>
    <row r="150" spans="1:12" x14ac:dyDescent="0.25">
      <c r="A150" s="7" t="s">
        <v>172</v>
      </c>
      <c r="B150" s="7" t="s">
        <v>17</v>
      </c>
      <c r="C150" s="7" t="s">
        <v>12</v>
      </c>
      <c r="D150" s="7" t="s">
        <v>13</v>
      </c>
      <c r="E150" s="7" t="s">
        <v>14</v>
      </c>
      <c r="F150" s="7" t="s">
        <v>28</v>
      </c>
      <c r="G150" s="1">
        <v>45070</v>
      </c>
      <c r="H150" s="7">
        <v>219</v>
      </c>
      <c r="I150" s="7">
        <v>332.51</v>
      </c>
      <c r="J150" s="7">
        <v>264.3</v>
      </c>
      <c r="K150" s="18">
        <f>$H150*$I150</f>
        <v>72819.69</v>
      </c>
      <c r="L150" s="1">
        <f t="shared" si="2"/>
        <v>14937.989999999996</v>
      </c>
    </row>
    <row r="151" spans="1:12" x14ac:dyDescent="0.25">
      <c r="A151" s="7" t="s">
        <v>173</v>
      </c>
      <c r="B151" s="7" t="s">
        <v>17</v>
      </c>
      <c r="C151" s="7" t="s">
        <v>12</v>
      </c>
      <c r="D151" s="7" t="s">
        <v>13</v>
      </c>
      <c r="E151" s="7" t="s">
        <v>24</v>
      </c>
      <c r="F151" s="7" t="s">
        <v>28</v>
      </c>
      <c r="G151" s="1">
        <v>45071</v>
      </c>
      <c r="H151" s="7">
        <v>315</v>
      </c>
      <c r="I151" s="7">
        <v>489.42</v>
      </c>
      <c r="J151" s="7">
        <v>321.25</v>
      </c>
      <c r="K151" s="18">
        <f>$H151*$I151</f>
        <v>154167.30000000002</v>
      </c>
      <c r="L151" s="1">
        <f t="shared" si="2"/>
        <v>52973.55</v>
      </c>
    </row>
    <row r="152" spans="1:12" x14ac:dyDescent="0.25">
      <c r="A152" s="7" t="s">
        <v>174</v>
      </c>
      <c r="B152" s="7" t="s">
        <v>11</v>
      </c>
      <c r="C152" s="7" t="s">
        <v>12</v>
      </c>
      <c r="D152" s="7" t="s">
        <v>27</v>
      </c>
      <c r="E152" s="7" t="s">
        <v>14</v>
      </c>
      <c r="F152" s="7" t="s">
        <v>28</v>
      </c>
      <c r="G152" s="1">
        <v>45072</v>
      </c>
      <c r="H152" s="7">
        <v>279</v>
      </c>
      <c r="I152" s="7">
        <v>190.28</v>
      </c>
      <c r="J152" s="7">
        <v>43.94</v>
      </c>
      <c r="K152" s="18">
        <f>$H152*$I152</f>
        <v>53088.12</v>
      </c>
      <c r="L152" s="1">
        <f t="shared" si="2"/>
        <v>40828.86</v>
      </c>
    </row>
    <row r="153" spans="1:12" x14ac:dyDescent="0.25">
      <c r="A153" s="7" t="s">
        <v>175</v>
      </c>
      <c r="B153" s="7" t="s">
        <v>11</v>
      </c>
      <c r="C153" s="7" t="s">
        <v>50</v>
      </c>
      <c r="D153" s="7" t="s">
        <v>23</v>
      </c>
      <c r="E153" s="7" t="s">
        <v>24</v>
      </c>
      <c r="F153" s="7" t="s">
        <v>20</v>
      </c>
      <c r="G153" s="1">
        <v>45073</v>
      </c>
      <c r="H153" s="7">
        <v>201</v>
      </c>
      <c r="I153" s="7">
        <v>13.67</v>
      </c>
      <c r="J153" s="7">
        <v>16.16</v>
      </c>
      <c r="K153" s="18">
        <f>$H153*$I153</f>
        <v>2747.67</v>
      </c>
      <c r="L153" s="1">
        <f t="shared" si="2"/>
        <v>-500.49000000000007</v>
      </c>
    </row>
    <row r="154" spans="1:12" x14ac:dyDescent="0.25">
      <c r="A154" s="7" t="s">
        <v>176</v>
      </c>
      <c r="B154" s="7" t="s">
        <v>11</v>
      </c>
      <c r="C154" s="7" t="s">
        <v>12</v>
      </c>
      <c r="D154" s="7" t="s">
        <v>23</v>
      </c>
      <c r="E154" s="7" t="s">
        <v>14</v>
      </c>
      <c r="F154" s="7" t="s">
        <v>15</v>
      </c>
      <c r="G154" s="1">
        <v>45074</v>
      </c>
      <c r="H154" s="7">
        <v>184</v>
      </c>
      <c r="I154" s="7">
        <v>125.85</v>
      </c>
      <c r="J154" s="7">
        <v>204.41</v>
      </c>
      <c r="K154" s="18">
        <f>$H154*$I154</f>
        <v>23156.399999999998</v>
      </c>
      <c r="L154" s="1">
        <f t="shared" si="2"/>
        <v>-14455.04</v>
      </c>
    </row>
    <row r="155" spans="1:12" x14ac:dyDescent="0.25">
      <c r="A155" s="7" t="s">
        <v>177</v>
      </c>
      <c r="B155" s="7" t="s">
        <v>22</v>
      </c>
      <c r="C155" s="7" t="s">
        <v>50</v>
      </c>
      <c r="D155" s="7" t="s">
        <v>19</v>
      </c>
      <c r="E155" s="7" t="s">
        <v>24</v>
      </c>
      <c r="F155" s="7" t="s">
        <v>20</v>
      </c>
      <c r="G155" s="1">
        <v>45075</v>
      </c>
      <c r="H155" s="7">
        <v>294</v>
      </c>
      <c r="I155" s="7">
        <v>416.28</v>
      </c>
      <c r="J155" s="7">
        <v>156.26</v>
      </c>
      <c r="K155" s="18">
        <f>$H155*$I155</f>
        <v>122386.31999999999</v>
      </c>
      <c r="L155" s="1">
        <f t="shared" si="2"/>
        <v>76445.87999999999</v>
      </c>
    </row>
    <row r="156" spans="1:12" x14ac:dyDescent="0.25">
      <c r="A156" s="7" t="s">
        <v>178</v>
      </c>
      <c r="B156" s="7" t="s">
        <v>17</v>
      </c>
      <c r="C156" s="7" t="s">
        <v>12</v>
      </c>
      <c r="D156" s="7" t="s">
        <v>27</v>
      </c>
      <c r="E156" s="7" t="s">
        <v>14</v>
      </c>
      <c r="F156" s="7" t="s">
        <v>20</v>
      </c>
      <c r="G156" s="1">
        <v>45076</v>
      </c>
      <c r="H156" s="7">
        <v>213</v>
      </c>
      <c r="I156" s="7">
        <v>432.98</v>
      </c>
      <c r="J156" s="7">
        <v>185.85</v>
      </c>
      <c r="K156" s="18">
        <f>$H156*$I156</f>
        <v>92224.74</v>
      </c>
      <c r="L156" s="1">
        <f t="shared" si="2"/>
        <v>52638.69</v>
      </c>
    </row>
    <row r="157" spans="1:12" x14ac:dyDescent="0.25">
      <c r="A157" s="7" t="s">
        <v>179</v>
      </c>
      <c r="B157" s="7" t="s">
        <v>11</v>
      </c>
      <c r="C157" s="7" t="s">
        <v>31</v>
      </c>
      <c r="D157" s="7" t="s">
        <v>27</v>
      </c>
      <c r="E157" s="7" t="s">
        <v>24</v>
      </c>
      <c r="F157" s="7" t="s">
        <v>15</v>
      </c>
      <c r="G157" s="1">
        <v>45077</v>
      </c>
      <c r="H157" s="7">
        <v>173</v>
      </c>
      <c r="I157" s="7">
        <v>385.42</v>
      </c>
      <c r="J157" s="7">
        <v>396.65</v>
      </c>
      <c r="K157" s="18">
        <f>$H157*$I157</f>
        <v>66677.66</v>
      </c>
      <c r="L157" s="1">
        <f t="shared" si="2"/>
        <v>-1942.7899999999934</v>
      </c>
    </row>
    <row r="158" spans="1:12" x14ac:dyDescent="0.25">
      <c r="A158" s="7" t="s">
        <v>180</v>
      </c>
      <c r="B158" s="7" t="s">
        <v>11</v>
      </c>
      <c r="C158" s="7" t="s">
        <v>12</v>
      </c>
      <c r="D158" s="7" t="s">
        <v>27</v>
      </c>
      <c r="E158" s="7" t="s">
        <v>14</v>
      </c>
      <c r="F158" s="7" t="s">
        <v>15</v>
      </c>
      <c r="G158" s="1">
        <v>45078</v>
      </c>
      <c r="H158" s="7">
        <v>260</v>
      </c>
      <c r="I158" s="7">
        <v>60.99</v>
      </c>
      <c r="J158" s="7">
        <v>388.36</v>
      </c>
      <c r="K158" s="18">
        <f>$H158*$I158</f>
        <v>15857.4</v>
      </c>
      <c r="L158" s="1">
        <f t="shared" si="2"/>
        <v>-85116.2</v>
      </c>
    </row>
    <row r="159" spans="1:12" x14ac:dyDescent="0.25">
      <c r="A159" s="7" t="s">
        <v>181</v>
      </c>
      <c r="B159" s="7" t="s">
        <v>22</v>
      </c>
      <c r="C159" s="7" t="s">
        <v>50</v>
      </c>
      <c r="D159" s="7" t="s">
        <v>27</v>
      </c>
      <c r="E159" s="7" t="s">
        <v>24</v>
      </c>
      <c r="F159" s="7" t="s">
        <v>15</v>
      </c>
      <c r="G159" s="1">
        <v>45079</v>
      </c>
      <c r="H159" s="7">
        <v>236</v>
      </c>
      <c r="I159" s="7">
        <v>398.78</v>
      </c>
      <c r="J159" s="7">
        <v>377.04</v>
      </c>
      <c r="K159" s="18">
        <f>$H159*$I159</f>
        <v>94112.079999999987</v>
      </c>
      <c r="L159" s="1">
        <f t="shared" si="2"/>
        <v>5130.6399999999885</v>
      </c>
    </row>
    <row r="160" spans="1:12" x14ac:dyDescent="0.25">
      <c r="A160" s="7" t="s">
        <v>182</v>
      </c>
      <c r="B160" s="7" t="s">
        <v>11</v>
      </c>
      <c r="C160" s="7" t="s">
        <v>26</v>
      </c>
      <c r="D160" s="7" t="s">
        <v>23</v>
      </c>
      <c r="E160" s="7" t="s">
        <v>14</v>
      </c>
      <c r="F160" s="7" t="s">
        <v>28</v>
      </c>
      <c r="G160" s="1">
        <v>45080</v>
      </c>
      <c r="H160" s="7">
        <v>445</v>
      </c>
      <c r="I160" s="7">
        <v>459.75</v>
      </c>
      <c r="J160" s="7">
        <v>313.97000000000003</v>
      </c>
      <c r="K160" s="18">
        <f>$H160*$I160</f>
        <v>204588.75</v>
      </c>
      <c r="L160" s="1">
        <f t="shared" si="2"/>
        <v>64872.099999999991</v>
      </c>
    </row>
    <row r="161" spans="1:12" x14ac:dyDescent="0.25">
      <c r="A161" s="7" t="s">
        <v>183</v>
      </c>
      <c r="B161" s="7" t="s">
        <v>22</v>
      </c>
      <c r="C161" s="7" t="s">
        <v>12</v>
      </c>
      <c r="D161" s="7" t="s">
        <v>23</v>
      </c>
      <c r="E161" s="7" t="s">
        <v>24</v>
      </c>
      <c r="F161" s="7" t="s">
        <v>15</v>
      </c>
      <c r="G161" s="1">
        <v>45081</v>
      </c>
      <c r="H161" s="7">
        <v>390</v>
      </c>
      <c r="I161" s="7">
        <v>302.3</v>
      </c>
      <c r="J161" s="7">
        <v>143.22999999999999</v>
      </c>
      <c r="K161" s="18">
        <f>$H161*$I161</f>
        <v>117897</v>
      </c>
      <c r="L161" s="1">
        <f t="shared" si="2"/>
        <v>62037.30000000001</v>
      </c>
    </row>
    <row r="162" spans="1:12" x14ac:dyDescent="0.25">
      <c r="A162" s="7" t="s">
        <v>184</v>
      </c>
      <c r="B162" s="7" t="s">
        <v>48</v>
      </c>
      <c r="C162" s="7" t="s">
        <v>26</v>
      </c>
      <c r="D162" s="7" t="s">
        <v>27</v>
      </c>
      <c r="E162" s="7" t="s">
        <v>14</v>
      </c>
      <c r="F162" s="7" t="s">
        <v>20</v>
      </c>
      <c r="G162" s="1">
        <v>45082</v>
      </c>
      <c r="H162" s="7">
        <v>469</v>
      </c>
      <c r="I162" s="7">
        <v>470.73</v>
      </c>
      <c r="J162" s="7">
        <v>166.03</v>
      </c>
      <c r="K162" s="18">
        <f>$H162*$I162</f>
        <v>220772.37</v>
      </c>
      <c r="L162" s="1">
        <f t="shared" si="2"/>
        <v>142904.30000000002</v>
      </c>
    </row>
    <row r="163" spans="1:12" x14ac:dyDescent="0.25">
      <c r="A163" s="7" t="s">
        <v>185</v>
      </c>
      <c r="B163" s="7" t="s">
        <v>11</v>
      </c>
      <c r="C163" s="7" t="s">
        <v>31</v>
      </c>
      <c r="D163" s="7" t="s">
        <v>19</v>
      </c>
      <c r="E163" s="7" t="s">
        <v>14</v>
      </c>
      <c r="F163" s="7" t="s">
        <v>15</v>
      </c>
      <c r="G163" s="1">
        <v>45083</v>
      </c>
      <c r="H163" s="7">
        <v>16</v>
      </c>
      <c r="I163" s="7">
        <v>249.64</v>
      </c>
      <c r="J163" s="7">
        <v>220.75</v>
      </c>
      <c r="K163" s="18">
        <f>$H163*$I163</f>
        <v>3994.24</v>
      </c>
      <c r="L163" s="1">
        <f t="shared" si="2"/>
        <v>462.23999999999978</v>
      </c>
    </row>
    <row r="164" spans="1:12" x14ac:dyDescent="0.25">
      <c r="A164" s="7" t="s">
        <v>186</v>
      </c>
      <c r="B164" s="7" t="s">
        <v>48</v>
      </c>
      <c r="C164" s="7" t="s">
        <v>18</v>
      </c>
      <c r="D164" s="7" t="s">
        <v>42</v>
      </c>
      <c r="E164" s="7" t="s">
        <v>24</v>
      </c>
      <c r="F164" s="7" t="s">
        <v>20</v>
      </c>
      <c r="G164" s="1">
        <v>45084</v>
      </c>
      <c r="H164" s="7">
        <v>38</v>
      </c>
      <c r="I164" s="7">
        <v>335.15</v>
      </c>
      <c r="J164" s="7">
        <v>332.55</v>
      </c>
      <c r="K164" s="18">
        <f>$H164*$I164</f>
        <v>12735.699999999999</v>
      </c>
      <c r="L164" s="1">
        <f t="shared" si="2"/>
        <v>98.799999999998704</v>
      </c>
    </row>
    <row r="165" spans="1:12" x14ac:dyDescent="0.25">
      <c r="A165" s="7" t="s">
        <v>187</v>
      </c>
      <c r="B165" s="7" t="s">
        <v>22</v>
      </c>
      <c r="C165" s="7" t="s">
        <v>31</v>
      </c>
      <c r="D165" s="7" t="s">
        <v>42</v>
      </c>
      <c r="E165" s="7" t="s">
        <v>24</v>
      </c>
      <c r="F165" s="7" t="s">
        <v>28</v>
      </c>
      <c r="G165" s="1">
        <v>45085</v>
      </c>
      <c r="H165" s="7">
        <v>404</v>
      </c>
      <c r="I165" s="7">
        <v>290.70999999999998</v>
      </c>
      <c r="J165" s="7">
        <v>29.35</v>
      </c>
      <c r="K165" s="18">
        <f>$H165*$I165</f>
        <v>117446.84</v>
      </c>
      <c r="L165" s="1">
        <f t="shared" si="2"/>
        <v>105589.43999999999</v>
      </c>
    </row>
    <row r="166" spans="1:12" x14ac:dyDescent="0.25">
      <c r="A166" s="7" t="s">
        <v>188</v>
      </c>
      <c r="B166" s="7" t="s">
        <v>17</v>
      </c>
      <c r="C166" s="7" t="s">
        <v>12</v>
      </c>
      <c r="D166" s="7" t="s">
        <v>19</v>
      </c>
      <c r="E166" s="7" t="s">
        <v>14</v>
      </c>
      <c r="F166" s="7" t="s">
        <v>20</v>
      </c>
      <c r="G166" s="1">
        <v>45086</v>
      </c>
      <c r="H166" s="7">
        <v>42</v>
      </c>
      <c r="I166" s="7">
        <v>177.54</v>
      </c>
      <c r="J166" s="7">
        <v>170.87</v>
      </c>
      <c r="K166" s="18">
        <f>$H166*$I166</f>
        <v>7456.6799999999994</v>
      </c>
      <c r="L166" s="1">
        <f t="shared" si="2"/>
        <v>280.13999999999947</v>
      </c>
    </row>
    <row r="167" spans="1:12" x14ac:dyDescent="0.25">
      <c r="A167" s="7" t="s">
        <v>189</v>
      </c>
      <c r="B167" s="7" t="s">
        <v>11</v>
      </c>
      <c r="C167" s="7" t="s">
        <v>26</v>
      </c>
      <c r="D167" s="7" t="s">
        <v>27</v>
      </c>
      <c r="E167" s="7" t="s">
        <v>24</v>
      </c>
      <c r="F167" s="7" t="s">
        <v>20</v>
      </c>
      <c r="G167" s="1">
        <v>45087</v>
      </c>
      <c r="H167" s="7">
        <v>143</v>
      </c>
      <c r="I167" s="7">
        <v>83.85</v>
      </c>
      <c r="J167" s="7">
        <v>34.880000000000003</v>
      </c>
      <c r="K167" s="18">
        <f>$H167*$I167</f>
        <v>11990.55</v>
      </c>
      <c r="L167" s="1">
        <f t="shared" si="2"/>
        <v>7002.7099999999991</v>
      </c>
    </row>
    <row r="168" spans="1:12" x14ac:dyDescent="0.25">
      <c r="A168" s="7" t="s">
        <v>190</v>
      </c>
      <c r="B168" s="7" t="s">
        <v>22</v>
      </c>
      <c r="C168" s="7" t="s">
        <v>26</v>
      </c>
      <c r="D168" s="7" t="s">
        <v>23</v>
      </c>
      <c r="E168" s="7" t="s">
        <v>14</v>
      </c>
      <c r="F168" s="7" t="s">
        <v>15</v>
      </c>
      <c r="G168" s="1">
        <v>45088</v>
      </c>
      <c r="H168" s="7">
        <v>376</v>
      </c>
      <c r="I168" s="7">
        <v>304.45</v>
      </c>
      <c r="J168" s="7">
        <v>206.83</v>
      </c>
      <c r="K168" s="18">
        <f>$H168*$I168</f>
        <v>114473.2</v>
      </c>
      <c r="L168" s="1">
        <f t="shared" si="2"/>
        <v>36705.119999999988</v>
      </c>
    </row>
    <row r="169" spans="1:12" x14ac:dyDescent="0.25">
      <c r="A169" s="7" t="s">
        <v>191</v>
      </c>
      <c r="B169" s="7" t="s">
        <v>17</v>
      </c>
      <c r="C169" s="7" t="s">
        <v>50</v>
      </c>
      <c r="D169" s="7" t="s">
        <v>42</v>
      </c>
      <c r="E169" s="7" t="s">
        <v>14</v>
      </c>
      <c r="F169" s="7" t="s">
        <v>15</v>
      </c>
      <c r="G169" s="1">
        <v>45089</v>
      </c>
      <c r="H169" s="7">
        <v>88</v>
      </c>
      <c r="I169" s="7">
        <v>162.47</v>
      </c>
      <c r="J169" s="7">
        <v>359.76</v>
      </c>
      <c r="K169" s="18">
        <f>$H169*$I169</f>
        <v>14297.36</v>
      </c>
      <c r="L169" s="1">
        <f t="shared" si="2"/>
        <v>-17361.52</v>
      </c>
    </row>
    <row r="170" spans="1:12" x14ac:dyDescent="0.25">
      <c r="A170" s="7" t="s">
        <v>192</v>
      </c>
      <c r="B170" s="7" t="s">
        <v>17</v>
      </c>
      <c r="C170" s="7" t="s">
        <v>26</v>
      </c>
      <c r="D170" s="7" t="s">
        <v>13</v>
      </c>
      <c r="E170" s="7" t="s">
        <v>14</v>
      </c>
      <c r="F170" s="7" t="s">
        <v>20</v>
      </c>
      <c r="G170" s="1">
        <v>45090</v>
      </c>
      <c r="H170" s="7">
        <v>425</v>
      </c>
      <c r="I170" s="7">
        <v>433.89</v>
      </c>
      <c r="J170" s="7">
        <v>313.43</v>
      </c>
      <c r="K170" s="18">
        <f>$H170*$I170</f>
        <v>184403.25</v>
      </c>
      <c r="L170" s="1">
        <f t="shared" si="2"/>
        <v>51195.499999999993</v>
      </c>
    </row>
    <row r="171" spans="1:12" x14ac:dyDescent="0.25">
      <c r="A171" s="7" t="s">
        <v>193</v>
      </c>
      <c r="B171" s="7" t="s">
        <v>48</v>
      </c>
      <c r="C171" s="7" t="s">
        <v>50</v>
      </c>
      <c r="D171" s="7" t="s">
        <v>13</v>
      </c>
      <c r="E171" s="7" t="s">
        <v>24</v>
      </c>
      <c r="F171" s="7" t="s">
        <v>15</v>
      </c>
      <c r="G171" s="1">
        <v>45091</v>
      </c>
      <c r="H171" s="7">
        <v>444</v>
      </c>
      <c r="I171" s="7">
        <v>496.7</v>
      </c>
      <c r="J171" s="7">
        <v>92.68</v>
      </c>
      <c r="K171" s="18">
        <f>$H171*$I171</f>
        <v>220534.8</v>
      </c>
      <c r="L171" s="1">
        <f t="shared" si="2"/>
        <v>179384.88</v>
      </c>
    </row>
    <row r="172" spans="1:12" x14ac:dyDescent="0.25">
      <c r="A172" s="7" t="s">
        <v>194</v>
      </c>
      <c r="B172" s="7" t="s">
        <v>22</v>
      </c>
      <c r="C172" s="7" t="s">
        <v>18</v>
      </c>
      <c r="D172" s="7" t="s">
        <v>19</v>
      </c>
      <c r="E172" s="7" t="s">
        <v>14</v>
      </c>
      <c r="F172" s="7" t="s">
        <v>28</v>
      </c>
      <c r="G172" s="1">
        <v>45092</v>
      </c>
      <c r="H172" s="7">
        <v>468</v>
      </c>
      <c r="I172" s="7">
        <v>377.45</v>
      </c>
      <c r="J172" s="7">
        <v>390.44</v>
      </c>
      <c r="K172" s="18">
        <f>$H172*$I172</f>
        <v>176646.6</v>
      </c>
      <c r="L172" s="1">
        <f t="shared" si="2"/>
        <v>-6079.3200000000043</v>
      </c>
    </row>
    <row r="173" spans="1:12" x14ac:dyDescent="0.25">
      <c r="A173" s="7" t="s">
        <v>195</v>
      </c>
      <c r="B173" s="7" t="s">
        <v>17</v>
      </c>
      <c r="C173" s="7" t="s">
        <v>12</v>
      </c>
      <c r="D173" s="7" t="s">
        <v>27</v>
      </c>
      <c r="E173" s="7" t="s">
        <v>14</v>
      </c>
      <c r="F173" s="7" t="s">
        <v>28</v>
      </c>
      <c r="G173" s="1">
        <v>45093</v>
      </c>
      <c r="H173" s="7">
        <v>67</v>
      </c>
      <c r="I173" s="7">
        <v>49.79</v>
      </c>
      <c r="J173" s="7">
        <v>267.61</v>
      </c>
      <c r="K173" s="18">
        <f>$H173*$I173</f>
        <v>3335.93</v>
      </c>
      <c r="L173" s="1">
        <f t="shared" si="2"/>
        <v>-14593.940000000002</v>
      </c>
    </row>
    <row r="174" spans="1:12" x14ac:dyDescent="0.25">
      <c r="A174" s="7" t="s">
        <v>196</v>
      </c>
      <c r="B174" s="7" t="s">
        <v>11</v>
      </c>
      <c r="C174" s="7" t="s">
        <v>50</v>
      </c>
      <c r="D174" s="7" t="s">
        <v>42</v>
      </c>
      <c r="E174" s="7" t="s">
        <v>24</v>
      </c>
      <c r="F174" s="7" t="s">
        <v>15</v>
      </c>
      <c r="G174" s="1">
        <v>45094</v>
      </c>
      <c r="H174" s="7">
        <v>480</v>
      </c>
      <c r="I174" s="7">
        <v>147.9</v>
      </c>
      <c r="J174" s="7">
        <v>6.15</v>
      </c>
      <c r="K174" s="18">
        <f>$H174*$I174</f>
        <v>70992</v>
      </c>
      <c r="L174" s="1">
        <f t="shared" si="2"/>
        <v>68040</v>
      </c>
    </row>
    <row r="175" spans="1:12" x14ac:dyDescent="0.25">
      <c r="A175" s="7" t="s">
        <v>197</v>
      </c>
      <c r="B175" s="7" t="s">
        <v>11</v>
      </c>
      <c r="C175" s="7" t="s">
        <v>18</v>
      </c>
      <c r="D175" s="7" t="s">
        <v>27</v>
      </c>
      <c r="E175" s="7" t="s">
        <v>24</v>
      </c>
      <c r="F175" s="7" t="s">
        <v>28</v>
      </c>
      <c r="G175" s="1">
        <v>45095</v>
      </c>
      <c r="H175" s="7">
        <v>35</v>
      </c>
      <c r="I175" s="7">
        <v>59.01</v>
      </c>
      <c r="J175" s="7">
        <v>103.65</v>
      </c>
      <c r="K175" s="18">
        <f>$H175*$I175</f>
        <v>2065.35</v>
      </c>
      <c r="L175" s="1">
        <f t="shared" si="2"/>
        <v>-1562.4000000000003</v>
      </c>
    </row>
    <row r="176" spans="1:12" x14ac:dyDescent="0.25">
      <c r="A176" s="7" t="s">
        <v>198</v>
      </c>
      <c r="B176" s="7" t="s">
        <v>48</v>
      </c>
      <c r="C176" s="7" t="s">
        <v>26</v>
      </c>
      <c r="D176" s="7" t="s">
        <v>42</v>
      </c>
      <c r="E176" s="7" t="s">
        <v>24</v>
      </c>
      <c r="F176" s="7" t="s">
        <v>15</v>
      </c>
      <c r="G176" s="1">
        <v>45096</v>
      </c>
      <c r="H176" s="7">
        <v>491</v>
      </c>
      <c r="I176" s="7">
        <v>327</v>
      </c>
      <c r="J176" s="7">
        <v>105.76</v>
      </c>
      <c r="K176" s="18">
        <f>$H176*$I176</f>
        <v>160557</v>
      </c>
      <c r="L176" s="1">
        <f t="shared" si="2"/>
        <v>108628.84000000001</v>
      </c>
    </row>
    <row r="177" spans="1:12" x14ac:dyDescent="0.25">
      <c r="A177" s="7" t="s">
        <v>199</v>
      </c>
      <c r="B177" s="7" t="s">
        <v>17</v>
      </c>
      <c r="C177" s="7" t="s">
        <v>26</v>
      </c>
      <c r="D177" s="7" t="s">
        <v>19</v>
      </c>
      <c r="E177" s="7" t="s">
        <v>24</v>
      </c>
      <c r="F177" s="7" t="s">
        <v>20</v>
      </c>
      <c r="G177" s="1">
        <v>45097</v>
      </c>
      <c r="H177" s="7">
        <v>439</v>
      </c>
      <c r="I177" s="7">
        <v>383.77</v>
      </c>
      <c r="J177" s="7">
        <v>29.56</v>
      </c>
      <c r="K177" s="18">
        <f>$H177*$I177</f>
        <v>168475.03</v>
      </c>
      <c r="L177" s="1">
        <f t="shared" si="2"/>
        <v>155498.19</v>
      </c>
    </row>
    <row r="178" spans="1:12" x14ac:dyDescent="0.25">
      <c r="A178" s="7" t="s">
        <v>200</v>
      </c>
      <c r="B178" s="7" t="s">
        <v>22</v>
      </c>
      <c r="C178" s="7" t="s">
        <v>18</v>
      </c>
      <c r="D178" s="7" t="s">
        <v>19</v>
      </c>
      <c r="E178" s="7" t="s">
        <v>14</v>
      </c>
      <c r="F178" s="7" t="s">
        <v>20</v>
      </c>
      <c r="G178" s="1">
        <v>45098</v>
      </c>
      <c r="H178" s="7">
        <v>235</v>
      </c>
      <c r="I178" s="7">
        <v>463.21</v>
      </c>
      <c r="J178" s="7">
        <v>384.01</v>
      </c>
      <c r="K178" s="18">
        <f>$H178*$I178</f>
        <v>108854.34999999999</v>
      </c>
      <c r="L178" s="1">
        <f t="shared" si="2"/>
        <v>18611.999999999996</v>
      </c>
    </row>
    <row r="179" spans="1:12" x14ac:dyDescent="0.25">
      <c r="A179" s="7" t="s">
        <v>201</v>
      </c>
      <c r="B179" s="7" t="s">
        <v>11</v>
      </c>
      <c r="C179" s="7" t="s">
        <v>26</v>
      </c>
      <c r="D179" s="7" t="s">
        <v>13</v>
      </c>
      <c r="E179" s="7" t="s">
        <v>14</v>
      </c>
      <c r="F179" s="7" t="s">
        <v>28</v>
      </c>
      <c r="G179" s="1">
        <v>45099</v>
      </c>
      <c r="H179" s="7">
        <v>294</v>
      </c>
      <c r="I179" s="7">
        <v>221.9</v>
      </c>
      <c r="J179" s="7">
        <v>192.35</v>
      </c>
      <c r="K179" s="18">
        <f>$H179*$I179</f>
        <v>65238.6</v>
      </c>
      <c r="L179" s="1">
        <f t="shared" si="2"/>
        <v>8687.7000000000025</v>
      </c>
    </row>
    <row r="180" spans="1:12" x14ac:dyDescent="0.25">
      <c r="A180" s="7" t="s">
        <v>202</v>
      </c>
      <c r="B180" s="7" t="s">
        <v>17</v>
      </c>
      <c r="C180" s="7" t="s">
        <v>18</v>
      </c>
      <c r="D180" s="7" t="s">
        <v>27</v>
      </c>
      <c r="E180" s="7" t="s">
        <v>14</v>
      </c>
      <c r="F180" s="7" t="s">
        <v>15</v>
      </c>
      <c r="G180" s="1">
        <v>45100</v>
      </c>
      <c r="H180" s="7">
        <v>13</v>
      </c>
      <c r="I180" s="7">
        <v>451.18</v>
      </c>
      <c r="J180" s="7">
        <v>358.53</v>
      </c>
      <c r="K180" s="18">
        <f>$H180*$I180</f>
        <v>5865.34</v>
      </c>
      <c r="L180" s="1">
        <f t="shared" si="2"/>
        <v>1204.4500000000005</v>
      </c>
    </row>
    <row r="181" spans="1:12" x14ac:dyDescent="0.25">
      <c r="A181" s="7" t="s">
        <v>203</v>
      </c>
      <c r="B181" s="7" t="s">
        <v>17</v>
      </c>
      <c r="C181" s="7" t="s">
        <v>50</v>
      </c>
      <c r="D181" s="7" t="s">
        <v>13</v>
      </c>
      <c r="E181" s="7" t="s">
        <v>14</v>
      </c>
      <c r="F181" s="7" t="s">
        <v>15</v>
      </c>
      <c r="G181" s="1">
        <v>45101</v>
      </c>
      <c r="H181" s="7">
        <v>474</v>
      </c>
      <c r="I181" s="7">
        <v>439.56</v>
      </c>
      <c r="J181" s="7">
        <v>130.24</v>
      </c>
      <c r="K181" s="18">
        <f>$H181*$I181</f>
        <v>208351.44</v>
      </c>
      <c r="L181" s="1">
        <f t="shared" si="2"/>
        <v>146617.68</v>
      </c>
    </row>
    <row r="182" spans="1:12" x14ac:dyDescent="0.25">
      <c r="A182" s="7" t="s">
        <v>204</v>
      </c>
      <c r="B182" s="7" t="s">
        <v>48</v>
      </c>
      <c r="C182" s="7" t="s">
        <v>50</v>
      </c>
      <c r="D182" s="7" t="s">
        <v>27</v>
      </c>
      <c r="E182" s="7" t="s">
        <v>24</v>
      </c>
      <c r="F182" s="7" t="s">
        <v>28</v>
      </c>
      <c r="G182" s="1">
        <v>45102</v>
      </c>
      <c r="H182" s="7">
        <v>108</v>
      </c>
      <c r="I182" s="7">
        <v>162.01</v>
      </c>
      <c r="J182" s="7">
        <v>51.84</v>
      </c>
      <c r="K182" s="18">
        <f>$H182*$I182</f>
        <v>17497.079999999998</v>
      </c>
      <c r="L182" s="1">
        <f t="shared" si="2"/>
        <v>11898.359999999999</v>
      </c>
    </row>
    <row r="183" spans="1:12" x14ac:dyDescent="0.25">
      <c r="A183" s="7" t="s">
        <v>205</v>
      </c>
      <c r="B183" s="7" t="s">
        <v>11</v>
      </c>
      <c r="C183" s="7" t="s">
        <v>18</v>
      </c>
      <c r="D183" s="7" t="s">
        <v>13</v>
      </c>
      <c r="E183" s="7" t="s">
        <v>14</v>
      </c>
      <c r="F183" s="7" t="s">
        <v>20</v>
      </c>
      <c r="G183" s="1">
        <v>45103</v>
      </c>
      <c r="H183" s="7">
        <v>406</v>
      </c>
      <c r="I183" s="7">
        <v>435.11</v>
      </c>
      <c r="J183" s="7">
        <v>190.79</v>
      </c>
      <c r="K183" s="18">
        <f>$H183*$I183</f>
        <v>176654.66</v>
      </c>
      <c r="L183" s="1">
        <f t="shared" si="2"/>
        <v>99193.920000000013</v>
      </c>
    </row>
    <row r="184" spans="1:12" x14ac:dyDescent="0.25">
      <c r="A184" s="7" t="s">
        <v>206</v>
      </c>
      <c r="B184" s="7" t="s">
        <v>11</v>
      </c>
      <c r="C184" s="7" t="s">
        <v>50</v>
      </c>
      <c r="D184" s="7" t="s">
        <v>23</v>
      </c>
      <c r="E184" s="7" t="s">
        <v>14</v>
      </c>
      <c r="F184" s="7" t="s">
        <v>28</v>
      </c>
      <c r="G184" s="1">
        <v>45104</v>
      </c>
      <c r="H184" s="7">
        <v>498</v>
      </c>
      <c r="I184" s="7">
        <v>190.96</v>
      </c>
      <c r="J184" s="7">
        <v>47.35</v>
      </c>
      <c r="K184" s="18">
        <f>$H184*$I184</f>
        <v>95098.08</v>
      </c>
      <c r="L184" s="1">
        <f t="shared" si="2"/>
        <v>71517.780000000013</v>
      </c>
    </row>
    <row r="185" spans="1:12" x14ac:dyDescent="0.25">
      <c r="A185" s="7" t="s">
        <v>207</v>
      </c>
      <c r="B185" s="7" t="s">
        <v>22</v>
      </c>
      <c r="C185" s="7" t="s">
        <v>50</v>
      </c>
      <c r="D185" s="7" t="s">
        <v>23</v>
      </c>
      <c r="E185" s="7" t="s">
        <v>24</v>
      </c>
      <c r="F185" s="7" t="s">
        <v>20</v>
      </c>
      <c r="G185" s="1">
        <v>45105</v>
      </c>
      <c r="H185" s="7">
        <v>48</v>
      </c>
      <c r="I185" s="7">
        <v>151.94999999999999</v>
      </c>
      <c r="J185" s="7">
        <v>195.43</v>
      </c>
      <c r="K185" s="18">
        <f>$H185*$I185</f>
        <v>7293.5999999999995</v>
      </c>
      <c r="L185" s="1">
        <f t="shared" si="2"/>
        <v>-2087.0400000000009</v>
      </c>
    </row>
    <row r="186" spans="1:12" x14ac:dyDescent="0.25">
      <c r="A186" s="7" t="s">
        <v>208</v>
      </c>
      <c r="B186" s="7" t="s">
        <v>11</v>
      </c>
      <c r="C186" s="7" t="s">
        <v>50</v>
      </c>
      <c r="D186" s="7" t="s">
        <v>23</v>
      </c>
      <c r="E186" s="7" t="s">
        <v>14</v>
      </c>
      <c r="F186" s="7" t="s">
        <v>15</v>
      </c>
      <c r="G186" s="1">
        <v>45106</v>
      </c>
      <c r="H186" s="7">
        <v>280</v>
      </c>
      <c r="I186" s="7">
        <v>326.29000000000002</v>
      </c>
      <c r="J186" s="7">
        <v>368.28</v>
      </c>
      <c r="K186" s="18">
        <f>$H186*$I186</f>
        <v>91361.200000000012</v>
      </c>
      <c r="L186" s="1">
        <f t="shared" si="2"/>
        <v>-11757.199999999986</v>
      </c>
    </row>
    <row r="187" spans="1:12" x14ac:dyDescent="0.25">
      <c r="A187" s="7" t="s">
        <v>209</v>
      </c>
      <c r="B187" s="7" t="s">
        <v>22</v>
      </c>
      <c r="C187" s="7" t="s">
        <v>31</v>
      </c>
      <c r="D187" s="7" t="s">
        <v>23</v>
      </c>
      <c r="E187" s="7" t="s">
        <v>14</v>
      </c>
      <c r="F187" s="7" t="s">
        <v>20</v>
      </c>
      <c r="G187" s="1">
        <v>45107</v>
      </c>
      <c r="H187" s="7">
        <v>384</v>
      </c>
      <c r="I187" s="7">
        <v>167.55</v>
      </c>
      <c r="J187" s="7">
        <v>209.27</v>
      </c>
      <c r="K187" s="18">
        <f>$H187*$I187</f>
        <v>64339.200000000004</v>
      </c>
      <c r="L187" s="1">
        <f t="shared" si="2"/>
        <v>-16020.48</v>
      </c>
    </row>
    <row r="188" spans="1:12" x14ac:dyDescent="0.25">
      <c r="A188" s="7" t="s">
        <v>210</v>
      </c>
      <c r="B188" s="7" t="s">
        <v>11</v>
      </c>
      <c r="C188" s="7" t="s">
        <v>12</v>
      </c>
      <c r="D188" s="7" t="s">
        <v>42</v>
      </c>
      <c r="E188" s="7" t="s">
        <v>14</v>
      </c>
      <c r="F188" s="7" t="s">
        <v>28</v>
      </c>
      <c r="G188" s="1">
        <v>45108</v>
      </c>
      <c r="H188" s="7">
        <v>294</v>
      </c>
      <c r="I188" s="7">
        <v>316.95</v>
      </c>
      <c r="J188" s="7">
        <v>247.37</v>
      </c>
      <c r="K188" s="18">
        <f>$H188*$I188</f>
        <v>93183.3</v>
      </c>
      <c r="L188" s="1">
        <f t="shared" si="2"/>
        <v>20456.519999999997</v>
      </c>
    </row>
    <row r="189" spans="1:12" x14ac:dyDescent="0.25">
      <c r="A189" s="7" t="s">
        <v>211</v>
      </c>
      <c r="B189" s="7" t="s">
        <v>48</v>
      </c>
      <c r="C189" s="7" t="s">
        <v>26</v>
      </c>
      <c r="D189" s="7" t="s">
        <v>23</v>
      </c>
      <c r="E189" s="7" t="s">
        <v>14</v>
      </c>
      <c r="F189" s="7" t="s">
        <v>15</v>
      </c>
      <c r="G189" s="1">
        <v>45109</v>
      </c>
      <c r="H189" s="7">
        <v>166</v>
      </c>
      <c r="I189" s="7">
        <v>306.87</v>
      </c>
      <c r="J189" s="7">
        <v>64.34</v>
      </c>
      <c r="K189" s="18">
        <f>$H189*$I189</f>
        <v>50940.42</v>
      </c>
      <c r="L189" s="1">
        <f t="shared" si="2"/>
        <v>40259.980000000003</v>
      </c>
    </row>
    <row r="190" spans="1:12" x14ac:dyDescent="0.25">
      <c r="A190" s="7" t="s">
        <v>212</v>
      </c>
      <c r="B190" s="7" t="s">
        <v>11</v>
      </c>
      <c r="C190" s="7" t="s">
        <v>31</v>
      </c>
      <c r="D190" s="7" t="s">
        <v>19</v>
      </c>
      <c r="E190" s="7" t="s">
        <v>14</v>
      </c>
      <c r="F190" s="7" t="s">
        <v>28</v>
      </c>
      <c r="G190" s="1">
        <v>45110</v>
      </c>
      <c r="H190" s="7">
        <v>84</v>
      </c>
      <c r="I190" s="7">
        <v>283.89999999999998</v>
      </c>
      <c r="J190" s="7">
        <v>19.41</v>
      </c>
      <c r="K190" s="18">
        <f>$H190*$I190</f>
        <v>23847.599999999999</v>
      </c>
      <c r="L190" s="1">
        <f t="shared" si="2"/>
        <v>22217.159999999996</v>
      </c>
    </row>
    <row r="191" spans="1:12" x14ac:dyDescent="0.25">
      <c r="A191" s="7" t="s">
        <v>213</v>
      </c>
      <c r="B191" s="7" t="s">
        <v>22</v>
      </c>
      <c r="C191" s="7" t="s">
        <v>50</v>
      </c>
      <c r="D191" s="7" t="s">
        <v>19</v>
      </c>
      <c r="E191" s="7" t="s">
        <v>14</v>
      </c>
      <c r="F191" s="7" t="s">
        <v>28</v>
      </c>
      <c r="G191" s="1">
        <v>45111</v>
      </c>
      <c r="H191" s="7">
        <v>381</v>
      </c>
      <c r="I191" s="7">
        <v>193.31</v>
      </c>
      <c r="J191" s="7">
        <v>46.1</v>
      </c>
      <c r="K191" s="18">
        <f>$H191*$I191</f>
        <v>73651.11</v>
      </c>
      <c r="L191" s="1">
        <f t="shared" si="2"/>
        <v>56087.01</v>
      </c>
    </row>
    <row r="192" spans="1:12" x14ac:dyDescent="0.25">
      <c r="A192" s="7" t="s">
        <v>214</v>
      </c>
      <c r="B192" s="7" t="s">
        <v>22</v>
      </c>
      <c r="C192" s="7" t="s">
        <v>18</v>
      </c>
      <c r="D192" s="7" t="s">
        <v>42</v>
      </c>
      <c r="E192" s="7" t="s">
        <v>24</v>
      </c>
      <c r="F192" s="7" t="s">
        <v>20</v>
      </c>
      <c r="G192" s="1">
        <v>45112</v>
      </c>
      <c r="H192" s="7">
        <v>297</v>
      </c>
      <c r="I192" s="7">
        <v>276.51</v>
      </c>
      <c r="J192" s="7">
        <v>240.22</v>
      </c>
      <c r="K192" s="18">
        <f>$H192*$I192</f>
        <v>82123.47</v>
      </c>
      <c r="L192" s="1">
        <f t="shared" si="2"/>
        <v>10778.129999999997</v>
      </c>
    </row>
    <row r="193" spans="1:12" x14ac:dyDescent="0.25">
      <c r="A193" s="7" t="s">
        <v>215</v>
      </c>
      <c r="B193" s="7" t="s">
        <v>48</v>
      </c>
      <c r="C193" s="7" t="s">
        <v>50</v>
      </c>
      <c r="D193" s="7" t="s">
        <v>23</v>
      </c>
      <c r="E193" s="7" t="s">
        <v>24</v>
      </c>
      <c r="F193" s="7" t="s">
        <v>28</v>
      </c>
      <c r="G193" s="1">
        <v>45113</v>
      </c>
      <c r="H193" s="7">
        <v>139</v>
      </c>
      <c r="I193" s="7">
        <v>300.26</v>
      </c>
      <c r="J193" s="7">
        <v>39.81</v>
      </c>
      <c r="K193" s="18">
        <f>$H193*$I193</f>
        <v>41736.14</v>
      </c>
      <c r="L193" s="1">
        <f t="shared" si="2"/>
        <v>36202.549999999996</v>
      </c>
    </row>
    <row r="194" spans="1:12" x14ac:dyDescent="0.25">
      <c r="A194" s="7" t="s">
        <v>216</v>
      </c>
      <c r="B194" s="7" t="s">
        <v>11</v>
      </c>
      <c r="C194" s="7" t="s">
        <v>12</v>
      </c>
      <c r="D194" s="7" t="s">
        <v>23</v>
      </c>
      <c r="E194" s="7" t="s">
        <v>14</v>
      </c>
      <c r="F194" s="7" t="s">
        <v>20</v>
      </c>
      <c r="G194" s="1">
        <v>45114</v>
      </c>
      <c r="H194" s="7">
        <v>184</v>
      </c>
      <c r="I194" s="7">
        <v>275.12</v>
      </c>
      <c r="J194" s="7">
        <v>151.65</v>
      </c>
      <c r="K194" s="18">
        <f>$H194*$I194</f>
        <v>50622.080000000002</v>
      </c>
      <c r="L194" s="1">
        <f t="shared" si="2"/>
        <v>22718.48</v>
      </c>
    </row>
    <row r="195" spans="1:12" x14ac:dyDescent="0.25">
      <c r="A195" s="7" t="s">
        <v>217</v>
      </c>
      <c r="B195" s="7" t="s">
        <v>11</v>
      </c>
      <c r="C195" s="7" t="s">
        <v>50</v>
      </c>
      <c r="D195" s="7" t="s">
        <v>23</v>
      </c>
      <c r="E195" s="7" t="s">
        <v>14</v>
      </c>
      <c r="F195" s="7" t="s">
        <v>15</v>
      </c>
      <c r="G195" s="1">
        <v>45115</v>
      </c>
      <c r="H195" s="7">
        <v>471</v>
      </c>
      <c r="I195" s="7">
        <v>224.99</v>
      </c>
      <c r="J195" s="7">
        <v>220.94</v>
      </c>
      <c r="K195" s="18">
        <f>$H195*$I195</f>
        <v>105970.29000000001</v>
      </c>
      <c r="L195" s="1">
        <f t="shared" si="2"/>
        <v>1907.5500000000054</v>
      </c>
    </row>
    <row r="196" spans="1:12" x14ac:dyDescent="0.25">
      <c r="A196" s="7" t="s">
        <v>218</v>
      </c>
      <c r="B196" s="7" t="s">
        <v>48</v>
      </c>
      <c r="C196" s="7" t="s">
        <v>18</v>
      </c>
      <c r="D196" s="7" t="s">
        <v>13</v>
      </c>
      <c r="E196" s="7" t="s">
        <v>24</v>
      </c>
      <c r="F196" s="7" t="s">
        <v>20</v>
      </c>
      <c r="G196" s="1">
        <v>45116</v>
      </c>
      <c r="H196" s="7">
        <v>93</v>
      </c>
      <c r="I196" s="7">
        <v>12.26</v>
      </c>
      <c r="J196" s="7">
        <v>156.68</v>
      </c>
      <c r="K196" s="18">
        <f>$H196*$I196</f>
        <v>1140.18</v>
      </c>
      <c r="L196" s="1">
        <f t="shared" si="2"/>
        <v>-13431.060000000001</v>
      </c>
    </row>
    <row r="197" spans="1:12" x14ac:dyDescent="0.25">
      <c r="A197" s="7" t="s">
        <v>219</v>
      </c>
      <c r="B197" s="7" t="s">
        <v>11</v>
      </c>
      <c r="C197" s="7" t="s">
        <v>12</v>
      </c>
      <c r="D197" s="7" t="s">
        <v>27</v>
      </c>
      <c r="E197" s="7" t="s">
        <v>14</v>
      </c>
      <c r="F197" s="7" t="s">
        <v>15</v>
      </c>
      <c r="G197" s="1">
        <v>45117</v>
      </c>
      <c r="H197" s="7">
        <v>31</v>
      </c>
      <c r="I197" s="7">
        <v>295.60000000000002</v>
      </c>
      <c r="J197" s="7">
        <v>67.150000000000006</v>
      </c>
      <c r="K197" s="18">
        <f>$H197*$I197</f>
        <v>9163.6</v>
      </c>
      <c r="L197" s="1">
        <f t="shared" si="2"/>
        <v>7081.9500000000007</v>
      </c>
    </row>
    <row r="198" spans="1:12" x14ac:dyDescent="0.25">
      <c r="A198" s="7" t="s">
        <v>220</v>
      </c>
      <c r="B198" s="7" t="s">
        <v>11</v>
      </c>
      <c r="C198" s="7" t="s">
        <v>50</v>
      </c>
      <c r="D198" s="7" t="s">
        <v>13</v>
      </c>
      <c r="E198" s="7" t="s">
        <v>14</v>
      </c>
      <c r="F198" s="7" t="s">
        <v>20</v>
      </c>
      <c r="G198" s="1">
        <v>45118</v>
      </c>
      <c r="H198" s="7">
        <v>468</v>
      </c>
      <c r="I198" s="7">
        <v>88.38</v>
      </c>
      <c r="J198" s="7">
        <v>110.97</v>
      </c>
      <c r="K198" s="18">
        <f>$H198*$I198</f>
        <v>41361.839999999997</v>
      </c>
      <c r="L198" s="1">
        <f t="shared" si="2"/>
        <v>-10572.12</v>
      </c>
    </row>
    <row r="199" spans="1:12" x14ac:dyDescent="0.25">
      <c r="A199" s="7" t="s">
        <v>221</v>
      </c>
      <c r="B199" s="7" t="s">
        <v>22</v>
      </c>
      <c r="C199" s="7" t="s">
        <v>12</v>
      </c>
      <c r="D199" s="7" t="s">
        <v>27</v>
      </c>
      <c r="E199" s="7" t="s">
        <v>14</v>
      </c>
      <c r="F199" s="7" t="s">
        <v>28</v>
      </c>
      <c r="G199" s="1">
        <v>45119</v>
      </c>
      <c r="H199" s="7">
        <v>36</v>
      </c>
      <c r="I199" s="7">
        <v>323.08</v>
      </c>
      <c r="J199" s="7">
        <v>371.47</v>
      </c>
      <c r="K199" s="18">
        <f>$H199*$I199</f>
        <v>11630.88</v>
      </c>
      <c r="L199" s="1">
        <f t="shared" si="2"/>
        <v>-1742.0400000000016</v>
      </c>
    </row>
    <row r="200" spans="1:12" x14ac:dyDescent="0.25">
      <c r="A200" s="7" t="s">
        <v>222</v>
      </c>
      <c r="B200" s="7" t="s">
        <v>11</v>
      </c>
      <c r="C200" s="7" t="s">
        <v>26</v>
      </c>
      <c r="D200" s="7" t="s">
        <v>23</v>
      </c>
      <c r="E200" s="7" t="s">
        <v>24</v>
      </c>
      <c r="F200" s="7" t="s">
        <v>20</v>
      </c>
      <c r="G200" s="1">
        <v>45120</v>
      </c>
      <c r="H200" s="7">
        <v>204</v>
      </c>
      <c r="I200" s="7">
        <v>380.88</v>
      </c>
      <c r="J200" s="7">
        <v>271.04000000000002</v>
      </c>
      <c r="K200" s="18">
        <f>$H200*$I200</f>
        <v>77699.520000000004</v>
      </c>
      <c r="L200" s="1">
        <f t="shared" ref="L200:L263" si="3">($I200-$J200)*$H200</f>
        <v>22407.359999999993</v>
      </c>
    </row>
    <row r="201" spans="1:12" x14ac:dyDescent="0.25">
      <c r="A201" s="7" t="s">
        <v>223</v>
      </c>
      <c r="B201" s="7" t="s">
        <v>11</v>
      </c>
      <c r="C201" s="7" t="s">
        <v>26</v>
      </c>
      <c r="D201" s="7" t="s">
        <v>23</v>
      </c>
      <c r="E201" s="7" t="s">
        <v>14</v>
      </c>
      <c r="F201" s="7" t="s">
        <v>20</v>
      </c>
      <c r="G201" s="1">
        <v>45121</v>
      </c>
      <c r="H201" s="7">
        <v>346</v>
      </c>
      <c r="I201" s="7">
        <v>252.72</v>
      </c>
      <c r="J201" s="7">
        <v>199.43</v>
      </c>
      <c r="K201" s="18">
        <f>$H201*$I201</f>
        <v>87441.12</v>
      </c>
      <c r="L201" s="1">
        <f t="shared" si="3"/>
        <v>18438.339999999997</v>
      </c>
    </row>
    <row r="202" spans="1:12" x14ac:dyDescent="0.25">
      <c r="A202" s="7" t="s">
        <v>224</v>
      </c>
      <c r="B202" s="7" t="s">
        <v>48</v>
      </c>
      <c r="C202" s="7" t="s">
        <v>50</v>
      </c>
      <c r="D202" s="7" t="s">
        <v>13</v>
      </c>
      <c r="E202" s="7" t="s">
        <v>24</v>
      </c>
      <c r="F202" s="7" t="s">
        <v>15</v>
      </c>
      <c r="G202" s="1">
        <v>45122</v>
      </c>
      <c r="H202" s="7">
        <v>391</v>
      </c>
      <c r="I202" s="7">
        <v>273.47000000000003</v>
      </c>
      <c r="J202" s="7">
        <v>7.06</v>
      </c>
      <c r="K202" s="18">
        <f>$H202*$I202</f>
        <v>106926.77</v>
      </c>
      <c r="L202" s="1">
        <f t="shared" si="3"/>
        <v>104166.31000000001</v>
      </c>
    </row>
    <row r="203" spans="1:12" x14ac:dyDescent="0.25">
      <c r="A203" s="7" t="s">
        <v>225</v>
      </c>
      <c r="B203" s="7" t="s">
        <v>48</v>
      </c>
      <c r="C203" s="7" t="s">
        <v>12</v>
      </c>
      <c r="D203" s="7" t="s">
        <v>13</v>
      </c>
      <c r="E203" s="7" t="s">
        <v>14</v>
      </c>
      <c r="F203" s="7" t="s">
        <v>28</v>
      </c>
      <c r="G203" s="1">
        <v>45123</v>
      </c>
      <c r="H203" s="7">
        <v>245</v>
      </c>
      <c r="I203" s="7">
        <v>475.98</v>
      </c>
      <c r="J203" s="7">
        <v>396.98</v>
      </c>
      <c r="K203" s="18">
        <f>$H203*$I203</f>
        <v>116615.1</v>
      </c>
      <c r="L203" s="1">
        <f t="shared" si="3"/>
        <v>19355</v>
      </c>
    </row>
    <row r="204" spans="1:12" x14ac:dyDescent="0.25">
      <c r="A204" s="7" t="s">
        <v>226</v>
      </c>
      <c r="B204" s="7" t="s">
        <v>17</v>
      </c>
      <c r="C204" s="7" t="s">
        <v>18</v>
      </c>
      <c r="D204" s="7" t="s">
        <v>27</v>
      </c>
      <c r="E204" s="7" t="s">
        <v>24</v>
      </c>
      <c r="F204" s="7" t="s">
        <v>20</v>
      </c>
      <c r="G204" s="1">
        <v>45124</v>
      </c>
      <c r="H204" s="7">
        <v>449</v>
      </c>
      <c r="I204" s="7">
        <v>424.35</v>
      </c>
      <c r="J204" s="7">
        <v>269.24</v>
      </c>
      <c r="K204" s="18">
        <f>$H204*$I204</f>
        <v>190533.15000000002</v>
      </c>
      <c r="L204" s="1">
        <f t="shared" si="3"/>
        <v>69644.39</v>
      </c>
    </row>
    <row r="205" spans="1:12" x14ac:dyDescent="0.25">
      <c r="A205" s="7" t="s">
        <v>227</v>
      </c>
      <c r="B205" s="7" t="s">
        <v>22</v>
      </c>
      <c r="C205" s="7" t="s">
        <v>50</v>
      </c>
      <c r="D205" s="7" t="s">
        <v>19</v>
      </c>
      <c r="E205" s="7" t="s">
        <v>24</v>
      </c>
      <c r="F205" s="7" t="s">
        <v>28</v>
      </c>
      <c r="G205" s="1">
        <v>45125</v>
      </c>
      <c r="H205" s="7">
        <v>101</v>
      </c>
      <c r="I205" s="7">
        <v>457.55</v>
      </c>
      <c r="J205" s="7">
        <v>128.13999999999999</v>
      </c>
      <c r="K205" s="18">
        <f>$H205*$I205</f>
        <v>46212.55</v>
      </c>
      <c r="L205" s="1">
        <f t="shared" si="3"/>
        <v>33270.410000000003</v>
      </c>
    </row>
    <row r="206" spans="1:12" x14ac:dyDescent="0.25">
      <c r="A206" s="7" t="s">
        <v>228</v>
      </c>
      <c r="B206" s="7" t="s">
        <v>11</v>
      </c>
      <c r="C206" s="7" t="s">
        <v>26</v>
      </c>
      <c r="D206" s="7" t="s">
        <v>27</v>
      </c>
      <c r="E206" s="7" t="s">
        <v>14</v>
      </c>
      <c r="F206" s="7" t="s">
        <v>20</v>
      </c>
      <c r="G206" s="1">
        <v>45126</v>
      </c>
      <c r="H206" s="7">
        <v>255.9</v>
      </c>
      <c r="I206" s="7">
        <v>407.81</v>
      </c>
      <c r="J206" s="7">
        <v>351.95</v>
      </c>
      <c r="K206" s="18">
        <f>$H206*$I206</f>
        <v>104358.579</v>
      </c>
      <c r="L206" s="1">
        <f t="shared" si="3"/>
        <v>14294.574000000004</v>
      </c>
    </row>
    <row r="207" spans="1:12" x14ac:dyDescent="0.25">
      <c r="A207" s="7" t="s">
        <v>229</v>
      </c>
      <c r="B207" s="7" t="s">
        <v>11</v>
      </c>
      <c r="C207" s="7" t="s">
        <v>26</v>
      </c>
      <c r="D207" s="7" t="s">
        <v>13</v>
      </c>
      <c r="E207" s="7" t="s">
        <v>24</v>
      </c>
      <c r="F207" s="7" t="s">
        <v>20</v>
      </c>
      <c r="G207" s="1">
        <v>45127</v>
      </c>
      <c r="H207" s="7">
        <v>30</v>
      </c>
      <c r="I207" s="7">
        <v>58.91</v>
      </c>
      <c r="J207" s="7">
        <v>104.86</v>
      </c>
      <c r="K207" s="18">
        <f>$H207*$I207</f>
        <v>1767.3</v>
      </c>
      <c r="L207" s="1">
        <f t="shared" si="3"/>
        <v>-1378.5</v>
      </c>
    </row>
    <row r="208" spans="1:12" x14ac:dyDescent="0.25">
      <c r="A208" s="7" t="s">
        <v>230</v>
      </c>
      <c r="B208" s="7" t="s">
        <v>17</v>
      </c>
      <c r="C208" s="7" t="s">
        <v>50</v>
      </c>
      <c r="D208" s="7" t="s">
        <v>13</v>
      </c>
      <c r="E208" s="7" t="s">
        <v>14</v>
      </c>
      <c r="F208" s="7" t="s">
        <v>28</v>
      </c>
      <c r="G208" s="1">
        <v>45128</v>
      </c>
      <c r="H208" s="7">
        <v>312</v>
      </c>
      <c r="I208" s="7">
        <v>78.75</v>
      </c>
      <c r="J208" s="7">
        <v>218.52</v>
      </c>
      <c r="K208" s="18">
        <f>$H208*$I208</f>
        <v>24570</v>
      </c>
      <c r="L208" s="1">
        <f t="shared" si="3"/>
        <v>-43608.240000000005</v>
      </c>
    </row>
    <row r="209" spans="1:12" x14ac:dyDescent="0.25">
      <c r="A209" s="7" t="s">
        <v>231</v>
      </c>
      <c r="B209" s="7" t="s">
        <v>11</v>
      </c>
      <c r="C209" s="7" t="s">
        <v>12</v>
      </c>
      <c r="D209" s="7" t="s">
        <v>42</v>
      </c>
      <c r="E209" s="7" t="s">
        <v>24</v>
      </c>
      <c r="F209" s="7" t="s">
        <v>20</v>
      </c>
      <c r="G209" s="1">
        <v>45129</v>
      </c>
      <c r="H209" s="7">
        <v>473</v>
      </c>
      <c r="I209" s="7">
        <v>265.68</v>
      </c>
      <c r="J209" s="7">
        <v>255.16</v>
      </c>
      <c r="K209" s="18">
        <f>$H209*$I209</f>
        <v>125666.64</v>
      </c>
      <c r="L209" s="1">
        <f t="shared" si="3"/>
        <v>4975.9600000000046</v>
      </c>
    </row>
    <row r="210" spans="1:12" x14ac:dyDescent="0.25">
      <c r="A210" s="7" t="s">
        <v>232</v>
      </c>
      <c r="B210" s="7" t="s">
        <v>22</v>
      </c>
      <c r="C210" s="7" t="s">
        <v>26</v>
      </c>
      <c r="D210" s="7" t="s">
        <v>13</v>
      </c>
      <c r="E210" s="7" t="s">
        <v>14</v>
      </c>
      <c r="F210" s="7" t="s">
        <v>28</v>
      </c>
      <c r="G210" s="1">
        <v>45130</v>
      </c>
      <c r="H210" s="7">
        <v>366</v>
      </c>
      <c r="I210" s="7">
        <v>126.8</v>
      </c>
      <c r="J210" s="7">
        <v>89.98</v>
      </c>
      <c r="K210" s="18">
        <f>$H210*$I210</f>
        <v>46408.799999999996</v>
      </c>
      <c r="L210" s="1">
        <f t="shared" si="3"/>
        <v>13476.119999999997</v>
      </c>
    </row>
    <row r="211" spans="1:12" x14ac:dyDescent="0.25">
      <c r="A211" s="7" t="s">
        <v>233</v>
      </c>
      <c r="B211" s="7" t="s">
        <v>17</v>
      </c>
      <c r="C211" s="7" t="s">
        <v>12</v>
      </c>
      <c r="D211" s="7" t="s">
        <v>42</v>
      </c>
      <c r="E211" s="7" t="s">
        <v>14</v>
      </c>
      <c r="F211" s="7" t="s">
        <v>20</v>
      </c>
      <c r="G211" s="1">
        <v>45131</v>
      </c>
      <c r="H211" s="7">
        <v>452</v>
      </c>
      <c r="I211" s="7">
        <v>240.96</v>
      </c>
      <c r="J211" s="7">
        <v>391.4</v>
      </c>
      <c r="K211" s="18">
        <f>$H211*$I211</f>
        <v>108913.92</v>
      </c>
      <c r="L211" s="1">
        <f t="shared" si="3"/>
        <v>-67998.87999999999</v>
      </c>
    </row>
    <row r="212" spans="1:12" x14ac:dyDescent="0.25">
      <c r="A212" s="7" t="s">
        <v>234</v>
      </c>
      <c r="B212" s="7" t="s">
        <v>22</v>
      </c>
      <c r="C212" s="7" t="s">
        <v>26</v>
      </c>
      <c r="D212" s="7" t="s">
        <v>19</v>
      </c>
      <c r="E212" s="7" t="s">
        <v>24</v>
      </c>
      <c r="F212" s="7" t="s">
        <v>15</v>
      </c>
      <c r="G212" s="1">
        <v>45132</v>
      </c>
      <c r="H212" s="7">
        <v>93</v>
      </c>
      <c r="I212" s="7">
        <v>200.21</v>
      </c>
      <c r="J212" s="7">
        <v>299.77999999999997</v>
      </c>
      <c r="K212" s="18">
        <f>$H212*$I212</f>
        <v>18619.530000000002</v>
      </c>
      <c r="L212" s="1">
        <f t="shared" si="3"/>
        <v>-9260.0099999999966</v>
      </c>
    </row>
    <row r="213" spans="1:12" x14ac:dyDescent="0.25">
      <c r="A213" s="7" t="s">
        <v>235</v>
      </c>
      <c r="B213" s="7" t="s">
        <v>17</v>
      </c>
      <c r="C213" s="7" t="s">
        <v>26</v>
      </c>
      <c r="D213" s="7" t="s">
        <v>27</v>
      </c>
      <c r="E213" s="7" t="s">
        <v>14</v>
      </c>
      <c r="F213" s="7" t="s">
        <v>28</v>
      </c>
      <c r="G213" s="1">
        <v>45133</v>
      </c>
      <c r="H213" s="7">
        <v>271</v>
      </c>
      <c r="I213" s="7">
        <v>276.95999999999998</v>
      </c>
      <c r="J213" s="7">
        <v>224.01</v>
      </c>
      <c r="K213" s="18">
        <f>$H213*$I213</f>
        <v>75056.159999999989</v>
      </c>
      <c r="L213" s="1">
        <f t="shared" si="3"/>
        <v>14349.449999999997</v>
      </c>
    </row>
    <row r="214" spans="1:12" x14ac:dyDescent="0.25">
      <c r="A214" s="7" t="s">
        <v>236</v>
      </c>
      <c r="B214" s="7" t="s">
        <v>17</v>
      </c>
      <c r="C214" s="7" t="s">
        <v>31</v>
      </c>
      <c r="D214" s="7" t="s">
        <v>27</v>
      </c>
      <c r="E214" s="7" t="s">
        <v>14</v>
      </c>
      <c r="F214" s="7" t="s">
        <v>20</v>
      </c>
      <c r="G214" s="1">
        <v>45134</v>
      </c>
      <c r="H214" s="7">
        <v>156</v>
      </c>
      <c r="I214" s="7">
        <v>374.7</v>
      </c>
      <c r="J214" s="7">
        <v>73.88</v>
      </c>
      <c r="K214" s="18">
        <f>$H214*$I214</f>
        <v>58453.2</v>
      </c>
      <c r="L214" s="1">
        <f t="shared" si="3"/>
        <v>46927.92</v>
      </c>
    </row>
    <row r="215" spans="1:12" x14ac:dyDescent="0.25">
      <c r="A215" s="7" t="s">
        <v>237</v>
      </c>
      <c r="B215" s="7" t="s">
        <v>48</v>
      </c>
      <c r="C215" s="7" t="s">
        <v>26</v>
      </c>
      <c r="D215" s="7" t="s">
        <v>42</v>
      </c>
      <c r="E215" s="7" t="s">
        <v>24</v>
      </c>
      <c r="F215" s="7" t="s">
        <v>20</v>
      </c>
      <c r="G215" s="1">
        <v>45135</v>
      </c>
      <c r="H215" s="7">
        <v>450</v>
      </c>
      <c r="I215" s="7">
        <v>359.17</v>
      </c>
      <c r="J215" s="7">
        <v>23.44</v>
      </c>
      <c r="K215" s="18">
        <f>$H215*$I215</f>
        <v>161626.5</v>
      </c>
      <c r="L215" s="1">
        <f t="shared" si="3"/>
        <v>151078.5</v>
      </c>
    </row>
    <row r="216" spans="1:12" x14ac:dyDescent="0.25">
      <c r="A216" s="7" t="s">
        <v>238</v>
      </c>
      <c r="B216" s="7" t="s">
        <v>22</v>
      </c>
      <c r="C216" s="7" t="s">
        <v>18</v>
      </c>
      <c r="D216" s="7" t="s">
        <v>27</v>
      </c>
      <c r="E216" s="7" t="s">
        <v>14</v>
      </c>
      <c r="F216" s="7" t="s">
        <v>15</v>
      </c>
      <c r="G216" s="1">
        <v>45136</v>
      </c>
      <c r="H216" s="7">
        <v>462</v>
      </c>
      <c r="I216" s="7">
        <v>263.01</v>
      </c>
      <c r="J216" s="7">
        <v>129.38</v>
      </c>
      <c r="K216" s="18">
        <f>$H216*$I216</f>
        <v>121510.62</v>
      </c>
      <c r="L216" s="1">
        <f t="shared" si="3"/>
        <v>61737.06</v>
      </c>
    </row>
    <row r="217" spans="1:12" x14ac:dyDescent="0.25">
      <c r="A217" s="7" t="s">
        <v>239</v>
      </c>
      <c r="B217" s="7" t="s">
        <v>11</v>
      </c>
      <c r="C217" s="7" t="s">
        <v>50</v>
      </c>
      <c r="D217" s="7" t="s">
        <v>27</v>
      </c>
      <c r="E217" s="7" t="s">
        <v>14</v>
      </c>
      <c r="F217" s="7" t="s">
        <v>28</v>
      </c>
      <c r="G217" s="1">
        <v>45137</v>
      </c>
      <c r="H217" s="7">
        <v>396</v>
      </c>
      <c r="I217" s="7">
        <v>412.08</v>
      </c>
      <c r="J217" s="7">
        <v>301.77</v>
      </c>
      <c r="K217" s="18">
        <f>$H217*$I217</f>
        <v>163183.67999999999</v>
      </c>
      <c r="L217" s="1">
        <f t="shared" si="3"/>
        <v>43682.76</v>
      </c>
    </row>
    <row r="218" spans="1:12" x14ac:dyDescent="0.25">
      <c r="A218" s="7" t="s">
        <v>240</v>
      </c>
      <c r="B218" s="7" t="s">
        <v>11</v>
      </c>
      <c r="C218" s="7" t="s">
        <v>50</v>
      </c>
      <c r="D218" s="7" t="s">
        <v>23</v>
      </c>
      <c r="E218" s="7" t="s">
        <v>24</v>
      </c>
      <c r="F218" s="7" t="s">
        <v>20</v>
      </c>
      <c r="G218" s="1">
        <v>45138</v>
      </c>
      <c r="H218" s="7">
        <v>266</v>
      </c>
      <c r="I218" s="7">
        <v>218.28</v>
      </c>
      <c r="J218" s="7">
        <v>109.19</v>
      </c>
      <c r="K218" s="18">
        <f>$H218*$I218</f>
        <v>58062.48</v>
      </c>
      <c r="L218" s="1">
        <f t="shared" si="3"/>
        <v>29017.940000000002</v>
      </c>
    </row>
    <row r="219" spans="1:12" x14ac:dyDescent="0.25">
      <c r="A219" s="7" t="s">
        <v>241</v>
      </c>
      <c r="B219" s="7" t="s">
        <v>22</v>
      </c>
      <c r="C219" s="7" t="s">
        <v>12</v>
      </c>
      <c r="D219" s="7" t="s">
        <v>42</v>
      </c>
      <c r="E219" s="7" t="s">
        <v>24</v>
      </c>
      <c r="F219" s="7" t="s">
        <v>15</v>
      </c>
      <c r="G219" s="1">
        <v>45139</v>
      </c>
      <c r="H219" s="7">
        <v>67</v>
      </c>
      <c r="I219" s="7">
        <v>448.87</v>
      </c>
      <c r="J219" s="7">
        <v>216.74</v>
      </c>
      <c r="K219" s="18">
        <f>$H219*$I219</f>
        <v>30074.29</v>
      </c>
      <c r="L219" s="1">
        <f t="shared" si="3"/>
        <v>15552.71</v>
      </c>
    </row>
    <row r="220" spans="1:12" x14ac:dyDescent="0.25">
      <c r="A220" s="7" t="s">
        <v>242</v>
      </c>
      <c r="B220" s="7" t="s">
        <v>11</v>
      </c>
      <c r="C220" s="7" t="s">
        <v>26</v>
      </c>
      <c r="D220" s="7" t="s">
        <v>27</v>
      </c>
      <c r="E220" s="7" t="s">
        <v>14</v>
      </c>
      <c r="F220" s="7" t="s">
        <v>20</v>
      </c>
      <c r="G220" s="1">
        <v>45140</v>
      </c>
      <c r="H220" s="7">
        <v>389</v>
      </c>
      <c r="I220" s="7">
        <v>40.28</v>
      </c>
      <c r="J220" s="7">
        <v>291.72000000000003</v>
      </c>
      <c r="K220" s="18">
        <f>$H220*$I220</f>
        <v>15668.92</v>
      </c>
      <c r="L220" s="1">
        <f t="shared" si="3"/>
        <v>-97810.16</v>
      </c>
    </row>
    <row r="221" spans="1:12" x14ac:dyDescent="0.25">
      <c r="A221" s="7" t="s">
        <v>243</v>
      </c>
      <c r="B221" s="7" t="s">
        <v>11</v>
      </c>
      <c r="C221" s="7" t="s">
        <v>18</v>
      </c>
      <c r="D221" s="7" t="s">
        <v>42</v>
      </c>
      <c r="E221" s="7" t="s">
        <v>14</v>
      </c>
      <c r="F221" s="7" t="s">
        <v>28</v>
      </c>
      <c r="G221" s="1">
        <v>45141</v>
      </c>
      <c r="H221" s="7">
        <v>431</v>
      </c>
      <c r="I221" s="7">
        <v>477.56</v>
      </c>
      <c r="J221" s="7">
        <v>44.96</v>
      </c>
      <c r="K221" s="18">
        <f>$H221*$I221</f>
        <v>205828.36000000002</v>
      </c>
      <c r="L221" s="1">
        <f t="shared" si="3"/>
        <v>186450.6</v>
      </c>
    </row>
    <row r="222" spans="1:12" x14ac:dyDescent="0.25">
      <c r="A222" s="7" t="s">
        <v>244</v>
      </c>
      <c r="B222" s="7" t="s">
        <v>22</v>
      </c>
      <c r="C222" s="7" t="s">
        <v>12</v>
      </c>
      <c r="D222" s="7" t="s">
        <v>42</v>
      </c>
      <c r="E222" s="7" t="s">
        <v>24</v>
      </c>
      <c r="F222" s="7" t="s">
        <v>20</v>
      </c>
      <c r="G222" s="1">
        <v>45142</v>
      </c>
      <c r="H222" s="7">
        <v>24</v>
      </c>
      <c r="I222" s="7">
        <v>329.07</v>
      </c>
      <c r="J222" s="7">
        <v>274.75</v>
      </c>
      <c r="K222" s="18">
        <f>$H222*$I222</f>
        <v>7897.68</v>
      </c>
      <c r="L222" s="1">
        <f t="shared" si="3"/>
        <v>1303.6799999999998</v>
      </c>
    </row>
    <row r="223" spans="1:12" x14ac:dyDescent="0.25">
      <c r="A223" s="7" t="s">
        <v>245</v>
      </c>
      <c r="B223" s="7" t="s">
        <v>17</v>
      </c>
      <c r="C223" s="7" t="s">
        <v>31</v>
      </c>
      <c r="D223" s="7" t="s">
        <v>23</v>
      </c>
      <c r="E223" s="7" t="s">
        <v>24</v>
      </c>
      <c r="F223" s="7" t="s">
        <v>20</v>
      </c>
      <c r="G223" s="1">
        <v>45143</v>
      </c>
      <c r="H223" s="7">
        <v>171</v>
      </c>
      <c r="I223" s="7">
        <v>193.14</v>
      </c>
      <c r="J223" s="7">
        <v>38.56</v>
      </c>
      <c r="K223" s="18">
        <f>$H223*$I223</f>
        <v>33026.939999999995</v>
      </c>
      <c r="L223" s="1">
        <f t="shared" si="3"/>
        <v>26433.179999999997</v>
      </c>
    </row>
    <row r="224" spans="1:12" x14ac:dyDescent="0.25">
      <c r="A224" s="7" t="s">
        <v>246</v>
      </c>
      <c r="B224" s="7" t="s">
        <v>22</v>
      </c>
      <c r="C224" s="7" t="s">
        <v>12</v>
      </c>
      <c r="D224" s="7" t="s">
        <v>13</v>
      </c>
      <c r="E224" s="7" t="s">
        <v>14</v>
      </c>
      <c r="F224" s="7" t="s">
        <v>20</v>
      </c>
      <c r="G224" s="1">
        <v>45144</v>
      </c>
      <c r="H224" s="7">
        <v>454</v>
      </c>
      <c r="I224" s="7">
        <v>102.59</v>
      </c>
      <c r="J224" s="7">
        <v>386.12</v>
      </c>
      <c r="K224" s="18">
        <f>$H224*$I224</f>
        <v>46575.86</v>
      </c>
      <c r="L224" s="1">
        <f t="shared" si="3"/>
        <v>-128722.61999999998</v>
      </c>
    </row>
    <row r="225" spans="1:12" x14ac:dyDescent="0.25">
      <c r="A225" s="7" t="s">
        <v>247</v>
      </c>
      <c r="B225" s="7" t="s">
        <v>17</v>
      </c>
      <c r="C225" s="7" t="s">
        <v>12</v>
      </c>
      <c r="D225" s="7" t="s">
        <v>42</v>
      </c>
      <c r="E225" s="7" t="s">
        <v>24</v>
      </c>
      <c r="F225" s="7" t="s">
        <v>20</v>
      </c>
      <c r="G225" s="1">
        <v>45145</v>
      </c>
      <c r="H225" s="7">
        <v>172</v>
      </c>
      <c r="I225" s="7">
        <v>242.2</v>
      </c>
      <c r="J225" s="7">
        <v>196.38</v>
      </c>
      <c r="K225" s="18">
        <f>$H225*$I225</f>
        <v>41658.400000000001</v>
      </c>
      <c r="L225" s="1">
        <f t="shared" si="3"/>
        <v>7881.0399999999991</v>
      </c>
    </row>
    <row r="226" spans="1:12" x14ac:dyDescent="0.25">
      <c r="A226" s="7" t="s">
        <v>248</v>
      </c>
      <c r="B226" s="7" t="s">
        <v>11</v>
      </c>
      <c r="C226" s="7" t="s">
        <v>26</v>
      </c>
      <c r="D226" s="7" t="s">
        <v>27</v>
      </c>
      <c r="E226" s="7" t="s">
        <v>14</v>
      </c>
      <c r="F226" s="7" t="s">
        <v>15</v>
      </c>
      <c r="G226" s="1">
        <v>45146</v>
      </c>
      <c r="H226" s="7">
        <v>329</v>
      </c>
      <c r="I226" s="7">
        <v>101.31</v>
      </c>
      <c r="J226" s="7">
        <v>61.97</v>
      </c>
      <c r="K226" s="18">
        <f>$H226*$I226</f>
        <v>33330.99</v>
      </c>
      <c r="L226" s="1">
        <f t="shared" si="3"/>
        <v>12942.86</v>
      </c>
    </row>
    <row r="227" spans="1:12" x14ac:dyDescent="0.25">
      <c r="A227" s="7" t="s">
        <v>249</v>
      </c>
      <c r="B227" s="7" t="s">
        <v>11</v>
      </c>
      <c r="C227" s="7" t="s">
        <v>31</v>
      </c>
      <c r="D227" s="7" t="s">
        <v>19</v>
      </c>
      <c r="E227" s="7" t="s">
        <v>14</v>
      </c>
      <c r="F227" s="7" t="s">
        <v>15</v>
      </c>
      <c r="G227" s="1">
        <v>45147</v>
      </c>
      <c r="H227" s="7">
        <v>290</v>
      </c>
      <c r="I227" s="7">
        <v>87.33</v>
      </c>
      <c r="J227" s="7">
        <v>138.27000000000001</v>
      </c>
      <c r="K227" s="18">
        <f>$H227*$I227</f>
        <v>25325.7</v>
      </c>
      <c r="L227" s="1">
        <f t="shared" si="3"/>
        <v>-14772.600000000004</v>
      </c>
    </row>
    <row r="228" spans="1:12" x14ac:dyDescent="0.25">
      <c r="A228" s="7" t="s">
        <v>250</v>
      </c>
      <c r="B228" s="7" t="s">
        <v>11</v>
      </c>
      <c r="C228" s="7" t="s">
        <v>12</v>
      </c>
      <c r="D228" s="7" t="s">
        <v>42</v>
      </c>
      <c r="E228" s="7" t="s">
        <v>14</v>
      </c>
      <c r="F228" s="7" t="s">
        <v>28</v>
      </c>
      <c r="G228" s="1">
        <v>45148</v>
      </c>
      <c r="H228" s="7">
        <v>289</v>
      </c>
      <c r="I228" s="7">
        <v>310.58999999999997</v>
      </c>
      <c r="J228" s="7">
        <v>166.54</v>
      </c>
      <c r="K228" s="18">
        <f>$H228*$I228</f>
        <v>89760.51</v>
      </c>
      <c r="L228" s="1">
        <f t="shared" si="3"/>
        <v>41630.449999999997</v>
      </c>
    </row>
    <row r="229" spans="1:12" x14ac:dyDescent="0.25">
      <c r="A229" s="7" t="s">
        <v>251</v>
      </c>
      <c r="B229" s="7" t="s">
        <v>48</v>
      </c>
      <c r="C229" s="7" t="s">
        <v>18</v>
      </c>
      <c r="D229" s="7" t="s">
        <v>42</v>
      </c>
      <c r="E229" s="7" t="s">
        <v>14</v>
      </c>
      <c r="F229" s="7" t="s">
        <v>15</v>
      </c>
      <c r="G229" s="1">
        <v>45149</v>
      </c>
      <c r="H229" s="7">
        <v>21</v>
      </c>
      <c r="I229" s="7">
        <v>263.93</v>
      </c>
      <c r="J229" s="7">
        <v>303.76</v>
      </c>
      <c r="K229" s="18">
        <f>$H229*$I229</f>
        <v>5542.53</v>
      </c>
      <c r="L229" s="1">
        <f t="shared" si="3"/>
        <v>-836.42999999999961</v>
      </c>
    </row>
    <row r="230" spans="1:12" x14ac:dyDescent="0.25">
      <c r="A230" s="7" t="s">
        <v>252</v>
      </c>
      <c r="B230" s="7" t="s">
        <v>17</v>
      </c>
      <c r="C230" s="7" t="s">
        <v>18</v>
      </c>
      <c r="D230" s="7" t="s">
        <v>23</v>
      </c>
      <c r="E230" s="7" t="s">
        <v>14</v>
      </c>
      <c r="F230" s="7" t="s">
        <v>15</v>
      </c>
      <c r="G230" s="1">
        <v>45150</v>
      </c>
      <c r="H230" s="7">
        <v>283</v>
      </c>
      <c r="I230" s="7">
        <v>336.7</v>
      </c>
      <c r="J230" s="7">
        <v>297.88</v>
      </c>
      <c r="K230" s="18">
        <f>$H230*$I230</f>
        <v>95286.099999999991</v>
      </c>
      <c r="L230" s="1">
        <f t="shared" si="3"/>
        <v>10986.059999999998</v>
      </c>
    </row>
    <row r="231" spans="1:12" x14ac:dyDescent="0.25">
      <c r="A231" s="7" t="s">
        <v>253</v>
      </c>
      <c r="B231" s="7" t="s">
        <v>48</v>
      </c>
      <c r="C231" s="7" t="s">
        <v>50</v>
      </c>
      <c r="D231" s="7" t="s">
        <v>13</v>
      </c>
      <c r="E231" s="7" t="s">
        <v>24</v>
      </c>
      <c r="F231" s="7" t="s">
        <v>28</v>
      </c>
      <c r="G231" s="1">
        <v>45151</v>
      </c>
      <c r="H231" s="7">
        <v>280</v>
      </c>
      <c r="I231" s="7">
        <v>465.15</v>
      </c>
      <c r="J231" s="7">
        <v>245.55</v>
      </c>
      <c r="K231" s="18">
        <f>$H231*$I231</f>
        <v>130242</v>
      </c>
      <c r="L231" s="1">
        <f t="shared" si="3"/>
        <v>61487.999999999993</v>
      </c>
    </row>
    <row r="232" spans="1:12" x14ac:dyDescent="0.25">
      <c r="A232" s="7" t="s">
        <v>254</v>
      </c>
      <c r="B232" s="7" t="s">
        <v>48</v>
      </c>
      <c r="C232" s="7" t="s">
        <v>31</v>
      </c>
      <c r="D232" s="7" t="s">
        <v>19</v>
      </c>
      <c r="E232" s="7" t="s">
        <v>24</v>
      </c>
      <c r="F232" s="7" t="s">
        <v>15</v>
      </c>
      <c r="G232" s="1">
        <v>45152</v>
      </c>
      <c r="H232" s="7">
        <v>217</v>
      </c>
      <c r="I232" s="7">
        <v>268.47000000000003</v>
      </c>
      <c r="J232" s="7">
        <v>44.16</v>
      </c>
      <c r="K232" s="18">
        <f>$H232*$I232</f>
        <v>58257.990000000005</v>
      </c>
      <c r="L232" s="1">
        <f t="shared" si="3"/>
        <v>48675.270000000004</v>
      </c>
    </row>
    <row r="233" spans="1:12" x14ac:dyDescent="0.25">
      <c r="A233" s="7" t="s">
        <v>255</v>
      </c>
      <c r="B233" s="7" t="s">
        <v>22</v>
      </c>
      <c r="C233" s="7" t="s">
        <v>31</v>
      </c>
      <c r="D233" s="7" t="s">
        <v>27</v>
      </c>
      <c r="E233" s="7" t="s">
        <v>24</v>
      </c>
      <c r="F233" s="7" t="s">
        <v>15</v>
      </c>
      <c r="G233" s="1">
        <v>45153</v>
      </c>
      <c r="H233" s="7">
        <v>36</v>
      </c>
      <c r="I233" s="7">
        <v>292.56</v>
      </c>
      <c r="J233" s="7">
        <v>62.32</v>
      </c>
      <c r="K233" s="18">
        <f>$H233*$I233</f>
        <v>10532.16</v>
      </c>
      <c r="L233" s="1">
        <f t="shared" si="3"/>
        <v>8288.64</v>
      </c>
    </row>
    <row r="234" spans="1:12" x14ac:dyDescent="0.25">
      <c r="A234" s="7" t="s">
        <v>256</v>
      </c>
      <c r="B234" s="7" t="s">
        <v>48</v>
      </c>
      <c r="C234" s="7" t="s">
        <v>50</v>
      </c>
      <c r="D234" s="7" t="s">
        <v>19</v>
      </c>
      <c r="E234" s="7" t="s">
        <v>24</v>
      </c>
      <c r="F234" s="7" t="s">
        <v>28</v>
      </c>
      <c r="G234" s="1">
        <v>45154</v>
      </c>
      <c r="H234" s="7">
        <v>255.9</v>
      </c>
      <c r="I234" s="7">
        <v>49.37</v>
      </c>
      <c r="J234" s="7">
        <v>39.32</v>
      </c>
      <c r="K234" s="18">
        <f>$H234*$I234</f>
        <v>12633.782999999999</v>
      </c>
      <c r="L234" s="1">
        <f t="shared" si="3"/>
        <v>2571.7949999999992</v>
      </c>
    </row>
    <row r="235" spans="1:12" x14ac:dyDescent="0.25">
      <c r="A235" s="7" t="s">
        <v>257</v>
      </c>
      <c r="B235" s="7" t="s">
        <v>22</v>
      </c>
      <c r="C235" s="7" t="s">
        <v>12</v>
      </c>
      <c r="D235" s="7" t="s">
        <v>27</v>
      </c>
      <c r="E235" s="7" t="s">
        <v>14</v>
      </c>
      <c r="F235" s="7" t="s">
        <v>28</v>
      </c>
      <c r="G235" s="1">
        <v>45155</v>
      </c>
      <c r="H235" s="7">
        <v>69</v>
      </c>
      <c r="I235" s="7">
        <v>360.23</v>
      </c>
      <c r="J235" s="7">
        <v>231.71</v>
      </c>
      <c r="K235" s="18">
        <f>$H235*$I235</f>
        <v>24855.870000000003</v>
      </c>
      <c r="L235" s="1">
        <f t="shared" si="3"/>
        <v>8867.880000000001</v>
      </c>
    </row>
    <row r="236" spans="1:12" x14ac:dyDescent="0.25">
      <c r="A236" s="7" t="s">
        <v>258</v>
      </c>
      <c r="B236" s="7" t="s">
        <v>22</v>
      </c>
      <c r="C236" s="7" t="s">
        <v>31</v>
      </c>
      <c r="D236" s="7" t="s">
        <v>13</v>
      </c>
      <c r="E236" s="7" t="s">
        <v>14</v>
      </c>
      <c r="F236" s="7" t="s">
        <v>28</v>
      </c>
      <c r="G236" s="1">
        <v>45156</v>
      </c>
      <c r="H236" s="7">
        <v>439</v>
      </c>
      <c r="I236" s="7">
        <v>202.95</v>
      </c>
      <c r="J236" s="7">
        <v>351.1</v>
      </c>
      <c r="K236" s="18">
        <f>$H236*$I236</f>
        <v>89095.049999999988</v>
      </c>
      <c r="L236" s="1">
        <f t="shared" si="3"/>
        <v>-65037.850000000013</v>
      </c>
    </row>
    <row r="237" spans="1:12" x14ac:dyDescent="0.25">
      <c r="A237" s="7" t="s">
        <v>259</v>
      </c>
      <c r="B237" s="7" t="s">
        <v>48</v>
      </c>
      <c r="C237" s="7" t="s">
        <v>18</v>
      </c>
      <c r="D237" s="7" t="s">
        <v>27</v>
      </c>
      <c r="E237" s="7" t="s">
        <v>14</v>
      </c>
      <c r="F237" s="7" t="s">
        <v>20</v>
      </c>
      <c r="G237" s="1">
        <v>45157</v>
      </c>
      <c r="H237" s="7">
        <v>482</v>
      </c>
      <c r="I237" s="7">
        <v>488.48</v>
      </c>
      <c r="J237" s="7">
        <v>174.65</v>
      </c>
      <c r="K237" s="18">
        <f>$H237*$I237</f>
        <v>235447.36000000002</v>
      </c>
      <c r="L237" s="1">
        <f t="shared" si="3"/>
        <v>151266.06000000003</v>
      </c>
    </row>
    <row r="238" spans="1:12" x14ac:dyDescent="0.25">
      <c r="A238" s="7" t="s">
        <v>260</v>
      </c>
      <c r="B238" s="7" t="s">
        <v>17</v>
      </c>
      <c r="C238" s="7" t="s">
        <v>18</v>
      </c>
      <c r="D238" s="7" t="s">
        <v>23</v>
      </c>
      <c r="E238" s="7" t="s">
        <v>14</v>
      </c>
      <c r="F238" s="7" t="s">
        <v>20</v>
      </c>
      <c r="G238" s="1">
        <v>45158</v>
      </c>
      <c r="H238" s="7">
        <v>154</v>
      </c>
      <c r="I238" s="7">
        <v>412.47</v>
      </c>
      <c r="J238" s="7">
        <v>66.02</v>
      </c>
      <c r="K238" s="18">
        <f>$H238*$I238</f>
        <v>63520.380000000005</v>
      </c>
      <c r="L238" s="1">
        <f t="shared" si="3"/>
        <v>53353.30000000001</v>
      </c>
    </row>
    <row r="239" spans="1:12" x14ac:dyDescent="0.25">
      <c r="A239" s="7" t="s">
        <v>261</v>
      </c>
      <c r="B239" s="7" t="s">
        <v>17</v>
      </c>
      <c r="C239" s="7" t="s">
        <v>26</v>
      </c>
      <c r="D239" s="7" t="s">
        <v>23</v>
      </c>
      <c r="E239" s="7" t="s">
        <v>24</v>
      </c>
      <c r="F239" s="7" t="s">
        <v>28</v>
      </c>
      <c r="G239" s="1">
        <v>45159</v>
      </c>
      <c r="H239" s="7">
        <v>102</v>
      </c>
      <c r="I239" s="7">
        <v>263.63</v>
      </c>
      <c r="J239" s="7">
        <v>224.1</v>
      </c>
      <c r="K239" s="18">
        <f>$H239*$I239</f>
        <v>26890.26</v>
      </c>
      <c r="L239" s="1">
        <f t="shared" si="3"/>
        <v>4032.06</v>
      </c>
    </row>
    <row r="240" spans="1:12" x14ac:dyDescent="0.25">
      <c r="A240" s="7" t="s">
        <v>262</v>
      </c>
      <c r="B240" s="7" t="s">
        <v>17</v>
      </c>
      <c r="C240" s="7" t="s">
        <v>31</v>
      </c>
      <c r="D240" s="7" t="s">
        <v>23</v>
      </c>
      <c r="E240" s="7" t="s">
        <v>14</v>
      </c>
      <c r="F240" s="7" t="s">
        <v>28</v>
      </c>
      <c r="G240" s="1">
        <v>45160</v>
      </c>
      <c r="H240" s="7">
        <v>318</v>
      </c>
      <c r="I240" s="7">
        <v>66</v>
      </c>
      <c r="J240" s="7">
        <v>325.08</v>
      </c>
      <c r="K240" s="18">
        <f>$H240*$I240</f>
        <v>20988</v>
      </c>
      <c r="L240" s="1">
        <f t="shared" si="3"/>
        <v>-82387.439999999988</v>
      </c>
    </row>
    <row r="241" spans="1:12" x14ac:dyDescent="0.25">
      <c r="A241" s="7" t="s">
        <v>263</v>
      </c>
      <c r="B241" s="7" t="s">
        <v>17</v>
      </c>
      <c r="C241" s="7" t="s">
        <v>12</v>
      </c>
      <c r="D241" s="7" t="s">
        <v>23</v>
      </c>
      <c r="E241" s="7" t="s">
        <v>14</v>
      </c>
      <c r="F241" s="7" t="s">
        <v>28</v>
      </c>
      <c r="G241" s="1">
        <v>45161</v>
      </c>
      <c r="H241" s="7">
        <v>17</v>
      </c>
      <c r="I241" s="7">
        <v>430.41</v>
      </c>
      <c r="J241" s="7">
        <v>297.2</v>
      </c>
      <c r="K241" s="18">
        <f>$H241*$I241</f>
        <v>7316.97</v>
      </c>
      <c r="L241" s="1">
        <f t="shared" si="3"/>
        <v>2264.5700000000006</v>
      </c>
    </row>
    <row r="242" spans="1:12" x14ac:dyDescent="0.25">
      <c r="A242" s="7" t="s">
        <v>264</v>
      </c>
      <c r="B242" s="7" t="s">
        <v>17</v>
      </c>
      <c r="C242" s="7" t="s">
        <v>50</v>
      </c>
      <c r="D242" s="7" t="s">
        <v>19</v>
      </c>
      <c r="E242" s="7" t="s">
        <v>24</v>
      </c>
      <c r="F242" s="7" t="s">
        <v>20</v>
      </c>
      <c r="G242" s="1">
        <v>45162</v>
      </c>
      <c r="H242" s="7">
        <v>88</v>
      </c>
      <c r="I242" s="7">
        <v>400.89</v>
      </c>
      <c r="J242" s="7">
        <v>352.82</v>
      </c>
      <c r="K242" s="18">
        <f>$H242*$I242</f>
        <v>35278.32</v>
      </c>
      <c r="L242" s="1">
        <f t="shared" si="3"/>
        <v>4230.16</v>
      </c>
    </row>
    <row r="243" spans="1:12" x14ac:dyDescent="0.25">
      <c r="A243" s="7" t="s">
        <v>265</v>
      </c>
      <c r="B243" s="7" t="s">
        <v>48</v>
      </c>
      <c r="C243" s="7" t="s">
        <v>50</v>
      </c>
      <c r="D243" s="7" t="s">
        <v>13</v>
      </c>
      <c r="E243" s="7" t="s">
        <v>24</v>
      </c>
      <c r="F243" s="7" t="s">
        <v>20</v>
      </c>
      <c r="G243" s="1">
        <v>45163</v>
      </c>
      <c r="H243" s="7">
        <v>36</v>
      </c>
      <c r="I243" s="7">
        <v>96.37</v>
      </c>
      <c r="J243" s="7">
        <v>112.61</v>
      </c>
      <c r="K243" s="18">
        <f>$H243*$I243</f>
        <v>3469.32</v>
      </c>
      <c r="L243" s="1">
        <f t="shared" si="3"/>
        <v>-584.63999999999987</v>
      </c>
    </row>
    <row r="244" spans="1:12" x14ac:dyDescent="0.25">
      <c r="A244" s="7" t="s">
        <v>266</v>
      </c>
      <c r="B244" s="7" t="s">
        <v>48</v>
      </c>
      <c r="C244" s="7" t="s">
        <v>12</v>
      </c>
      <c r="D244" s="7" t="s">
        <v>27</v>
      </c>
      <c r="E244" s="7" t="s">
        <v>24</v>
      </c>
      <c r="F244" s="7" t="s">
        <v>15</v>
      </c>
      <c r="G244" s="1">
        <v>45164</v>
      </c>
      <c r="H244" s="7">
        <v>183</v>
      </c>
      <c r="I244" s="7">
        <v>151.16</v>
      </c>
      <c r="J244" s="7">
        <v>79.19</v>
      </c>
      <c r="K244" s="18">
        <f>$H244*$I244</f>
        <v>27662.28</v>
      </c>
      <c r="L244" s="1">
        <f t="shared" si="3"/>
        <v>13170.51</v>
      </c>
    </row>
    <row r="245" spans="1:12" x14ac:dyDescent="0.25">
      <c r="A245" s="7" t="s">
        <v>267</v>
      </c>
      <c r="B245" s="7" t="s">
        <v>11</v>
      </c>
      <c r="C245" s="7" t="s">
        <v>26</v>
      </c>
      <c r="D245" s="7" t="s">
        <v>27</v>
      </c>
      <c r="E245" s="7" t="s">
        <v>24</v>
      </c>
      <c r="F245" s="7" t="s">
        <v>15</v>
      </c>
      <c r="G245" s="1">
        <v>45165</v>
      </c>
      <c r="H245" s="7">
        <v>59</v>
      </c>
      <c r="I245" s="7">
        <v>397.74</v>
      </c>
      <c r="J245" s="7">
        <v>352.17</v>
      </c>
      <c r="K245" s="18">
        <f>$H245*$I245</f>
        <v>23466.66</v>
      </c>
      <c r="L245" s="1">
        <f t="shared" si="3"/>
        <v>2688.6299999999997</v>
      </c>
    </row>
    <row r="246" spans="1:12" x14ac:dyDescent="0.25">
      <c r="A246" s="7" t="s">
        <v>268</v>
      </c>
      <c r="B246" s="7" t="s">
        <v>17</v>
      </c>
      <c r="C246" s="7" t="s">
        <v>50</v>
      </c>
      <c r="D246" s="7" t="s">
        <v>23</v>
      </c>
      <c r="E246" s="7" t="s">
        <v>14</v>
      </c>
      <c r="F246" s="7" t="s">
        <v>28</v>
      </c>
      <c r="G246" s="1">
        <v>45166</v>
      </c>
      <c r="H246" s="7">
        <v>208</v>
      </c>
      <c r="I246" s="7">
        <v>96.69</v>
      </c>
      <c r="J246" s="7">
        <v>263.70999999999998</v>
      </c>
      <c r="K246" s="18">
        <f>$H246*$I246</f>
        <v>20111.52</v>
      </c>
      <c r="L246" s="1">
        <f t="shared" si="3"/>
        <v>-34740.159999999996</v>
      </c>
    </row>
    <row r="247" spans="1:12" x14ac:dyDescent="0.25">
      <c r="A247" s="7" t="s">
        <v>269</v>
      </c>
      <c r="B247" s="7" t="s">
        <v>48</v>
      </c>
      <c r="C247" s="7" t="s">
        <v>31</v>
      </c>
      <c r="D247" s="7" t="s">
        <v>23</v>
      </c>
      <c r="E247" s="7" t="s">
        <v>14</v>
      </c>
      <c r="F247" s="7" t="s">
        <v>20</v>
      </c>
      <c r="G247" s="1">
        <v>45167</v>
      </c>
      <c r="H247" s="7">
        <v>396</v>
      </c>
      <c r="I247" s="7">
        <v>459.29</v>
      </c>
      <c r="J247" s="7">
        <v>125.75</v>
      </c>
      <c r="K247" s="18">
        <f>$H247*$I247</f>
        <v>181878.84</v>
      </c>
      <c r="L247" s="1">
        <f t="shared" si="3"/>
        <v>132081.84</v>
      </c>
    </row>
    <row r="248" spans="1:12" x14ac:dyDescent="0.25">
      <c r="A248" s="7" t="s">
        <v>270</v>
      </c>
      <c r="B248" s="7" t="s">
        <v>11</v>
      </c>
      <c r="C248" s="7" t="s">
        <v>26</v>
      </c>
      <c r="D248" s="7" t="s">
        <v>42</v>
      </c>
      <c r="E248" s="7" t="s">
        <v>24</v>
      </c>
      <c r="F248" s="7" t="s">
        <v>20</v>
      </c>
      <c r="G248" s="1">
        <v>45168</v>
      </c>
      <c r="H248" s="7">
        <v>358</v>
      </c>
      <c r="I248" s="7">
        <v>215.14</v>
      </c>
      <c r="J248" s="7">
        <v>297.45</v>
      </c>
      <c r="K248" s="18">
        <f>$H248*$I248</f>
        <v>77020.12</v>
      </c>
      <c r="L248" s="1">
        <f t="shared" si="3"/>
        <v>-29466.98</v>
      </c>
    </row>
    <row r="249" spans="1:12" x14ac:dyDescent="0.25">
      <c r="A249" s="7" t="s">
        <v>271</v>
      </c>
      <c r="B249" s="7" t="s">
        <v>17</v>
      </c>
      <c r="C249" s="7" t="s">
        <v>31</v>
      </c>
      <c r="D249" s="7" t="s">
        <v>13</v>
      </c>
      <c r="E249" s="7" t="s">
        <v>14</v>
      </c>
      <c r="F249" s="7" t="s">
        <v>20</v>
      </c>
      <c r="G249" s="1">
        <v>45169</v>
      </c>
      <c r="H249" s="7">
        <v>457</v>
      </c>
      <c r="I249" s="7">
        <v>48.08</v>
      </c>
      <c r="J249" s="7">
        <v>326.42</v>
      </c>
      <c r="K249" s="18">
        <f>$H249*$I249</f>
        <v>21972.559999999998</v>
      </c>
      <c r="L249" s="1">
        <f t="shared" si="3"/>
        <v>-127201.38000000002</v>
      </c>
    </row>
    <row r="250" spans="1:12" x14ac:dyDescent="0.25">
      <c r="A250" s="7" t="s">
        <v>272</v>
      </c>
      <c r="B250" s="7" t="s">
        <v>22</v>
      </c>
      <c r="C250" s="7" t="s">
        <v>18</v>
      </c>
      <c r="D250" s="7" t="s">
        <v>19</v>
      </c>
      <c r="E250" s="7" t="s">
        <v>14</v>
      </c>
      <c r="F250" s="7" t="s">
        <v>28</v>
      </c>
      <c r="G250" s="1">
        <v>45170</v>
      </c>
      <c r="H250" s="7">
        <v>437</v>
      </c>
      <c r="I250" s="7">
        <v>408.8</v>
      </c>
      <c r="J250" s="7">
        <v>246.76</v>
      </c>
      <c r="K250" s="18">
        <f>$H250*$I250</f>
        <v>178645.6</v>
      </c>
      <c r="L250" s="1">
        <f t="shared" si="3"/>
        <v>70811.48000000001</v>
      </c>
    </row>
    <row r="251" spans="1:12" x14ac:dyDescent="0.25">
      <c r="A251" s="7" t="s">
        <v>273</v>
      </c>
      <c r="B251" s="7" t="s">
        <v>11</v>
      </c>
      <c r="C251" s="7" t="s">
        <v>26</v>
      </c>
      <c r="D251" s="7" t="s">
        <v>27</v>
      </c>
      <c r="E251" s="7" t="s">
        <v>14</v>
      </c>
      <c r="F251" s="7" t="s">
        <v>15</v>
      </c>
      <c r="G251" s="1">
        <v>45171</v>
      </c>
      <c r="H251" s="7">
        <v>190</v>
      </c>
      <c r="I251" s="7">
        <v>189.89</v>
      </c>
      <c r="J251" s="7">
        <v>275.77999999999997</v>
      </c>
      <c r="K251" s="18">
        <f>$H251*$I251</f>
        <v>36079.1</v>
      </c>
      <c r="L251" s="1">
        <f t="shared" si="3"/>
        <v>-16319.099999999997</v>
      </c>
    </row>
    <row r="252" spans="1:12" x14ac:dyDescent="0.25">
      <c r="A252" s="7" t="s">
        <v>274</v>
      </c>
      <c r="B252" s="7" t="s">
        <v>48</v>
      </c>
      <c r="C252" s="7" t="s">
        <v>50</v>
      </c>
      <c r="D252" s="7" t="s">
        <v>42</v>
      </c>
      <c r="E252" s="7" t="s">
        <v>24</v>
      </c>
      <c r="F252" s="7" t="s">
        <v>28</v>
      </c>
      <c r="G252" s="1">
        <v>45172</v>
      </c>
      <c r="H252" s="7">
        <v>33</v>
      </c>
      <c r="I252" s="7">
        <v>265.62</v>
      </c>
      <c r="J252" s="7">
        <v>151.35</v>
      </c>
      <c r="K252" s="18">
        <f>$H252*$I252</f>
        <v>8765.4600000000009</v>
      </c>
      <c r="L252" s="1">
        <f t="shared" si="3"/>
        <v>3770.9100000000003</v>
      </c>
    </row>
    <row r="253" spans="1:12" x14ac:dyDescent="0.25">
      <c r="A253" s="7" t="s">
        <v>275</v>
      </c>
      <c r="B253" s="7" t="s">
        <v>22</v>
      </c>
      <c r="C253" s="7" t="s">
        <v>26</v>
      </c>
      <c r="D253" s="7" t="s">
        <v>42</v>
      </c>
      <c r="E253" s="7" t="s">
        <v>14</v>
      </c>
      <c r="F253" s="7" t="s">
        <v>15</v>
      </c>
      <c r="G253" s="1">
        <v>45173</v>
      </c>
      <c r="H253" s="7">
        <v>325</v>
      </c>
      <c r="I253" s="7">
        <v>60.59</v>
      </c>
      <c r="J253" s="7">
        <v>216.4</v>
      </c>
      <c r="K253" s="18">
        <f>$H253*$I253</f>
        <v>19691.75</v>
      </c>
      <c r="L253" s="1">
        <f t="shared" si="3"/>
        <v>-50638.25</v>
      </c>
    </row>
    <row r="254" spans="1:12" x14ac:dyDescent="0.25">
      <c r="A254" s="7" t="s">
        <v>276</v>
      </c>
      <c r="B254" s="7" t="s">
        <v>22</v>
      </c>
      <c r="C254" s="7" t="s">
        <v>26</v>
      </c>
      <c r="D254" s="7" t="s">
        <v>27</v>
      </c>
      <c r="E254" s="7" t="s">
        <v>24</v>
      </c>
      <c r="F254" s="7" t="s">
        <v>15</v>
      </c>
      <c r="G254" s="1">
        <v>45174</v>
      </c>
      <c r="H254" s="7">
        <v>387</v>
      </c>
      <c r="I254" s="7">
        <v>6.28</v>
      </c>
      <c r="J254" s="7">
        <v>210.62</v>
      </c>
      <c r="K254" s="18">
        <f>$H254*$I254</f>
        <v>2430.36</v>
      </c>
      <c r="L254" s="1">
        <f t="shared" si="3"/>
        <v>-79079.58</v>
      </c>
    </row>
    <row r="255" spans="1:12" x14ac:dyDescent="0.25">
      <c r="A255" s="7" t="s">
        <v>277</v>
      </c>
      <c r="B255" s="7" t="s">
        <v>22</v>
      </c>
      <c r="C255" s="7" t="s">
        <v>26</v>
      </c>
      <c r="D255" s="7" t="s">
        <v>19</v>
      </c>
      <c r="E255" s="7" t="s">
        <v>14</v>
      </c>
      <c r="F255" s="7" t="s">
        <v>28</v>
      </c>
      <c r="G255" s="1">
        <v>45175</v>
      </c>
      <c r="H255" s="7">
        <v>396</v>
      </c>
      <c r="I255" s="7">
        <v>320.8</v>
      </c>
      <c r="J255" s="7">
        <v>339.52</v>
      </c>
      <c r="K255" s="18">
        <f>$H255*$I255</f>
        <v>127036.8</v>
      </c>
      <c r="L255" s="1">
        <f t="shared" si="3"/>
        <v>-7413.1199999999881</v>
      </c>
    </row>
    <row r="256" spans="1:12" x14ac:dyDescent="0.25">
      <c r="A256" s="7" t="s">
        <v>278</v>
      </c>
      <c r="B256" s="7" t="s">
        <v>11</v>
      </c>
      <c r="C256" s="7" t="s">
        <v>26</v>
      </c>
      <c r="D256" s="7" t="s">
        <v>42</v>
      </c>
      <c r="E256" s="7" t="s">
        <v>14</v>
      </c>
      <c r="F256" s="7" t="s">
        <v>15</v>
      </c>
      <c r="G256" s="1">
        <v>45176</v>
      </c>
      <c r="H256" s="7">
        <v>413</v>
      </c>
      <c r="I256" s="7">
        <v>260.01</v>
      </c>
      <c r="J256" s="7">
        <v>336.31</v>
      </c>
      <c r="K256" s="18">
        <f>$H256*$I256</f>
        <v>107384.12999999999</v>
      </c>
      <c r="L256" s="1">
        <f t="shared" si="3"/>
        <v>-31511.900000000005</v>
      </c>
    </row>
    <row r="257" spans="1:12" x14ac:dyDescent="0.25">
      <c r="A257" s="7" t="s">
        <v>279</v>
      </c>
      <c r="B257" s="7" t="s">
        <v>48</v>
      </c>
      <c r="C257" s="7" t="s">
        <v>31</v>
      </c>
      <c r="D257" s="7" t="s">
        <v>42</v>
      </c>
      <c r="E257" s="7" t="s">
        <v>14</v>
      </c>
      <c r="F257" s="7" t="s">
        <v>15</v>
      </c>
      <c r="G257" s="1">
        <v>45177</v>
      </c>
      <c r="H257" s="7">
        <v>255.9</v>
      </c>
      <c r="I257" s="7">
        <v>298.8</v>
      </c>
      <c r="J257" s="7">
        <v>333.41</v>
      </c>
      <c r="K257" s="18">
        <f>$H257*$I257</f>
        <v>76462.92</v>
      </c>
      <c r="L257" s="1">
        <f t="shared" si="3"/>
        <v>-8856.6990000000042</v>
      </c>
    </row>
    <row r="258" spans="1:12" x14ac:dyDescent="0.25">
      <c r="A258" s="7" t="s">
        <v>280</v>
      </c>
      <c r="B258" s="7" t="s">
        <v>22</v>
      </c>
      <c r="C258" s="7" t="s">
        <v>18</v>
      </c>
      <c r="D258" s="7" t="s">
        <v>13</v>
      </c>
      <c r="E258" s="7" t="s">
        <v>24</v>
      </c>
      <c r="F258" s="7" t="s">
        <v>20</v>
      </c>
      <c r="G258" s="1">
        <v>45178</v>
      </c>
      <c r="H258" s="7">
        <v>24</v>
      </c>
      <c r="I258" s="7">
        <v>397.9</v>
      </c>
      <c r="J258" s="7">
        <v>6.39</v>
      </c>
      <c r="K258" s="18">
        <f>$H258*$I258</f>
        <v>9549.5999999999985</v>
      </c>
      <c r="L258" s="1">
        <f t="shared" si="3"/>
        <v>9396.24</v>
      </c>
    </row>
    <row r="259" spans="1:12" x14ac:dyDescent="0.25">
      <c r="A259" s="7" t="s">
        <v>281</v>
      </c>
      <c r="B259" s="7" t="s">
        <v>17</v>
      </c>
      <c r="C259" s="7" t="s">
        <v>12</v>
      </c>
      <c r="D259" s="7" t="s">
        <v>13</v>
      </c>
      <c r="E259" s="7" t="s">
        <v>14</v>
      </c>
      <c r="F259" s="7" t="s">
        <v>15</v>
      </c>
      <c r="G259" s="1">
        <v>45179</v>
      </c>
      <c r="H259" s="7">
        <v>162</v>
      </c>
      <c r="I259" s="7">
        <v>325.07</v>
      </c>
      <c r="J259" s="7">
        <v>300.32</v>
      </c>
      <c r="K259" s="18">
        <f>$H259*$I259</f>
        <v>52661.34</v>
      </c>
      <c r="L259" s="1">
        <f t="shared" si="3"/>
        <v>4009.5</v>
      </c>
    </row>
    <row r="260" spans="1:12" x14ac:dyDescent="0.25">
      <c r="A260" s="7" t="s">
        <v>282</v>
      </c>
      <c r="B260" s="7" t="s">
        <v>22</v>
      </c>
      <c r="C260" s="7" t="s">
        <v>26</v>
      </c>
      <c r="D260" s="7" t="s">
        <v>42</v>
      </c>
      <c r="E260" s="7" t="s">
        <v>24</v>
      </c>
      <c r="F260" s="7" t="s">
        <v>28</v>
      </c>
      <c r="G260" s="1">
        <v>45180</v>
      </c>
      <c r="H260" s="7">
        <v>231</v>
      </c>
      <c r="I260" s="7">
        <v>91.51</v>
      </c>
      <c r="J260" s="7">
        <v>303.95</v>
      </c>
      <c r="K260" s="18">
        <f>$H260*$I260</f>
        <v>21138.81</v>
      </c>
      <c r="L260" s="1">
        <f t="shared" si="3"/>
        <v>-49073.64</v>
      </c>
    </row>
    <row r="261" spans="1:12" x14ac:dyDescent="0.25">
      <c r="A261" s="7" t="s">
        <v>283</v>
      </c>
      <c r="B261" s="7" t="s">
        <v>22</v>
      </c>
      <c r="C261" s="7" t="s">
        <v>50</v>
      </c>
      <c r="D261" s="7" t="s">
        <v>19</v>
      </c>
      <c r="E261" s="7" t="s">
        <v>24</v>
      </c>
      <c r="F261" s="7" t="s">
        <v>28</v>
      </c>
      <c r="G261" s="1">
        <v>45181</v>
      </c>
      <c r="H261" s="7">
        <v>215</v>
      </c>
      <c r="I261" s="7">
        <v>183.58</v>
      </c>
      <c r="J261" s="7">
        <v>271.99</v>
      </c>
      <c r="K261" s="18">
        <f>$H261*$I261</f>
        <v>39469.700000000004</v>
      </c>
      <c r="L261" s="1">
        <f t="shared" si="3"/>
        <v>-19008.149999999998</v>
      </c>
    </row>
    <row r="262" spans="1:12" x14ac:dyDescent="0.25">
      <c r="A262" s="7" t="s">
        <v>284</v>
      </c>
      <c r="B262" s="7" t="s">
        <v>11</v>
      </c>
      <c r="C262" s="7" t="s">
        <v>26</v>
      </c>
      <c r="D262" s="7" t="s">
        <v>27</v>
      </c>
      <c r="E262" s="7" t="s">
        <v>24</v>
      </c>
      <c r="F262" s="7" t="s">
        <v>15</v>
      </c>
      <c r="G262" s="1">
        <v>45182</v>
      </c>
      <c r="H262" s="7">
        <v>464</v>
      </c>
      <c r="I262" s="7">
        <v>453.42</v>
      </c>
      <c r="J262" s="7">
        <v>302.99</v>
      </c>
      <c r="K262" s="18">
        <f>$H262*$I262</f>
        <v>210386.88</v>
      </c>
      <c r="L262" s="1">
        <f t="shared" si="3"/>
        <v>69799.520000000004</v>
      </c>
    </row>
    <row r="263" spans="1:12" x14ac:dyDescent="0.25">
      <c r="A263" s="7" t="s">
        <v>285</v>
      </c>
      <c r="B263" s="7" t="s">
        <v>11</v>
      </c>
      <c r="C263" s="7" t="s">
        <v>50</v>
      </c>
      <c r="D263" s="7" t="s">
        <v>23</v>
      </c>
      <c r="E263" s="7" t="s">
        <v>14</v>
      </c>
      <c r="F263" s="7" t="s">
        <v>20</v>
      </c>
      <c r="G263" s="1">
        <v>45183</v>
      </c>
      <c r="H263" s="7">
        <v>282</v>
      </c>
      <c r="I263" s="7">
        <v>249.64</v>
      </c>
      <c r="J263" s="7">
        <v>337.1</v>
      </c>
      <c r="K263" s="18">
        <f>$H263*$I263</f>
        <v>70398.48</v>
      </c>
      <c r="L263" s="1">
        <f t="shared" si="3"/>
        <v>-24663.720000000008</v>
      </c>
    </row>
    <row r="264" spans="1:12" x14ac:dyDescent="0.25">
      <c r="A264" s="7" t="s">
        <v>286</v>
      </c>
      <c r="B264" s="7" t="s">
        <v>48</v>
      </c>
      <c r="C264" s="7" t="s">
        <v>31</v>
      </c>
      <c r="D264" s="7" t="s">
        <v>42</v>
      </c>
      <c r="E264" s="7" t="s">
        <v>14</v>
      </c>
      <c r="F264" s="7" t="s">
        <v>20</v>
      </c>
      <c r="G264" s="1">
        <v>45184</v>
      </c>
      <c r="H264" s="7">
        <v>391</v>
      </c>
      <c r="I264" s="7">
        <v>280.54000000000002</v>
      </c>
      <c r="J264" s="7">
        <v>189.19</v>
      </c>
      <c r="K264" s="18">
        <f>$H264*$I264</f>
        <v>109691.14000000001</v>
      </c>
      <c r="L264" s="1">
        <f t="shared" ref="L264:L327" si="4">($I264-$J264)*$H264</f>
        <v>35717.850000000006</v>
      </c>
    </row>
    <row r="265" spans="1:12" x14ac:dyDescent="0.25">
      <c r="A265" s="7" t="s">
        <v>287</v>
      </c>
      <c r="B265" s="7" t="s">
        <v>17</v>
      </c>
      <c r="C265" s="7" t="s">
        <v>50</v>
      </c>
      <c r="D265" s="7" t="s">
        <v>13</v>
      </c>
      <c r="E265" s="7" t="s">
        <v>14</v>
      </c>
      <c r="F265" s="7" t="s">
        <v>15</v>
      </c>
      <c r="G265" s="1">
        <v>45185</v>
      </c>
      <c r="H265" s="7">
        <v>245</v>
      </c>
      <c r="I265" s="7">
        <v>131.54</v>
      </c>
      <c r="J265" s="7">
        <v>201.82</v>
      </c>
      <c r="K265" s="18">
        <f>$H265*$I265</f>
        <v>32227.3</v>
      </c>
      <c r="L265" s="1">
        <f t="shared" si="4"/>
        <v>-17218.599999999999</v>
      </c>
    </row>
    <row r="266" spans="1:12" x14ac:dyDescent="0.25">
      <c r="A266" s="7" t="s">
        <v>288</v>
      </c>
      <c r="B266" s="7" t="s">
        <v>11</v>
      </c>
      <c r="C266" s="7" t="s">
        <v>12</v>
      </c>
      <c r="D266" s="7" t="s">
        <v>27</v>
      </c>
      <c r="E266" s="7" t="s">
        <v>14</v>
      </c>
      <c r="F266" s="7" t="s">
        <v>15</v>
      </c>
      <c r="G266" s="1">
        <v>45186</v>
      </c>
      <c r="H266" s="7">
        <v>349</v>
      </c>
      <c r="I266" s="7">
        <v>154.52000000000001</v>
      </c>
      <c r="J266" s="7">
        <v>51.64</v>
      </c>
      <c r="K266" s="18">
        <f>$H266*$I266</f>
        <v>53927.48</v>
      </c>
      <c r="L266" s="1">
        <f t="shared" si="4"/>
        <v>35905.120000000003</v>
      </c>
    </row>
    <row r="267" spans="1:12" x14ac:dyDescent="0.25">
      <c r="A267" s="7" t="s">
        <v>289</v>
      </c>
      <c r="B267" s="7" t="s">
        <v>22</v>
      </c>
      <c r="C267" s="7" t="s">
        <v>18</v>
      </c>
      <c r="D267" s="7" t="s">
        <v>19</v>
      </c>
      <c r="E267" s="7" t="s">
        <v>24</v>
      </c>
      <c r="F267" s="7" t="s">
        <v>28</v>
      </c>
      <c r="G267" s="1">
        <v>45187</v>
      </c>
      <c r="H267" s="7">
        <v>237</v>
      </c>
      <c r="I267" s="7">
        <v>249.64</v>
      </c>
      <c r="J267" s="7">
        <v>155.38</v>
      </c>
      <c r="K267" s="18">
        <f>$H267*$I267</f>
        <v>59164.68</v>
      </c>
      <c r="L267" s="1">
        <f t="shared" si="4"/>
        <v>22339.62</v>
      </c>
    </row>
    <row r="268" spans="1:12" x14ac:dyDescent="0.25">
      <c r="A268" s="7" t="s">
        <v>290</v>
      </c>
      <c r="B268" s="7" t="s">
        <v>48</v>
      </c>
      <c r="C268" s="7" t="s">
        <v>50</v>
      </c>
      <c r="D268" s="7" t="s">
        <v>27</v>
      </c>
      <c r="E268" s="7" t="s">
        <v>24</v>
      </c>
      <c r="F268" s="7" t="s">
        <v>15</v>
      </c>
      <c r="G268" s="1">
        <v>45188</v>
      </c>
      <c r="H268" s="7">
        <v>18</v>
      </c>
      <c r="I268" s="7">
        <v>426.33</v>
      </c>
      <c r="J268" s="7">
        <v>258.06</v>
      </c>
      <c r="K268" s="18">
        <f>$H268*$I268</f>
        <v>7673.94</v>
      </c>
      <c r="L268" s="1">
        <f t="shared" si="4"/>
        <v>3028.8599999999997</v>
      </c>
    </row>
    <row r="269" spans="1:12" x14ac:dyDescent="0.25">
      <c r="A269" s="7" t="s">
        <v>291</v>
      </c>
      <c r="B269" s="7" t="s">
        <v>22</v>
      </c>
      <c r="C269" s="7" t="s">
        <v>50</v>
      </c>
      <c r="D269" s="7" t="s">
        <v>42</v>
      </c>
      <c r="E269" s="7" t="s">
        <v>24</v>
      </c>
      <c r="F269" s="7" t="s">
        <v>20</v>
      </c>
      <c r="G269" s="1">
        <v>45189</v>
      </c>
      <c r="H269" s="7">
        <v>175</v>
      </c>
      <c r="I269" s="7">
        <v>337.36</v>
      </c>
      <c r="J269" s="7">
        <v>312.60000000000002</v>
      </c>
      <c r="K269" s="18">
        <f>$H269*$I269</f>
        <v>59038</v>
      </c>
      <c r="L269" s="1">
        <f t="shared" si="4"/>
        <v>4332.9999999999982</v>
      </c>
    </row>
    <row r="270" spans="1:12" x14ac:dyDescent="0.25">
      <c r="A270" s="7" t="s">
        <v>292</v>
      </c>
      <c r="B270" s="7" t="s">
        <v>22</v>
      </c>
      <c r="C270" s="7" t="s">
        <v>18</v>
      </c>
      <c r="D270" s="7" t="s">
        <v>42</v>
      </c>
      <c r="E270" s="7" t="s">
        <v>14</v>
      </c>
      <c r="F270" s="7" t="s">
        <v>15</v>
      </c>
      <c r="G270" s="1">
        <v>45190</v>
      </c>
      <c r="H270" s="7">
        <v>441</v>
      </c>
      <c r="I270" s="7">
        <v>405.72</v>
      </c>
      <c r="J270" s="7">
        <v>88.45</v>
      </c>
      <c r="K270" s="18">
        <f>$H270*$I270</f>
        <v>178922.52000000002</v>
      </c>
      <c r="L270" s="1">
        <f t="shared" si="4"/>
        <v>139916.07</v>
      </c>
    </row>
    <row r="271" spans="1:12" x14ac:dyDescent="0.25">
      <c r="A271" s="7" t="s">
        <v>293</v>
      </c>
      <c r="B271" s="7" t="s">
        <v>11</v>
      </c>
      <c r="C271" s="7" t="s">
        <v>12</v>
      </c>
      <c r="D271" s="7" t="s">
        <v>23</v>
      </c>
      <c r="E271" s="7" t="s">
        <v>24</v>
      </c>
      <c r="F271" s="7" t="s">
        <v>28</v>
      </c>
      <c r="G271" s="1">
        <v>45191</v>
      </c>
      <c r="H271" s="7">
        <v>453</v>
      </c>
      <c r="I271" s="7">
        <v>384.49</v>
      </c>
      <c r="J271" s="7">
        <v>56.85</v>
      </c>
      <c r="K271" s="18">
        <f>$H271*$I271</f>
        <v>174173.97</v>
      </c>
      <c r="L271" s="1">
        <f t="shared" si="4"/>
        <v>148420.91999999998</v>
      </c>
    </row>
    <row r="272" spans="1:12" x14ac:dyDescent="0.25">
      <c r="A272" s="7" t="s">
        <v>294</v>
      </c>
      <c r="B272" s="7" t="s">
        <v>48</v>
      </c>
      <c r="C272" s="7" t="s">
        <v>26</v>
      </c>
      <c r="D272" s="7" t="s">
        <v>27</v>
      </c>
      <c r="E272" s="7" t="s">
        <v>14</v>
      </c>
      <c r="F272" s="7" t="s">
        <v>28</v>
      </c>
      <c r="G272" s="1">
        <v>45192</v>
      </c>
      <c r="H272" s="7">
        <v>328</v>
      </c>
      <c r="I272" s="7">
        <v>79.099999999999994</v>
      </c>
      <c r="J272" s="7">
        <v>265.89</v>
      </c>
      <c r="K272" s="18">
        <f>$H272*$I272</f>
        <v>25944.799999999999</v>
      </c>
      <c r="L272" s="1">
        <f t="shared" si="4"/>
        <v>-61267.119999999995</v>
      </c>
    </row>
    <row r="273" spans="1:12" x14ac:dyDescent="0.25">
      <c r="A273" s="7" t="s">
        <v>295</v>
      </c>
      <c r="B273" s="7" t="s">
        <v>17</v>
      </c>
      <c r="C273" s="7" t="s">
        <v>50</v>
      </c>
      <c r="D273" s="7" t="s">
        <v>42</v>
      </c>
      <c r="E273" s="7" t="s">
        <v>24</v>
      </c>
      <c r="F273" s="7" t="s">
        <v>28</v>
      </c>
      <c r="G273" s="1">
        <v>45193</v>
      </c>
      <c r="H273" s="7">
        <v>223</v>
      </c>
      <c r="I273" s="7">
        <v>214.85</v>
      </c>
      <c r="J273" s="7">
        <v>2.75</v>
      </c>
      <c r="K273" s="18">
        <f>$H273*$I273</f>
        <v>47911.549999999996</v>
      </c>
      <c r="L273" s="1">
        <f t="shared" si="4"/>
        <v>47298.299999999996</v>
      </c>
    </row>
    <row r="274" spans="1:12" x14ac:dyDescent="0.25">
      <c r="A274" s="7" t="s">
        <v>296</v>
      </c>
      <c r="B274" s="7" t="s">
        <v>17</v>
      </c>
      <c r="C274" s="7" t="s">
        <v>18</v>
      </c>
      <c r="D274" s="7" t="s">
        <v>13</v>
      </c>
      <c r="E274" s="7" t="s">
        <v>14</v>
      </c>
      <c r="F274" s="7" t="s">
        <v>28</v>
      </c>
      <c r="G274" s="1">
        <v>45194</v>
      </c>
      <c r="H274" s="7">
        <v>126</v>
      </c>
      <c r="I274" s="7">
        <v>80.73</v>
      </c>
      <c r="J274" s="7">
        <v>72.989999999999995</v>
      </c>
      <c r="K274" s="18">
        <f>$H274*$I274</f>
        <v>10171.980000000001</v>
      </c>
      <c r="L274" s="1">
        <f t="shared" si="4"/>
        <v>975.24000000000115</v>
      </c>
    </row>
    <row r="275" spans="1:12" x14ac:dyDescent="0.25">
      <c r="A275" s="7" t="s">
        <v>297</v>
      </c>
      <c r="B275" s="7" t="s">
        <v>11</v>
      </c>
      <c r="C275" s="7" t="s">
        <v>31</v>
      </c>
      <c r="D275" s="7" t="s">
        <v>19</v>
      </c>
      <c r="E275" s="7" t="s">
        <v>14</v>
      </c>
      <c r="F275" s="7" t="s">
        <v>28</v>
      </c>
      <c r="G275" s="1">
        <v>45195</v>
      </c>
      <c r="H275" s="7">
        <v>395</v>
      </c>
      <c r="I275" s="7">
        <v>121.44</v>
      </c>
      <c r="J275" s="7">
        <v>13.57</v>
      </c>
      <c r="K275" s="18">
        <f>$H275*$I275</f>
        <v>47968.799999999996</v>
      </c>
      <c r="L275" s="1">
        <f t="shared" si="4"/>
        <v>42608.65</v>
      </c>
    </row>
    <row r="276" spans="1:12" x14ac:dyDescent="0.25">
      <c r="A276" s="7" t="s">
        <v>298</v>
      </c>
      <c r="B276" s="7" t="s">
        <v>11</v>
      </c>
      <c r="C276" s="7" t="s">
        <v>18</v>
      </c>
      <c r="D276" s="7" t="s">
        <v>27</v>
      </c>
      <c r="E276" s="7" t="s">
        <v>24</v>
      </c>
      <c r="F276" s="7" t="s">
        <v>15</v>
      </c>
      <c r="G276" s="1">
        <v>45196</v>
      </c>
      <c r="H276" s="7">
        <v>353</v>
      </c>
      <c r="I276" s="7">
        <v>435.28</v>
      </c>
      <c r="J276" s="7">
        <v>68.42</v>
      </c>
      <c r="K276" s="18">
        <f>$H276*$I276</f>
        <v>153653.84</v>
      </c>
      <c r="L276" s="1">
        <f t="shared" si="4"/>
        <v>129501.57999999999</v>
      </c>
    </row>
    <row r="277" spans="1:12" x14ac:dyDescent="0.25">
      <c r="A277" s="7" t="s">
        <v>299</v>
      </c>
      <c r="B277" s="7" t="s">
        <v>48</v>
      </c>
      <c r="C277" s="7" t="s">
        <v>31</v>
      </c>
      <c r="D277" s="7" t="s">
        <v>27</v>
      </c>
      <c r="E277" s="7" t="s">
        <v>24</v>
      </c>
      <c r="F277" s="7" t="s">
        <v>15</v>
      </c>
      <c r="G277" s="1">
        <v>45197</v>
      </c>
      <c r="H277" s="7">
        <v>81</v>
      </c>
      <c r="I277" s="7">
        <v>239.08</v>
      </c>
      <c r="J277" s="7">
        <v>74.17</v>
      </c>
      <c r="K277" s="18">
        <f>$H277*$I277</f>
        <v>19365.48</v>
      </c>
      <c r="L277" s="1">
        <f t="shared" si="4"/>
        <v>13357.710000000003</v>
      </c>
    </row>
    <row r="278" spans="1:12" x14ac:dyDescent="0.25">
      <c r="A278" s="7" t="s">
        <v>300</v>
      </c>
      <c r="B278" s="7" t="s">
        <v>17</v>
      </c>
      <c r="C278" s="7" t="s">
        <v>12</v>
      </c>
      <c r="D278" s="7" t="s">
        <v>23</v>
      </c>
      <c r="E278" s="7" t="s">
        <v>24</v>
      </c>
      <c r="F278" s="7" t="s">
        <v>15</v>
      </c>
      <c r="G278" s="1">
        <v>45198</v>
      </c>
      <c r="H278" s="7">
        <v>404</v>
      </c>
      <c r="I278" s="7">
        <v>270</v>
      </c>
      <c r="J278" s="7">
        <v>156.29</v>
      </c>
      <c r="K278" s="18">
        <f>$H278*$I278</f>
        <v>109080</v>
      </c>
      <c r="L278" s="1">
        <f t="shared" si="4"/>
        <v>45938.840000000004</v>
      </c>
    </row>
    <row r="279" spans="1:12" x14ac:dyDescent="0.25">
      <c r="A279" s="7" t="s">
        <v>301</v>
      </c>
      <c r="B279" s="7" t="s">
        <v>17</v>
      </c>
      <c r="C279" s="7" t="s">
        <v>26</v>
      </c>
      <c r="D279" s="7" t="s">
        <v>23</v>
      </c>
      <c r="E279" s="7" t="s">
        <v>24</v>
      </c>
      <c r="F279" s="7" t="s">
        <v>15</v>
      </c>
      <c r="G279" s="1">
        <v>45199</v>
      </c>
      <c r="H279" s="7">
        <v>73</v>
      </c>
      <c r="I279" s="7">
        <v>93.33</v>
      </c>
      <c r="J279" s="7">
        <v>162.13</v>
      </c>
      <c r="K279" s="18">
        <f>$H279*$I279</f>
        <v>6813.09</v>
      </c>
      <c r="L279" s="1">
        <f t="shared" si="4"/>
        <v>-5022.3999999999996</v>
      </c>
    </row>
    <row r="280" spans="1:12" x14ac:dyDescent="0.25">
      <c r="A280" s="7" t="s">
        <v>302</v>
      </c>
      <c r="B280" s="7" t="s">
        <v>17</v>
      </c>
      <c r="C280" s="7" t="s">
        <v>18</v>
      </c>
      <c r="D280" s="7" t="s">
        <v>13</v>
      </c>
      <c r="E280" s="7" t="s">
        <v>14</v>
      </c>
      <c r="F280" s="7" t="s">
        <v>28</v>
      </c>
      <c r="G280" s="1">
        <v>45200</v>
      </c>
      <c r="H280" s="7">
        <v>214</v>
      </c>
      <c r="I280" s="7">
        <v>159.57</v>
      </c>
      <c r="J280" s="7">
        <v>349.96</v>
      </c>
      <c r="K280" s="18">
        <f>$H280*$I280</f>
        <v>34147.979999999996</v>
      </c>
      <c r="L280" s="1">
        <f t="shared" si="4"/>
        <v>-40743.46</v>
      </c>
    </row>
    <row r="281" spans="1:12" x14ac:dyDescent="0.25">
      <c r="A281" s="7" t="s">
        <v>303</v>
      </c>
      <c r="B281" s="7" t="s">
        <v>22</v>
      </c>
      <c r="C281" s="7" t="s">
        <v>50</v>
      </c>
      <c r="D281" s="7" t="s">
        <v>13</v>
      </c>
      <c r="E281" s="7" t="s">
        <v>24</v>
      </c>
      <c r="F281" s="7" t="s">
        <v>20</v>
      </c>
      <c r="G281" s="1">
        <v>45201</v>
      </c>
      <c r="H281" s="7">
        <v>218</v>
      </c>
      <c r="I281" s="7">
        <v>118.97</v>
      </c>
      <c r="J281" s="7">
        <v>205.02</v>
      </c>
      <c r="K281" s="18">
        <f>$H281*$I281</f>
        <v>25935.46</v>
      </c>
      <c r="L281" s="1">
        <f t="shared" si="4"/>
        <v>-18758.900000000001</v>
      </c>
    </row>
    <row r="282" spans="1:12" x14ac:dyDescent="0.25">
      <c r="A282" s="7" t="s">
        <v>304</v>
      </c>
      <c r="B282" s="7" t="s">
        <v>17</v>
      </c>
      <c r="C282" s="7" t="s">
        <v>12</v>
      </c>
      <c r="D282" s="7" t="s">
        <v>42</v>
      </c>
      <c r="E282" s="7" t="s">
        <v>24</v>
      </c>
      <c r="F282" s="7" t="s">
        <v>15</v>
      </c>
      <c r="G282" s="1">
        <v>45202</v>
      </c>
      <c r="H282" s="7">
        <v>81</v>
      </c>
      <c r="I282" s="7">
        <v>107.06</v>
      </c>
      <c r="J282" s="7">
        <v>289.92</v>
      </c>
      <c r="K282" s="18">
        <f>$H282*$I282</f>
        <v>8671.86</v>
      </c>
      <c r="L282" s="1">
        <f t="shared" si="4"/>
        <v>-14811.660000000002</v>
      </c>
    </row>
    <row r="283" spans="1:12" x14ac:dyDescent="0.25">
      <c r="A283" s="7" t="s">
        <v>305</v>
      </c>
      <c r="B283" s="7" t="s">
        <v>22</v>
      </c>
      <c r="C283" s="7" t="s">
        <v>18</v>
      </c>
      <c r="D283" s="7" t="s">
        <v>42</v>
      </c>
      <c r="E283" s="7" t="s">
        <v>24</v>
      </c>
      <c r="F283" s="7" t="s">
        <v>20</v>
      </c>
      <c r="G283" s="1">
        <v>45203</v>
      </c>
      <c r="H283" s="7">
        <v>286</v>
      </c>
      <c r="I283" s="7">
        <v>320.79000000000002</v>
      </c>
      <c r="J283" s="7">
        <v>43.45</v>
      </c>
      <c r="K283" s="18">
        <f>$H283*$I283</f>
        <v>91745.94</v>
      </c>
      <c r="L283" s="1">
        <f t="shared" si="4"/>
        <v>79319.240000000005</v>
      </c>
    </row>
    <row r="284" spans="1:12" x14ac:dyDescent="0.25">
      <c r="A284" s="7" t="s">
        <v>306</v>
      </c>
      <c r="B284" s="7" t="s">
        <v>48</v>
      </c>
      <c r="C284" s="7" t="s">
        <v>50</v>
      </c>
      <c r="D284" s="7" t="s">
        <v>13</v>
      </c>
      <c r="E284" s="7" t="s">
        <v>14</v>
      </c>
      <c r="F284" s="7" t="s">
        <v>15</v>
      </c>
      <c r="G284" s="1">
        <v>45204</v>
      </c>
      <c r="H284" s="7">
        <v>283</v>
      </c>
      <c r="I284" s="7">
        <v>132.16</v>
      </c>
      <c r="J284" s="7">
        <v>91.72</v>
      </c>
      <c r="K284" s="18">
        <f>$H284*$I284</f>
        <v>37401.279999999999</v>
      </c>
      <c r="L284" s="1">
        <f t="shared" si="4"/>
        <v>11444.519999999999</v>
      </c>
    </row>
    <row r="285" spans="1:12" x14ac:dyDescent="0.25">
      <c r="A285" s="7" t="s">
        <v>307</v>
      </c>
      <c r="B285" s="7" t="s">
        <v>22</v>
      </c>
      <c r="C285" s="7" t="s">
        <v>18</v>
      </c>
      <c r="D285" s="7" t="s">
        <v>13</v>
      </c>
      <c r="E285" s="7" t="s">
        <v>14</v>
      </c>
      <c r="F285" s="7" t="s">
        <v>15</v>
      </c>
      <c r="G285" s="1">
        <v>45205</v>
      </c>
      <c r="H285" s="7">
        <v>487</v>
      </c>
      <c r="I285" s="7">
        <v>317.85000000000002</v>
      </c>
      <c r="J285" s="7">
        <v>281.77</v>
      </c>
      <c r="K285" s="18">
        <f>$H285*$I285</f>
        <v>154792.95000000001</v>
      </c>
      <c r="L285" s="1">
        <f t="shared" si="4"/>
        <v>17570.960000000021</v>
      </c>
    </row>
    <row r="286" spans="1:12" x14ac:dyDescent="0.25">
      <c r="A286" s="7" t="s">
        <v>308</v>
      </c>
      <c r="B286" s="7" t="s">
        <v>48</v>
      </c>
      <c r="C286" s="7" t="s">
        <v>31</v>
      </c>
      <c r="D286" s="7" t="s">
        <v>19</v>
      </c>
      <c r="E286" s="7" t="s">
        <v>24</v>
      </c>
      <c r="F286" s="7" t="s">
        <v>20</v>
      </c>
      <c r="G286" s="1">
        <v>45206</v>
      </c>
      <c r="H286" s="7">
        <v>329</v>
      </c>
      <c r="I286" s="7">
        <v>33.94</v>
      </c>
      <c r="J286" s="7">
        <v>23.02</v>
      </c>
      <c r="K286" s="18">
        <f>$H286*$I286</f>
        <v>11166.259999999998</v>
      </c>
      <c r="L286" s="1">
        <f t="shared" si="4"/>
        <v>3592.6799999999994</v>
      </c>
    </row>
    <row r="287" spans="1:12" x14ac:dyDescent="0.25">
      <c r="A287" s="7" t="s">
        <v>309</v>
      </c>
      <c r="B287" s="7" t="s">
        <v>17</v>
      </c>
      <c r="C287" s="7" t="s">
        <v>18</v>
      </c>
      <c r="D287" s="7" t="s">
        <v>23</v>
      </c>
      <c r="E287" s="7" t="s">
        <v>14</v>
      </c>
      <c r="F287" s="7" t="s">
        <v>28</v>
      </c>
      <c r="G287" s="1">
        <v>45207</v>
      </c>
      <c r="H287" s="7">
        <v>347</v>
      </c>
      <c r="I287" s="7">
        <v>75.180000000000007</v>
      </c>
      <c r="J287" s="7">
        <v>195.67</v>
      </c>
      <c r="K287" s="18">
        <f>$H287*$I287</f>
        <v>26087.460000000003</v>
      </c>
      <c r="L287" s="1">
        <f t="shared" si="4"/>
        <v>-41810.029999999992</v>
      </c>
    </row>
    <row r="288" spans="1:12" x14ac:dyDescent="0.25">
      <c r="A288" s="7" t="s">
        <v>310</v>
      </c>
      <c r="B288" s="7" t="s">
        <v>17</v>
      </c>
      <c r="C288" s="7" t="s">
        <v>18</v>
      </c>
      <c r="D288" s="7" t="s">
        <v>42</v>
      </c>
      <c r="E288" s="7" t="s">
        <v>24</v>
      </c>
      <c r="F288" s="7" t="s">
        <v>15</v>
      </c>
      <c r="G288" s="1">
        <v>45208</v>
      </c>
      <c r="H288" s="7">
        <v>375</v>
      </c>
      <c r="I288" s="7">
        <v>140.9</v>
      </c>
      <c r="J288" s="7">
        <v>240.55</v>
      </c>
      <c r="K288" s="18">
        <f>$H288*$I288</f>
        <v>52837.5</v>
      </c>
      <c r="L288" s="1">
        <f t="shared" si="4"/>
        <v>-37368.75</v>
      </c>
    </row>
    <row r="289" spans="1:12" x14ac:dyDescent="0.25">
      <c r="A289" s="7" t="s">
        <v>311</v>
      </c>
      <c r="B289" s="7" t="s">
        <v>48</v>
      </c>
      <c r="C289" s="7" t="s">
        <v>18</v>
      </c>
      <c r="D289" s="7" t="s">
        <v>23</v>
      </c>
      <c r="E289" s="7" t="s">
        <v>14</v>
      </c>
      <c r="F289" s="7" t="s">
        <v>15</v>
      </c>
      <c r="G289" s="1">
        <v>45209</v>
      </c>
      <c r="H289" s="7">
        <v>104</v>
      </c>
      <c r="I289" s="7">
        <v>300.54000000000002</v>
      </c>
      <c r="J289" s="7">
        <v>241.65</v>
      </c>
      <c r="K289" s="18">
        <f>$H289*$I289</f>
        <v>31256.160000000003</v>
      </c>
      <c r="L289" s="1">
        <f t="shared" si="4"/>
        <v>6124.5600000000013</v>
      </c>
    </row>
    <row r="290" spans="1:12" x14ac:dyDescent="0.25">
      <c r="A290" s="7" t="s">
        <v>312</v>
      </c>
      <c r="B290" s="7" t="s">
        <v>11</v>
      </c>
      <c r="C290" s="7" t="s">
        <v>12</v>
      </c>
      <c r="D290" s="7" t="s">
        <v>23</v>
      </c>
      <c r="E290" s="7" t="s">
        <v>14</v>
      </c>
      <c r="F290" s="7" t="s">
        <v>15</v>
      </c>
      <c r="G290" s="1">
        <v>45210</v>
      </c>
      <c r="H290" s="7">
        <v>175</v>
      </c>
      <c r="I290" s="7">
        <v>339.54</v>
      </c>
      <c r="J290" s="7">
        <v>11.13</v>
      </c>
      <c r="K290" s="18">
        <f>$H290*$I290</f>
        <v>59419.5</v>
      </c>
      <c r="L290" s="1">
        <f t="shared" si="4"/>
        <v>57471.750000000007</v>
      </c>
    </row>
    <row r="291" spans="1:12" x14ac:dyDescent="0.25">
      <c r="A291" s="7" t="s">
        <v>313</v>
      </c>
      <c r="B291" s="7" t="s">
        <v>48</v>
      </c>
      <c r="C291" s="7" t="s">
        <v>18</v>
      </c>
      <c r="D291" s="7" t="s">
        <v>13</v>
      </c>
      <c r="E291" s="7" t="s">
        <v>14</v>
      </c>
      <c r="F291" s="7" t="s">
        <v>20</v>
      </c>
      <c r="G291" s="1">
        <v>45211</v>
      </c>
      <c r="H291" s="7">
        <v>41</v>
      </c>
      <c r="I291" s="7">
        <v>224.14</v>
      </c>
      <c r="J291" s="7">
        <v>130.19999999999999</v>
      </c>
      <c r="K291" s="18">
        <f>$H291*$I291</f>
        <v>9189.74</v>
      </c>
      <c r="L291" s="1">
        <f t="shared" si="4"/>
        <v>3851.54</v>
      </c>
    </row>
    <row r="292" spans="1:12" x14ac:dyDescent="0.25">
      <c r="A292" s="7" t="s">
        <v>314</v>
      </c>
      <c r="B292" s="7" t="s">
        <v>11</v>
      </c>
      <c r="C292" s="7" t="s">
        <v>50</v>
      </c>
      <c r="D292" s="7" t="s">
        <v>19</v>
      </c>
      <c r="E292" s="7" t="s">
        <v>14</v>
      </c>
      <c r="F292" s="7" t="s">
        <v>28</v>
      </c>
      <c r="G292" s="1">
        <v>45212</v>
      </c>
      <c r="H292" s="7">
        <v>20</v>
      </c>
      <c r="I292" s="7">
        <v>225.67</v>
      </c>
      <c r="J292" s="7">
        <v>255.32</v>
      </c>
      <c r="K292" s="18">
        <f>$H292*$I292</f>
        <v>4513.3999999999996</v>
      </c>
      <c r="L292" s="1">
        <f t="shared" si="4"/>
        <v>-593.00000000000011</v>
      </c>
    </row>
    <row r="293" spans="1:12" x14ac:dyDescent="0.25">
      <c r="A293" s="7" t="s">
        <v>315</v>
      </c>
      <c r="B293" s="7" t="s">
        <v>22</v>
      </c>
      <c r="C293" s="7" t="s">
        <v>31</v>
      </c>
      <c r="D293" s="7" t="s">
        <v>27</v>
      </c>
      <c r="E293" s="7" t="s">
        <v>24</v>
      </c>
      <c r="F293" s="7" t="s">
        <v>20</v>
      </c>
      <c r="G293" s="1">
        <v>45213</v>
      </c>
      <c r="H293" s="7">
        <v>310</v>
      </c>
      <c r="I293" s="7">
        <v>363.64</v>
      </c>
      <c r="J293" s="7">
        <v>61.3</v>
      </c>
      <c r="K293" s="18">
        <f>$H293*$I293</f>
        <v>112728.4</v>
      </c>
      <c r="L293" s="1">
        <f t="shared" si="4"/>
        <v>93725.4</v>
      </c>
    </row>
    <row r="294" spans="1:12" x14ac:dyDescent="0.25">
      <c r="A294" s="7" t="s">
        <v>316</v>
      </c>
      <c r="B294" s="7" t="s">
        <v>22</v>
      </c>
      <c r="C294" s="7" t="s">
        <v>31</v>
      </c>
      <c r="D294" s="7" t="s">
        <v>19</v>
      </c>
      <c r="E294" s="7" t="s">
        <v>24</v>
      </c>
      <c r="F294" s="7" t="s">
        <v>20</v>
      </c>
      <c r="G294" s="1">
        <v>45214</v>
      </c>
      <c r="H294" s="7">
        <v>226</v>
      </c>
      <c r="I294" s="7">
        <v>249.64</v>
      </c>
      <c r="J294" s="7">
        <v>278.77999999999997</v>
      </c>
      <c r="K294" s="18">
        <f>$H294*$I294</f>
        <v>56418.64</v>
      </c>
      <c r="L294" s="1">
        <f t="shared" si="4"/>
        <v>-6585.6399999999967</v>
      </c>
    </row>
    <row r="295" spans="1:12" x14ac:dyDescent="0.25">
      <c r="A295" s="7" t="s">
        <v>317</v>
      </c>
      <c r="B295" s="7" t="s">
        <v>22</v>
      </c>
      <c r="C295" s="7" t="s">
        <v>18</v>
      </c>
      <c r="D295" s="7" t="s">
        <v>19</v>
      </c>
      <c r="E295" s="7" t="s">
        <v>24</v>
      </c>
      <c r="F295" s="7" t="s">
        <v>28</v>
      </c>
      <c r="G295" s="1">
        <v>45215</v>
      </c>
      <c r="H295" s="7">
        <v>255.9</v>
      </c>
      <c r="I295" s="7">
        <v>173.84</v>
      </c>
      <c r="J295" s="7">
        <v>298.88</v>
      </c>
      <c r="K295" s="18">
        <f>$H295*$I295</f>
        <v>44485.656000000003</v>
      </c>
      <c r="L295" s="1">
        <f t="shared" si="4"/>
        <v>-31997.735999999997</v>
      </c>
    </row>
    <row r="296" spans="1:12" x14ac:dyDescent="0.25">
      <c r="A296" s="7" t="s">
        <v>318</v>
      </c>
      <c r="B296" s="7" t="s">
        <v>17</v>
      </c>
      <c r="C296" s="7" t="s">
        <v>12</v>
      </c>
      <c r="D296" s="7" t="s">
        <v>23</v>
      </c>
      <c r="E296" s="7" t="s">
        <v>14</v>
      </c>
      <c r="F296" s="7" t="s">
        <v>20</v>
      </c>
      <c r="G296" s="1">
        <v>45216</v>
      </c>
      <c r="H296" s="7">
        <v>111</v>
      </c>
      <c r="I296" s="7">
        <v>410.26</v>
      </c>
      <c r="J296" s="7">
        <v>392.82</v>
      </c>
      <c r="K296" s="18">
        <f>$H296*$I296</f>
        <v>45538.86</v>
      </c>
      <c r="L296" s="1">
        <f t="shared" si="4"/>
        <v>1935.8399999999997</v>
      </c>
    </row>
    <row r="297" spans="1:12" x14ac:dyDescent="0.25">
      <c r="A297" s="7" t="s">
        <v>319</v>
      </c>
      <c r="B297" s="7" t="s">
        <v>22</v>
      </c>
      <c r="C297" s="7" t="s">
        <v>12</v>
      </c>
      <c r="D297" s="7" t="s">
        <v>19</v>
      </c>
      <c r="E297" s="7" t="s">
        <v>24</v>
      </c>
      <c r="F297" s="7" t="s">
        <v>28</v>
      </c>
      <c r="G297" s="1">
        <v>45217</v>
      </c>
      <c r="H297" s="7">
        <v>434</v>
      </c>
      <c r="I297" s="7">
        <v>303.58999999999997</v>
      </c>
      <c r="J297" s="7">
        <v>85.52</v>
      </c>
      <c r="K297" s="18">
        <f>$H297*$I297</f>
        <v>131758.06</v>
      </c>
      <c r="L297" s="1">
        <f t="shared" si="4"/>
        <v>94642.37999999999</v>
      </c>
    </row>
    <row r="298" spans="1:12" x14ac:dyDescent="0.25">
      <c r="A298" s="7" t="s">
        <v>320</v>
      </c>
      <c r="B298" s="7" t="s">
        <v>11</v>
      </c>
      <c r="C298" s="7" t="s">
        <v>50</v>
      </c>
      <c r="D298" s="7" t="s">
        <v>42</v>
      </c>
      <c r="E298" s="7" t="s">
        <v>24</v>
      </c>
      <c r="F298" s="7" t="s">
        <v>15</v>
      </c>
      <c r="G298" s="1">
        <v>45218</v>
      </c>
      <c r="H298" s="7">
        <v>401</v>
      </c>
      <c r="I298" s="7">
        <v>171.93</v>
      </c>
      <c r="J298" s="7">
        <v>330.4</v>
      </c>
      <c r="K298" s="18">
        <f>$H298*$I298</f>
        <v>68943.930000000008</v>
      </c>
      <c r="L298" s="1">
        <f t="shared" si="4"/>
        <v>-63546.469999999987</v>
      </c>
    </row>
    <row r="299" spans="1:12" x14ac:dyDescent="0.25">
      <c r="A299" s="7" t="s">
        <v>321</v>
      </c>
      <c r="B299" s="7" t="s">
        <v>22</v>
      </c>
      <c r="C299" s="7" t="s">
        <v>18</v>
      </c>
      <c r="D299" s="7" t="s">
        <v>23</v>
      </c>
      <c r="E299" s="7" t="s">
        <v>24</v>
      </c>
      <c r="F299" s="7" t="s">
        <v>28</v>
      </c>
      <c r="G299" s="1">
        <v>45219</v>
      </c>
      <c r="H299" s="7">
        <v>276</v>
      </c>
      <c r="I299" s="7">
        <v>453.23</v>
      </c>
      <c r="J299" s="7">
        <v>209.08</v>
      </c>
      <c r="K299" s="18">
        <f>$H299*$I299</f>
        <v>125091.48000000001</v>
      </c>
      <c r="L299" s="1">
        <f t="shared" si="4"/>
        <v>67385.400000000009</v>
      </c>
    </row>
    <row r="300" spans="1:12" x14ac:dyDescent="0.25">
      <c r="A300" s="7" t="s">
        <v>322</v>
      </c>
      <c r="B300" s="7" t="s">
        <v>48</v>
      </c>
      <c r="C300" s="7" t="s">
        <v>31</v>
      </c>
      <c r="D300" s="7" t="s">
        <v>42</v>
      </c>
      <c r="E300" s="7" t="s">
        <v>14</v>
      </c>
      <c r="F300" s="7" t="s">
        <v>15</v>
      </c>
      <c r="G300" s="1">
        <v>45220</v>
      </c>
      <c r="H300" s="7">
        <v>255.9</v>
      </c>
      <c r="I300" s="7">
        <v>387.45</v>
      </c>
      <c r="J300" s="7">
        <v>150.63999999999999</v>
      </c>
      <c r="K300" s="18">
        <f>$H300*$I300</f>
        <v>99148.455000000002</v>
      </c>
      <c r="L300" s="1">
        <f t="shared" si="4"/>
        <v>60599.679000000004</v>
      </c>
    </row>
    <row r="301" spans="1:12" x14ac:dyDescent="0.25">
      <c r="A301" s="7" t="s">
        <v>323</v>
      </c>
      <c r="B301" s="7" t="s">
        <v>48</v>
      </c>
      <c r="C301" s="7" t="s">
        <v>12</v>
      </c>
      <c r="D301" s="7" t="s">
        <v>27</v>
      </c>
      <c r="E301" s="7" t="s">
        <v>14</v>
      </c>
      <c r="F301" s="7" t="s">
        <v>20</v>
      </c>
      <c r="G301" s="1">
        <v>45221</v>
      </c>
      <c r="H301" s="7">
        <v>188</v>
      </c>
      <c r="I301" s="7">
        <v>136.12</v>
      </c>
      <c r="J301" s="7">
        <v>50.71</v>
      </c>
      <c r="K301" s="18">
        <f>$H301*$I301</f>
        <v>25590.560000000001</v>
      </c>
      <c r="L301" s="1">
        <f t="shared" si="4"/>
        <v>16057.08</v>
      </c>
    </row>
    <row r="302" spans="1:12" x14ac:dyDescent="0.25">
      <c r="A302" s="7" t="s">
        <v>324</v>
      </c>
      <c r="B302" s="7" t="s">
        <v>17</v>
      </c>
      <c r="C302" s="7" t="s">
        <v>18</v>
      </c>
      <c r="D302" s="7" t="s">
        <v>23</v>
      </c>
      <c r="E302" s="7" t="s">
        <v>14</v>
      </c>
      <c r="F302" s="7" t="s">
        <v>20</v>
      </c>
      <c r="G302" s="1">
        <v>45222</v>
      </c>
      <c r="H302" s="7">
        <v>97</v>
      </c>
      <c r="I302" s="7">
        <v>324.42</v>
      </c>
      <c r="J302" s="7">
        <v>294.73</v>
      </c>
      <c r="K302" s="18">
        <f>$H302*$I302</f>
        <v>31468.74</v>
      </c>
      <c r="L302" s="1">
        <f t="shared" si="4"/>
        <v>2879.93</v>
      </c>
    </row>
    <row r="303" spans="1:12" x14ac:dyDescent="0.25">
      <c r="A303" s="7" t="s">
        <v>325</v>
      </c>
      <c r="B303" s="7" t="s">
        <v>48</v>
      </c>
      <c r="C303" s="7" t="s">
        <v>12</v>
      </c>
      <c r="D303" s="7" t="s">
        <v>27</v>
      </c>
      <c r="E303" s="7" t="s">
        <v>24</v>
      </c>
      <c r="F303" s="7" t="s">
        <v>15</v>
      </c>
      <c r="G303" s="1">
        <v>45223</v>
      </c>
      <c r="H303" s="7">
        <v>50</v>
      </c>
      <c r="I303" s="7">
        <v>299.89999999999998</v>
      </c>
      <c r="J303" s="7">
        <v>95.87</v>
      </c>
      <c r="K303" s="18">
        <f>$H303*$I303</f>
        <v>14994.999999999998</v>
      </c>
      <c r="L303" s="1">
        <f t="shared" si="4"/>
        <v>10201.499999999998</v>
      </c>
    </row>
    <row r="304" spans="1:12" x14ac:dyDescent="0.25">
      <c r="A304" s="7" t="s">
        <v>326</v>
      </c>
      <c r="B304" s="7" t="s">
        <v>11</v>
      </c>
      <c r="C304" s="7" t="s">
        <v>12</v>
      </c>
      <c r="D304" s="7" t="s">
        <v>23</v>
      </c>
      <c r="E304" s="7" t="s">
        <v>24</v>
      </c>
      <c r="F304" s="7" t="s">
        <v>20</v>
      </c>
      <c r="G304" s="1">
        <v>45224</v>
      </c>
      <c r="H304" s="7">
        <v>410</v>
      </c>
      <c r="I304" s="7">
        <v>203.59</v>
      </c>
      <c r="J304" s="7">
        <v>149.83000000000001</v>
      </c>
      <c r="K304" s="18">
        <f>$H304*$I304</f>
        <v>83471.899999999994</v>
      </c>
      <c r="L304" s="1">
        <f t="shared" si="4"/>
        <v>22041.599999999995</v>
      </c>
    </row>
    <row r="305" spans="1:12" x14ac:dyDescent="0.25">
      <c r="A305" s="7" t="s">
        <v>327</v>
      </c>
      <c r="B305" s="7" t="s">
        <v>22</v>
      </c>
      <c r="C305" s="7" t="s">
        <v>31</v>
      </c>
      <c r="D305" s="7" t="s">
        <v>13</v>
      </c>
      <c r="E305" s="7" t="s">
        <v>24</v>
      </c>
      <c r="F305" s="7" t="s">
        <v>28</v>
      </c>
      <c r="G305" s="1">
        <v>45225</v>
      </c>
      <c r="H305" s="7">
        <v>85</v>
      </c>
      <c r="I305" s="7">
        <v>186.64</v>
      </c>
      <c r="J305" s="7">
        <v>26.89</v>
      </c>
      <c r="K305" s="18">
        <f>$H305*$I305</f>
        <v>15864.4</v>
      </c>
      <c r="L305" s="1">
        <f t="shared" si="4"/>
        <v>13578.75</v>
      </c>
    </row>
    <row r="306" spans="1:12" x14ac:dyDescent="0.25">
      <c r="A306" s="7" t="s">
        <v>328</v>
      </c>
      <c r="B306" s="7" t="s">
        <v>17</v>
      </c>
      <c r="C306" s="7" t="s">
        <v>26</v>
      </c>
      <c r="D306" s="7" t="s">
        <v>19</v>
      </c>
      <c r="E306" s="7" t="s">
        <v>14</v>
      </c>
      <c r="F306" s="7" t="s">
        <v>15</v>
      </c>
      <c r="G306" s="1">
        <v>45226</v>
      </c>
      <c r="H306" s="7">
        <v>386</v>
      </c>
      <c r="I306" s="7">
        <v>175.06</v>
      </c>
      <c r="J306" s="7">
        <v>320.94</v>
      </c>
      <c r="K306" s="18">
        <f>$H306*$I306</f>
        <v>67573.16</v>
      </c>
      <c r="L306" s="1">
        <f t="shared" si="4"/>
        <v>-56309.68</v>
      </c>
    </row>
    <row r="307" spans="1:12" x14ac:dyDescent="0.25">
      <c r="A307" s="7" t="s">
        <v>329</v>
      </c>
      <c r="B307" s="7" t="s">
        <v>22</v>
      </c>
      <c r="C307" s="7" t="s">
        <v>50</v>
      </c>
      <c r="D307" s="7" t="s">
        <v>13</v>
      </c>
      <c r="E307" s="7" t="s">
        <v>14</v>
      </c>
      <c r="F307" s="7" t="s">
        <v>20</v>
      </c>
      <c r="G307" s="1">
        <v>45227</v>
      </c>
      <c r="H307" s="7">
        <v>55</v>
      </c>
      <c r="I307" s="7">
        <v>310.49</v>
      </c>
      <c r="J307" s="7">
        <v>307.10000000000002</v>
      </c>
      <c r="K307" s="18">
        <f>$H307*$I307</f>
        <v>17076.95</v>
      </c>
      <c r="L307" s="1">
        <f t="shared" si="4"/>
        <v>186.44999999999925</v>
      </c>
    </row>
    <row r="308" spans="1:12" x14ac:dyDescent="0.25">
      <c r="A308" s="7" t="s">
        <v>330</v>
      </c>
      <c r="B308" s="7" t="s">
        <v>22</v>
      </c>
      <c r="C308" s="7" t="s">
        <v>50</v>
      </c>
      <c r="D308" s="7" t="s">
        <v>27</v>
      </c>
      <c r="E308" s="7" t="s">
        <v>24</v>
      </c>
      <c r="F308" s="7" t="s">
        <v>15</v>
      </c>
      <c r="G308" s="1">
        <v>45228</v>
      </c>
      <c r="H308" s="7">
        <v>169</v>
      </c>
      <c r="I308" s="7">
        <v>223.99</v>
      </c>
      <c r="J308" s="7">
        <v>293.98</v>
      </c>
      <c r="K308" s="18">
        <f>$H308*$I308</f>
        <v>37854.310000000005</v>
      </c>
      <c r="L308" s="1">
        <f t="shared" si="4"/>
        <v>-11828.310000000001</v>
      </c>
    </row>
    <row r="309" spans="1:12" x14ac:dyDescent="0.25">
      <c r="A309" s="7" t="s">
        <v>331</v>
      </c>
      <c r="B309" s="7" t="s">
        <v>11</v>
      </c>
      <c r="C309" s="7" t="s">
        <v>31</v>
      </c>
      <c r="D309" s="7" t="s">
        <v>19</v>
      </c>
      <c r="E309" s="7" t="s">
        <v>14</v>
      </c>
      <c r="F309" s="7" t="s">
        <v>28</v>
      </c>
      <c r="G309" s="1">
        <v>45229</v>
      </c>
      <c r="H309" s="7">
        <v>472</v>
      </c>
      <c r="I309" s="7">
        <v>416.77</v>
      </c>
      <c r="J309" s="7">
        <v>121.18</v>
      </c>
      <c r="K309" s="18">
        <f>$H309*$I309</f>
        <v>196715.44</v>
      </c>
      <c r="L309" s="1">
        <f t="shared" si="4"/>
        <v>139518.47999999998</v>
      </c>
    </row>
    <row r="310" spans="1:12" x14ac:dyDescent="0.25">
      <c r="A310" s="7" t="s">
        <v>332</v>
      </c>
      <c r="B310" s="7" t="s">
        <v>48</v>
      </c>
      <c r="C310" s="7" t="s">
        <v>12</v>
      </c>
      <c r="D310" s="7" t="s">
        <v>23</v>
      </c>
      <c r="E310" s="7" t="s">
        <v>14</v>
      </c>
      <c r="F310" s="7" t="s">
        <v>28</v>
      </c>
      <c r="G310" s="1">
        <v>45230</v>
      </c>
      <c r="H310" s="7">
        <v>89</v>
      </c>
      <c r="I310" s="7">
        <v>336.45</v>
      </c>
      <c r="J310" s="7">
        <v>71.05</v>
      </c>
      <c r="K310" s="18">
        <f>$H310*$I310</f>
        <v>29944.05</v>
      </c>
      <c r="L310" s="1">
        <f t="shared" si="4"/>
        <v>23620.6</v>
      </c>
    </row>
    <row r="311" spans="1:12" x14ac:dyDescent="0.25">
      <c r="A311" s="7" t="s">
        <v>333</v>
      </c>
      <c r="B311" s="7" t="s">
        <v>48</v>
      </c>
      <c r="C311" s="7" t="s">
        <v>18</v>
      </c>
      <c r="D311" s="7" t="s">
        <v>19</v>
      </c>
      <c r="E311" s="7" t="s">
        <v>14</v>
      </c>
      <c r="F311" s="7" t="s">
        <v>20</v>
      </c>
      <c r="G311" s="1">
        <v>45231</v>
      </c>
      <c r="H311" s="7">
        <v>319</v>
      </c>
      <c r="I311" s="7">
        <v>39.619999999999997</v>
      </c>
      <c r="J311" s="7">
        <v>255.75</v>
      </c>
      <c r="K311" s="18">
        <f>$H311*$I311</f>
        <v>12638.779999999999</v>
      </c>
      <c r="L311" s="1">
        <f t="shared" si="4"/>
        <v>-68945.47</v>
      </c>
    </row>
    <row r="312" spans="1:12" x14ac:dyDescent="0.25">
      <c r="A312" s="7" t="s">
        <v>334</v>
      </c>
      <c r="B312" s="7" t="s">
        <v>22</v>
      </c>
      <c r="C312" s="7" t="s">
        <v>12</v>
      </c>
      <c r="D312" s="7" t="s">
        <v>19</v>
      </c>
      <c r="E312" s="7" t="s">
        <v>14</v>
      </c>
      <c r="F312" s="7" t="s">
        <v>28</v>
      </c>
      <c r="G312" s="1">
        <v>45232</v>
      </c>
      <c r="H312" s="7">
        <v>95</v>
      </c>
      <c r="I312" s="7">
        <v>321.88</v>
      </c>
      <c r="J312" s="7">
        <v>199.47</v>
      </c>
      <c r="K312" s="18">
        <f>$H312*$I312</f>
        <v>30578.6</v>
      </c>
      <c r="L312" s="1">
        <f t="shared" si="4"/>
        <v>11628.949999999999</v>
      </c>
    </row>
    <row r="313" spans="1:12" x14ac:dyDescent="0.25">
      <c r="A313" s="7" t="s">
        <v>335</v>
      </c>
      <c r="B313" s="7" t="s">
        <v>17</v>
      </c>
      <c r="C313" s="7" t="s">
        <v>31</v>
      </c>
      <c r="D313" s="7" t="s">
        <v>19</v>
      </c>
      <c r="E313" s="7" t="s">
        <v>24</v>
      </c>
      <c r="F313" s="7" t="s">
        <v>15</v>
      </c>
      <c r="G313" s="1">
        <v>45233</v>
      </c>
      <c r="H313" s="7">
        <v>101</v>
      </c>
      <c r="I313" s="7">
        <v>139.22</v>
      </c>
      <c r="J313" s="7">
        <v>72.94</v>
      </c>
      <c r="K313" s="18">
        <f>$H313*$I313</f>
        <v>14061.22</v>
      </c>
      <c r="L313" s="1">
        <f t="shared" si="4"/>
        <v>6694.28</v>
      </c>
    </row>
    <row r="314" spans="1:12" x14ac:dyDescent="0.25">
      <c r="A314" s="7" t="s">
        <v>336</v>
      </c>
      <c r="B314" s="7" t="s">
        <v>48</v>
      </c>
      <c r="C314" s="7" t="s">
        <v>50</v>
      </c>
      <c r="D314" s="7" t="s">
        <v>19</v>
      </c>
      <c r="E314" s="7" t="s">
        <v>14</v>
      </c>
      <c r="F314" s="7" t="s">
        <v>28</v>
      </c>
      <c r="G314" s="1">
        <v>45234</v>
      </c>
      <c r="H314" s="7">
        <v>157</v>
      </c>
      <c r="I314" s="7">
        <v>249.64</v>
      </c>
      <c r="J314" s="7">
        <v>274.99</v>
      </c>
      <c r="K314" s="18">
        <f>$H314*$I314</f>
        <v>39193.479999999996</v>
      </c>
      <c r="L314" s="1">
        <f t="shared" si="4"/>
        <v>-3979.9500000000035</v>
      </c>
    </row>
    <row r="315" spans="1:12" x14ac:dyDescent="0.25">
      <c r="A315" s="7" t="s">
        <v>337</v>
      </c>
      <c r="B315" s="7" t="s">
        <v>17</v>
      </c>
      <c r="C315" s="7" t="s">
        <v>12</v>
      </c>
      <c r="D315" s="7" t="s">
        <v>19</v>
      </c>
      <c r="E315" s="7" t="s">
        <v>14</v>
      </c>
      <c r="F315" s="7" t="s">
        <v>15</v>
      </c>
      <c r="G315" s="1">
        <v>45235</v>
      </c>
      <c r="H315" s="7">
        <v>170</v>
      </c>
      <c r="I315" s="7">
        <v>341.67</v>
      </c>
      <c r="J315" s="7">
        <v>396.47</v>
      </c>
      <c r="K315" s="18">
        <f>$H315*$I315</f>
        <v>58083.9</v>
      </c>
      <c r="L315" s="1">
        <f t="shared" si="4"/>
        <v>-9316.0000000000018</v>
      </c>
    </row>
    <row r="316" spans="1:12" x14ac:dyDescent="0.25">
      <c r="A316" s="7" t="s">
        <v>338</v>
      </c>
      <c r="B316" s="7" t="s">
        <v>48</v>
      </c>
      <c r="C316" s="7" t="s">
        <v>50</v>
      </c>
      <c r="D316" s="7" t="s">
        <v>42</v>
      </c>
      <c r="E316" s="7" t="s">
        <v>14</v>
      </c>
      <c r="F316" s="7" t="s">
        <v>15</v>
      </c>
      <c r="G316" s="1">
        <v>45236</v>
      </c>
      <c r="H316" s="7">
        <v>211</v>
      </c>
      <c r="I316" s="7">
        <v>119.26</v>
      </c>
      <c r="J316" s="7">
        <v>299.39</v>
      </c>
      <c r="K316" s="18">
        <f>$H316*$I316</f>
        <v>25163.86</v>
      </c>
      <c r="L316" s="1">
        <f t="shared" si="4"/>
        <v>-38007.43</v>
      </c>
    </row>
    <row r="317" spans="1:12" x14ac:dyDescent="0.25">
      <c r="A317" s="7" t="s">
        <v>339</v>
      </c>
      <c r="B317" s="7" t="s">
        <v>17</v>
      </c>
      <c r="C317" s="7" t="s">
        <v>18</v>
      </c>
      <c r="D317" s="7" t="s">
        <v>27</v>
      </c>
      <c r="E317" s="7" t="s">
        <v>14</v>
      </c>
      <c r="F317" s="7" t="s">
        <v>28</v>
      </c>
      <c r="G317" s="1">
        <v>45237</v>
      </c>
      <c r="H317" s="7">
        <v>433</v>
      </c>
      <c r="I317" s="7">
        <v>231.15</v>
      </c>
      <c r="J317" s="7">
        <v>296.51</v>
      </c>
      <c r="K317" s="18">
        <f>$H317*$I317</f>
        <v>100087.95</v>
      </c>
      <c r="L317" s="1">
        <f t="shared" si="4"/>
        <v>-28300.879999999994</v>
      </c>
    </row>
    <row r="318" spans="1:12" x14ac:dyDescent="0.25">
      <c r="A318" s="7" t="s">
        <v>340</v>
      </c>
      <c r="B318" s="7" t="s">
        <v>11</v>
      </c>
      <c r="C318" s="7" t="s">
        <v>50</v>
      </c>
      <c r="D318" s="7" t="s">
        <v>13</v>
      </c>
      <c r="E318" s="7" t="s">
        <v>24</v>
      </c>
      <c r="F318" s="7" t="s">
        <v>20</v>
      </c>
      <c r="G318" s="1">
        <v>45238</v>
      </c>
      <c r="H318" s="7">
        <v>425</v>
      </c>
      <c r="I318" s="7">
        <v>99.21</v>
      </c>
      <c r="J318" s="7">
        <v>380.22</v>
      </c>
      <c r="K318" s="18">
        <f>$H318*$I318</f>
        <v>42164.25</v>
      </c>
      <c r="L318" s="1">
        <f t="shared" si="4"/>
        <v>-119429.25000000001</v>
      </c>
    </row>
    <row r="319" spans="1:12" x14ac:dyDescent="0.25">
      <c r="A319" s="7" t="s">
        <v>341</v>
      </c>
      <c r="B319" s="7" t="s">
        <v>17</v>
      </c>
      <c r="C319" s="7" t="s">
        <v>50</v>
      </c>
      <c r="D319" s="7" t="s">
        <v>23</v>
      </c>
      <c r="E319" s="7" t="s">
        <v>24</v>
      </c>
      <c r="F319" s="7" t="s">
        <v>28</v>
      </c>
      <c r="G319" s="1">
        <v>45239</v>
      </c>
      <c r="H319" s="7">
        <v>251</v>
      </c>
      <c r="I319" s="7">
        <v>30.91</v>
      </c>
      <c r="J319" s="7">
        <v>82.77</v>
      </c>
      <c r="K319" s="18">
        <f>$H319*$I319</f>
        <v>7758.41</v>
      </c>
      <c r="L319" s="1">
        <f t="shared" si="4"/>
        <v>-13016.86</v>
      </c>
    </row>
    <row r="320" spans="1:12" x14ac:dyDescent="0.25">
      <c r="A320" s="7" t="s">
        <v>342</v>
      </c>
      <c r="B320" s="7" t="s">
        <v>11</v>
      </c>
      <c r="C320" s="7" t="s">
        <v>26</v>
      </c>
      <c r="D320" s="7" t="s">
        <v>19</v>
      </c>
      <c r="E320" s="7" t="s">
        <v>14</v>
      </c>
      <c r="F320" s="7" t="s">
        <v>15</v>
      </c>
      <c r="G320" s="1">
        <v>45240</v>
      </c>
      <c r="H320" s="7">
        <v>255.9</v>
      </c>
      <c r="I320" s="7">
        <v>192.35</v>
      </c>
      <c r="J320" s="7">
        <v>227.09</v>
      </c>
      <c r="K320" s="18">
        <f>$H320*$I320</f>
        <v>49222.364999999998</v>
      </c>
      <c r="L320" s="1">
        <f t="shared" si="4"/>
        <v>-8889.9660000000022</v>
      </c>
    </row>
    <row r="321" spans="1:12" x14ac:dyDescent="0.25">
      <c r="A321" s="7" t="s">
        <v>343</v>
      </c>
      <c r="B321" s="7" t="s">
        <v>11</v>
      </c>
      <c r="C321" s="7" t="s">
        <v>26</v>
      </c>
      <c r="D321" s="7" t="s">
        <v>13</v>
      </c>
      <c r="E321" s="7" t="s">
        <v>14</v>
      </c>
      <c r="F321" s="7" t="s">
        <v>15</v>
      </c>
      <c r="G321" s="1">
        <v>45241</v>
      </c>
      <c r="H321" s="7">
        <v>11</v>
      </c>
      <c r="I321" s="7">
        <v>184.66</v>
      </c>
      <c r="J321" s="7">
        <v>391.9</v>
      </c>
      <c r="K321" s="18">
        <f>$H321*$I321</f>
        <v>2031.26</v>
      </c>
      <c r="L321" s="1">
        <f t="shared" si="4"/>
        <v>-2279.64</v>
      </c>
    </row>
    <row r="322" spans="1:12" x14ac:dyDescent="0.25">
      <c r="A322" s="7" t="s">
        <v>344</v>
      </c>
      <c r="B322" s="7" t="s">
        <v>17</v>
      </c>
      <c r="C322" s="7" t="s">
        <v>26</v>
      </c>
      <c r="D322" s="7" t="s">
        <v>23</v>
      </c>
      <c r="E322" s="7" t="s">
        <v>14</v>
      </c>
      <c r="F322" s="7" t="s">
        <v>28</v>
      </c>
      <c r="G322" s="1">
        <v>45242</v>
      </c>
      <c r="H322" s="7">
        <v>234</v>
      </c>
      <c r="I322" s="7">
        <v>497.76</v>
      </c>
      <c r="J322" s="7">
        <v>67.790000000000006</v>
      </c>
      <c r="K322" s="18">
        <f>$H322*$I322</f>
        <v>116475.84</v>
      </c>
      <c r="L322" s="1">
        <f t="shared" si="4"/>
        <v>100612.98</v>
      </c>
    </row>
    <row r="323" spans="1:12" x14ac:dyDescent="0.25">
      <c r="A323" s="7" t="s">
        <v>345</v>
      </c>
      <c r="B323" s="7" t="s">
        <v>11</v>
      </c>
      <c r="C323" s="7" t="s">
        <v>50</v>
      </c>
      <c r="D323" s="7" t="s">
        <v>23</v>
      </c>
      <c r="E323" s="7" t="s">
        <v>14</v>
      </c>
      <c r="F323" s="7" t="s">
        <v>20</v>
      </c>
      <c r="G323" s="1">
        <v>45243</v>
      </c>
      <c r="H323" s="7">
        <v>255.9</v>
      </c>
      <c r="I323" s="7">
        <v>225.94</v>
      </c>
      <c r="J323" s="7">
        <v>280.7</v>
      </c>
      <c r="K323" s="18">
        <f>$H323*$I323</f>
        <v>57818.046000000002</v>
      </c>
      <c r="L323" s="1">
        <f t="shared" si="4"/>
        <v>-14013.083999999997</v>
      </c>
    </row>
    <row r="324" spans="1:12" x14ac:dyDescent="0.25">
      <c r="A324" s="7" t="s">
        <v>346</v>
      </c>
      <c r="B324" s="7" t="s">
        <v>22</v>
      </c>
      <c r="C324" s="7" t="s">
        <v>31</v>
      </c>
      <c r="D324" s="7" t="s">
        <v>42</v>
      </c>
      <c r="E324" s="7" t="s">
        <v>14</v>
      </c>
      <c r="F324" s="7" t="s">
        <v>20</v>
      </c>
      <c r="G324" s="1">
        <v>45244</v>
      </c>
      <c r="H324" s="7">
        <v>242</v>
      </c>
      <c r="I324" s="7">
        <v>170.12</v>
      </c>
      <c r="J324" s="7">
        <v>235.15</v>
      </c>
      <c r="K324" s="18">
        <f>$H324*$I324</f>
        <v>41169.040000000001</v>
      </c>
      <c r="L324" s="1">
        <f t="shared" si="4"/>
        <v>-15737.26</v>
      </c>
    </row>
    <row r="325" spans="1:12" x14ac:dyDescent="0.25">
      <c r="A325" s="7" t="s">
        <v>347</v>
      </c>
      <c r="B325" s="7" t="s">
        <v>11</v>
      </c>
      <c r="C325" s="7" t="s">
        <v>50</v>
      </c>
      <c r="D325" s="7" t="s">
        <v>27</v>
      </c>
      <c r="E325" s="7" t="s">
        <v>14</v>
      </c>
      <c r="F325" s="7" t="s">
        <v>15</v>
      </c>
      <c r="G325" s="1">
        <v>45245</v>
      </c>
      <c r="H325" s="7">
        <v>470</v>
      </c>
      <c r="I325" s="7">
        <v>292.33999999999997</v>
      </c>
      <c r="J325" s="7">
        <v>235.42</v>
      </c>
      <c r="K325" s="18">
        <f>$H325*$I325</f>
        <v>137399.79999999999</v>
      </c>
      <c r="L325" s="1">
        <f t="shared" si="4"/>
        <v>26752.399999999994</v>
      </c>
    </row>
    <row r="326" spans="1:12" x14ac:dyDescent="0.25">
      <c r="A326" s="7" t="s">
        <v>348</v>
      </c>
      <c r="B326" s="7" t="s">
        <v>48</v>
      </c>
      <c r="C326" s="7" t="s">
        <v>31</v>
      </c>
      <c r="D326" s="7" t="s">
        <v>27</v>
      </c>
      <c r="E326" s="7" t="s">
        <v>24</v>
      </c>
      <c r="F326" s="7" t="s">
        <v>15</v>
      </c>
      <c r="G326" s="1">
        <v>45246</v>
      </c>
      <c r="H326" s="7">
        <v>423</v>
      </c>
      <c r="I326" s="7">
        <v>48.94</v>
      </c>
      <c r="J326" s="7">
        <v>279.67</v>
      </c>
      <c r="K326" s="18">
        <f>$H326*$I326</f>
        <v>20701.62</v>
      </c>
      <c r="L326" s="1">
        <f t="shared" si="4"/>
        <v>-97598.790000000008</v>
      </c>
    </row>
    <row r="327" spans="1:12" x14ac:dyDescent="0.25">
      <c r="A327" s="7" t="s">
        <v>349</v>
      </c>
      <c r="B327" s="7" t="s">
        <v>17</v>
      </c>
      <c r="C327" s="7" t="s">
        <v>31</v>
      </c>
      <c r="D327" s="7" t="s">
        <v>13</v>
      </c>
      <c r="E327" s="7" t="s">
        <v>14</v>
      </c>
      <c r="F327" s="7" t="s">
        <v>20</v>
      </c>
      <c r="G327" s="1">
        <v>45247</v>
      </c>
      <c r="H327" s="7">
        <v>426</v>
      </c>
      <c r="I327" s="7">
        <v>481.02</v>
      </c>
      <c r="J327" s="7">
        <v>371.99</v>
      </c>
      <c r="K327" s="18">
        <f>$H327*$I327</f>
        <v>204914.52</v>
      </c>
      <c r="L327" s="1">
        <f t="shared" si="4"/>
        <v>46446.779999999992</v>
      </c>
    </row>
    <row r="328" spans="1:12" x14ac:dyDescent="0.25">
      <c r="A328" s="7" t="s">
        <v>350</v>
      </c>
      <c r="B328" s="7" t="s">
        <v>22</v>
      </c>
      <c r="C328" s="7" t="s">
        <v>26</v>
      </c>
      <c r="D328" s="7" t="s">
        <v>27</v>
      </c>
      <c r="E328" s="7" t="s">
        <v>24</v>
      </c>
      <c r="F328" s="7" t="s">
        <v>28</v>
      </c>
      <c r="G328" s="1">
        <v>45248</v>
      </c>
      <c r="H328" s="7">
        <v>86</v>
      </c>
      <c r="I328" s="7">
        <v>319.31</v>
      </c>
      <c r="J328" s="7">
        <v>313.47000000000003</v>
      </c>
      <c r="K328" s="18">
        <f>$H328*$I328</f>
        <v>27460.66</v>
      </c>
      <c r="L328" s="1">
        <f t="shared" ref="L328:L356" si="5">($I328-$J328)*$H328</f>
        <v>502.23999999999785</v>
      </c>
    </row>
    <row r="329" spans="1:12" x14ac:dyDescent="0.25">
      <c r="A329" s="7" t="s">
        <v>351</v>
      </c>
      <c r="B329" s="7" t="s">
        <v>17</v>
      </c>
      <c r="C329" s="7" t="s">
        <v>12</v>
      </c>
      <c r="D329" s="7" t="s">
        <v>19</v>
      </c>
      <c r="E329" s="7" t="s">
        <v>24</v>
      </c>
      <c r="F329" s="7" t="s">
        <v>15</v>
      </c>
      <c r="G329" s="1">
        <v>45249</v>
      </c>
      <c r="H329" s="7">
        <v>125</v>
      </c>
      <c r="I329" s="7">
        <v>378.64</v>
      </c>
      <c r="J329" s="7">
        <v>24.34</v>
      </c>
      <c r="K329" s="18">
        <f>$H329*$I329</f>
        <v>47330</v>
      </c>
      <c r="L329" s="1">
        <f t="shared" si="5"/>
        <v>44287.5</v>
      </c>
    </row>
    <row r="330" spans="1:12" x14ac:dyDescent="0.25">
      <c r="A330" s="7" t="s">
        <v>352</v>
      </c>
      <c r="B330" s="7" t="s">
        <v>48</v>
      </c>
      <c r="C330" s="7" t="s">
        <v>18</v>
      </c>
      <c r="D330" s="7" t="s">
        <v>19</v>
      </c>
      <c r="E330" s="7" t="s">
        <v>14</v>
      </c>
      <c r="F330" s="7" t="s">
        <v>15</v>
      </c>
      <c r="G330" s="1">
        <v>45250</v>
      </c>
      <c r="H330" s="7">
        <v>163</v>
      </c>
      <c r="I330" s="7">
        <v>89.39</v>
      </c>
      <c r="J330" s="7">
        <v>341.39</v>
      </c>
      <c r="K330" s="18">
        <f>$H330*$I330</f>
        <v>14570.57</v>
      </c>
      <c r="L330" s="1">
        <f t="shared" si="5"/>
        <v>-41076</v>
      </c>
    </row>
    <row r="331" spans="1:12" x14ac:dyDescent="0.25">
      <c r="A331" s="7" t="s">
        <v>353</v>
      </c>
      <c r="B331" s="7" t="s">
        <v>48</v>
      </c>
      <c r="C331" s="7" t="s">
        <v>26</v>
      </c>
      <c r="D331" s="7" t="s">
        <v>13</v>
      </c>
      <c r="E331" s="7" t="s">
        <v>24</v>
      </c>
      <c r="F331" s="7" t="s">
        <v>20</v>
      </c>
      <c r="G331" s="1">
        <v>45251</v>
      </c>
      <c r="H331" s="7">
        <v>415</v>
      </c>
      <c r="I331" s="7">
        <v>207.69</v>
      </c>
      <c r="J331" s="7">
        <v>91.77</v>
      </c>
      <c r="K331" s="18">
        <f>$H331*$I331</f>
        <v>86191.35</v>
      </c>
      <c r="L331" s="1">
        <f t="shared" si="5"/>
        <v>48106.8</v>
      </c>
    </row>
    <row r="332" spans="1:12" x14ac:dyDescent="0.25">
      <c r="A332" s="7" t="s">
        <v>354</v>
      </c>
      <c r="B332" s="7" t="s">
        <v>48</v>
      </c>
      <c r="C332" s="7" t="s">
        <v>26</v>
      </c>
      <c r="D332" s="7" t="s">
        <v>27</v>
      </c>
      <c r="E332" s="7" t="s">
        <v>24</v>
      </c>
      <c r="F332" s="7" t="s">
        <v>28</v>
      </c>
      <c r="G332" s="1">
        <v>45252</v>
      </c>
      <c r="H332" s="7">
        <v>112</v>
      </c>
      <c r="I332" s="7">
        <v>214.23</v>
      </c>
      <c r="J332" s="7">
        <v>152.01</v>
      </c>
      <c r="K332" s="18">
        <f>$H332*$I332</f>
        <v>23993.759999999998</v>
      </c>
      <c r="L332" s="1">
        <f t="shared" si="5"/>
        <v>6968.6399999999994</v>
      </c>
    </row>
    <row r="333" spans="1:12" x14ac:dyDescent="0.25">
      <c r="A333" s="7" t="s">
        <v>355</v>
      </c>
      <c r="B333" s="7" t="s">
        <v>11</v>
      </c>
      <c r="C333" s="7" t="s">
        <v>12</v>
      </c>
      <c r="D333" s="7" t="s">
        <v>19</v>
      </c>
      <c r="E333" s="7" t="s">
        <v>24</v>
      </c>
      <c r="F333" s="7" t="s">
        <v>20</v>
      </c>
      <c r="G333" s="1">
        <v>45253</v>
      </c>
      <c r="H333" s="7">
        <v>203</v>
      </c>
      <c r="I333" s="7">
        <v>411.79</v>
      </c>
      <c r="J333" s="7">
        <v>185.77</v>
      </c>
      <c r="K333" s="18">
        <f>$H333*$I333</f>
        <v>83593.37000000001</v>
      </c>
      <c r="L333" s="1">
        <f t="shared" si="5"/>
        <v>45882.060000000005</v>
      </c>
    </row>
    <row r="334" spans="1:12" x14ac:dyDescent="0.25">
      <c r="A334" s="7" t="s">
        <v>356</v>
      </c>
      <c r="B334" s="7" t="s">
        <v>11</v>
      </c>
      <c r="C334" s="7" t="s">
        <v>18</v>
      </c>
      <c r="D334" s="7" t="s">
        <v>42</v>
      </c>
      <c r="E334" s="7" t="s">
        <v>24</v>
      </c>
      <c r="F334" s="7" t="s">
        <v>28</v>
      </c>
      <c r="G334" s="1">
        <v>45254</v>
      </c>
      <c r="H334" s="7">
        <v>255.9</v>
      </c>
      <c r="I334" s="7">
        <v>5.61</v>
      </c>
      <c r="J334" s="7">
        <v>193.4</v>
      </c>
      <c r="K334" s="18">
        <f>$H334*$I334</f>
        <v>1435.5990000000002</v>
      </c>
      <c r="L334" s="1">
        <f t="shared" si="5"/>
        <v>-48055.460999999996</v>
      </c>
    </row>
    <row r="335" spans="1:12" x14ac:dyDescent="0.25">
      <c r="A335" s="7" t="s">
        <v>357</v>
      </c>
      <c r="B335" s="7" t="s">
        <v>17</v>
      </c>
      <c r="C335" s="7" t="s">
        <v>50</v>
      </c>
      <c r="D335" s="7" t="s">
        <v>13</v>
      </c>
      <c r="E335" s="7" t="s">
        <v>24</v>
      </c>
      <c r="F335" s="7" t="s">
        <v>28</v>
      </c>
      <c r="G335" s="1">
        <v>45255</v>
      </c>
      <c r="H335" s="7">
        <v>368</v>
      </c>
      <c r="I335" s="7">
        <v>153.91999999999999</v>
      </c>
      <c r="J335" s="7">
        <v>175.2</v>
      </c>
      <c r="K335" s="18">
        <f>$H335*$I335</f>
        <v>56642.559999999998</v>
      </c>
      <c r="L335" s="1">
        <f t="shared" si="5"/>
        <v>-7831.0400000000009</v>
      </c>
    </row>
    <row r="336" spans="1:12" x14ac:dyDescent="0.25">
      <c r="A336" s="7" t="s">
        <v>358</v>
      </c>
      <c r="B336" s="7" t="s">
        <v>17</v>
      </c>
      <c r="C336" s="7" t="s">
        <v>50</v>
      </c>
      <c r="D336" s="7" t="s">
        <v>42</v>
      </c>
      <c r="E336" s="7" t="s">
        <v>24</v>
      </c>
      <c r="F336" s="7" t="s">
        <v>28</v>
      </c>
      <c r="G336" s="1">
        <v>45256</v>
      </c>
      <c r="H336" s="7">
        <v>99</v>
      </c>
      <c r="I336" s="7">
        <v>490.71</v>
      </c>
      <c r="J336" s="7">
        <v>375.07</v>
      </c>
      <c r="K336" s="18">
        <f>$H336*$I336</f>
        <v>48580.29</v>
      </c>
      <c r="L336" s="1">
        <f t="shared" si="5"/>
        <v>11448.359999999999</v>
      </c>
    </row>
    <row r="337" spans="1:12" x14ac:dyDescent="0.25">
      <c r="A337" s="7" t="s">
        <v>359</v>
      </c>
      <c r="B337" s="7" t="s">
        <v>22</v>
      </c>
      <c r="C337" s="7" t="s">
        <v>26</v>
      </c>
      <c r="D337" s="7" t="s">
        <v>42</v>
      </c>
      <c r="E337" s="7" t="s">
        <v>14</v>
      </c>
      <c r="F337" s="7" t="s">
        <v>15</v>
      </c>
      <c r="G337" s="1">
        <v>45257</v>
      </c>
      <c r="H337" s="7">
        <v>183</v>
      </c>
      <c r="I337" s="7">
        <v>240.07</v>
      </c>
      <c r="J337" s="7">
        <v>283</v>
      </c>
      <c r="K337" s="18">
        <f>$H337*$I337</f>
        <v>43932.81</v>
      </c>
      <c r="L337" s="1">
        <f t="shared" si="5"/>
        <v>-7856.1900000000014</v>
      </c>
    </row>
    <row r="338" spans="1:12" x14ac:dyDescent="0.25">
      <c r="A338" s="7" t="s">
        <v>360</v>
      </c>
      <c r="B338" s="7" t="s">
        <v>22</v>
      </c>
      <c r="C338" s="7" t="s">
        <v>18</v>
      </c>
      <c r="D338" s="7" t="s">
        <v>42</v>
      </c>
      <c r="E338" s="7" t="s">
        <v>24</v>
      </c>
      <c r="F338" s="7" t="s">
        <v>20</v>
      </c>
      <c r="G338" s="1">
        <v>45258</v>
      </c>
      <c r="H338" s="7">
        <v>131</v>
      </c>
      <c r="I338" s="7">
        <v>194.35</v>
      </c>
      <c r="J338" s="7">
        <v>253.21</v>
      </c>
      <c r="K338" s="18">
        <f>$H338*$I338</f>
        <v>25459.85</v>
      </c>
      <c r="L338" s="1">
        <f t="shared" si="5"/>
        <v>-7710.6600000000017</v>
      </c>
    </row>
    <row r="339" spans="1:12" x14ac:dyDescent="0.25">
      <c r="A339" s="7" t="s">
        <v>361</v>
      </c>
      <c r="B339" s="7" t="s">
        <v>17</v>
      </c>
      <c r="C339" s="7" t="s">
        <v>26</v>
      </c>
      <c r="D339" s="7" t="s">
        <v>23</v>
      </c>
      <c r="E339" s="7" t="s">
        <v>24</v>
      </c>
      <c r="F339" s="7" t="s">
        <v>20</v>
      </c>
      <c r="G339" s="1">
        <v>45259</v>
      </c>
      <c r="H339" s="7">
        <v>152</v>
      </c>
      <c r="I339" s="7">
        <v>64.319999999999993</v>
      </c>
      <c r="J339" s="7">
        <v>21.84</v>
      </c>
      <c r="K339" s="18">
        <f>$H339*$I339</f>
        <v>9776.64</v>
      </c>
      <c r="L339" s="1">
        <f t="shared" si="5"/>
        <v>6456.9599999999982</v>
      </c>
    </row>
    <row r="340" spans="1:12" x14ac:dyDescent="0.25">
      <c r="A340" s="7" t="s">
        <v>362</v>
      </c>
      <c r="B340" s="7" t="s">
        <v>11</v>
      </c>
      <c r="C340" s="7" t="s">
        <v>31</v>
      </c>
      <c r="D340" s="7" t="s">
        <v>23</v>
      </c>
      <c r="E340" s="7" t="s">
        <v>24</v>
      </c>
      <c r="F340" s="7" t="s">
        <v>28</v>
      </c>
      <c r="G340" s="1">
        <v>45260</v>
      </c>
      <c r="H340" s="7">
        <v>491</v>
      </c>
      <c r="I340" s="7">
        <v>487.21</v>
      </c>
      <c r="J340" s="7">
        <v>361.76</v>
      </c>
      <c r="K340" s="18">
        <f>$H340*$I340</f>
        <v>239220.11</v>
      </c>
      <c r="L340" s="1">
        <f t="shared" si="5"/>
        <v>61595.95</v>
      </c>
    </row>
    <row r="341" spans="1:12" x14ac:dyDescent="0.25">
      <c r="A341" s="7" t="s">
        <v>363</v>
      </c>
      <c r="B341" s="7" t="s">
        <v>48</v>
      </c>
      <c r="C341" s="7" t="s">
        <v>26</v>
      </c>
      <c r="D341" s="7" t="s">
        <v>42</v>
      </c>
      <c r="E341" s="7" t="s">
        <v>14</v>
      </c>
      <c r="F341" s="7" t="s">
        <v>15</v>
      </c>
      <c r="G341" s="1">
        <v>45261</v>
      </c>
      <c r="H341" s="7">
        <v>115</v>
      </c>
      <c r="I341" s="7">
        <v>14.91</v>
      </c>
      <c r="J341" s="7">
        <v>363.94</v>
      </c>
      <c r="K341" s="18">
        <f>$H341*$I341</f>
        <v>1714.65</v>
      </c>
      <c r="L341" s="1">
        <f t="shared" si="5"/>
        <v>-40138.449999999997</v>
      </c>
    </row>
    <row r="342" spans="1:12" x14ac:dyDescent="0.25">
      <c r="A342" s="7" t="s">
        <v>364</v>
      </c>
      <c r="B342" s="7" t="s">
        <v>17</v>
      </c>
      <c r="C342" s="7" t="s">
        <v>26</v>
      </c>
      <c r="D342" s="7" t="s">
        <v>13</v>
      </c>
      <c r="E342" s="7" t="s">
        <v>24</v>
      </c>
      <c r="F342" s="7" t="s">
        <v>15</v>
      </c>
      <c r="G342" s="1">
        <v>45262</v>
      </c>
      <c r="H342" s="7">
        <v>384</v>
      </c>
      <c r="I342" s="7">
        <v>369.9</v>
      </c>
      <c r="J342" s="7">
        <v>312.52</v>
      </c>
      <c r="K342" s="18">
        <f>$H342*$I342</f>
        <v>142041.59999999998</v>
      </c>
      <c r="L342" s="1">
        <f t="shared" si="5"/>
        <v>22033.919999999998</v>
      </c>
    </row>
    <row r="343" spans="1:12" x14ac:dyDescent="0.25">
      <c r="A343" s="7" t="s">
        <v>365</v>
      </c>
      <c r="B343" s="7" t="s">
        <v>22</v>
      </c>
      <c r="C343" s="7" t="s">
        <v>50</v>
      </c>
      <c r="D343" s="7" t="s">
        <v>19</v>
      </c>
      <c r="E343" s="7" t="s">
        <v>14</v>
      </c>
      <c r="F343" s="7" t="s">
        <v>20</v>
      </c>
      <c r="G343" s="1">
        <v>45263</v>
      </c>
      <c r="H343" s="7">
        <v>437</v>
      </c>
      <c r="I343" s="7">
        <v>385.46</v>
      </c>
      <c r="J343" s="7">
        <v>4.8</v>
      </c>
      <c r="K343" s="18">
        <f>$H343*$I343</f>
        <v>168446.02</v>
      </c>
      <c r="L343" s="1">
        <f t="shared" si="5"/>
        <v>166348.41999999998</v>
      </c>
    </row>
    <row r="344" spans="1:12" x14ac:dyDescent="0.25">
      <c r="A344" s="7" t="s">
        <v>366</v>
      </c>
      <c r="B344" s="7" t="s">
        <v>11</v>
      </c>
      <c r="C344" s="7" t="s">
        <v>50</v>
      </c>
      <c r="D344" s="7" t="s">
        <v>19</v>
      </c>
      <c r="E344" s="7" t="s">
        <v>24</v>
      </c>
      <c r="F344" s="7" t="s">
        <v>15</v>
      </c>
      <c r="G344" s="1">
        <v>45264</v>
      </c>
      <c r="H344" s="7">
        <v>314</v>
      </c>
      <c r="I344" s="7">
        <v>125.61</v>
      </c>
      <c r="J344" s="7">
        <v>24.8</v>
      </c>
      <c r="K344" s="18">
        <f>$H344*$I344</f>
        <v>39441.54</v>
      </c>
      <c r="L344" s="1">
        <f t="shared" si="5"/>
        <v>31654.34</v>
      </c>
    </row>
    <row r="345" spans="1:12" x14ac:dyDescent="0.25">
      <c r="A345" s="7" t="s">
        <v>367</v>
      </c>
      <c r="B345" s="7" t="s">
        <v>17</v>
      </c>
      <c r="C345" s="7" t="s">
        <v>50</v>
      </c>
      <c r="D345" s="7" t="s">
        <v>27</v>
      </c>
      <c r="E345" s="7" t="s">
        <v>14</v>
      </c>
      <c r="F345" s="7" t="s">
        <v>15</v>
      </c>
      <c r="G345" s="1">
        <v>45265</v>
      </c>
      <c r="H345" s="7">
        <v>369</v>
      </c>
      <c r="I345" s="7">
        <v>337.42</v>
      </c>
      <c r="J345" s="7">
        <v>91.64</v>
      </c>
      <c r="K345" s="18">
        <f>$H345*$I345</f>
        <v>124507.98000000001</v>
      </c>
      <c r="L345" s="1">
        <f t="shared" si="5"/>
        <v>90692.82</v>
      </c>
    </row>
    <row r="346" spans="1:12" x14ac:dyDescent="0.25">
      <c r="A346" s="7" t="s">
        <v>368</v>
      </c>
      <c r="B346" s="7" t="s">
        <v>17</v>
      </c>
      <c r="C346" s="7" t="s">
        <v>31</v>
      </c>
      <c r="D346" s="7" t="s">
        <v>13</v>
      </c>
      <c r="E346" s="7" t="s">
        <v>14</v>
      </c>
      <c r="F346" s="7" t="s">
        <v>28</v>
      </c>
      <c r="G346" s="1">
        <v>45266</v>
      </c>
      <c r="H346" s="7">
        <v>468</v>
      </c>
      <c r="I346" s="7">
        <v>51</v>
      </c>
      <c r="J346" s="7">
        <v>54.28</v>
      </c>
      <c r="K346" s="18">
        <f>$H346*$I346</f>
        <v>23868</v>
      </c>
      <c r="L346" s="1">
        <f t="shared" si="5"/>
        <v>-1535.0400000000004</v>
      </c>
    </row>
    <row r="347" spans="1:12" x14ac:dyDescent="0.25">
      <c r="A347" s="7" t="s">
        <v>369</v>
      </c>
      <c r="B347" s="7" t="s">
        <v>11</v>
      </c>
      <c r="C347" s="7" t="s">
        <v>50</v>
      </c>
      <c r="D347" s="7" t="s">
        <v>23</v>
      </c>
      <c r="E347" s="7" t="s">
        <v>24</v>
      </c>
      <c r="F347" s="7" t="s">
        <v>15</v>
      </c>
      <c r="G347" s="1">
        <v>45267</v>
      </c>
      <c r="H347" s="7">
        <v>326</v>
      </c>
      <c r="I347" s="7">
        <v>132.24</v>
      </c>
      <c r="J347" s="7">
        <v>160.74</v>
      </c>
      <c r="K347" s="18">
        <f>$H347*$I347</f>
        <v>43110.240000000005</v>
      </c>
      <c r="L347" s="1">
        <f t="shared" si="5"/>
        <v>-9291</v>
      </c>
    </row>
    <row r="348" spans="1:12" x14ac:dyDescent="0.25">
      <c r="A348" s="7" t="s">
        <v>370</v>
      </c>
      <c r="B348" s="7" t="s">
        <v>17</v>
      </c>
      <c r="C348" s="7" t="s">
        <v>18</v>
      </c>
      <c r="D348" s="7" t="s">
        <v>42</v>
      </c>
      <c r="E348" s="7" t="s">
        <v>24</v>
      </c>
      <c r="F348" s="7" t="s">
        <v>28</v>
      </c>
      <c r="G348" s="1">
        <v>45268</v>
      </c>
      <c r="H348" s="7">
        <v>460</v>
      </c>
      <c r="I348" s="7">
        <v>395.01</v>
      </c>
      <c r="J348" s="7">
        <v>369.2</v>
      </c>
      <c r="K348" s="18">
        <f>$H348*$I348</f>
        <v>181704.6</v>
      </c>
      <c r="L348" s="1">
        <f t="shared" si="5"/>
        <v>11872.6</v>
      </c>
    </row>
    <row r="349" spans="1:12" x14ac:dyDescent="0.25">
      <c r="A349" s="7" t="s">
        <v>371</v>
      </c>
      <c r="B349" s="7" t="s">
        <v>11</v>
      </c>
      <c r="C349" s="7" t="s">
        <v>12</v>
      </c>
      <c r="D349" s="7" t="s">
        <v>27</v>
      </c>
      <c r="E349" s="7" t="s">
        <v>14</v>
      </c>
      <c r="F349" s="7" t="s">
        <v>20</v>
      </c>
      <c r="G349" s="1">
        <v>45269</v>
      </c>
      <c r="H349" s="7">
        <v>132</v>
      </c>
      <c r="I349" s="7">
        <v>433.02</v>
      </c>
      <c r="J349" s="7">
        <v>189.88</v>
      </c>
      <c r="K349" s="18">
        <f>$H349*$I349</f>
        <v>57158.64</v>
      </c>
      <c r="L349" s="1">
        <f t="shared" si="5"/>
        <v>32094.48</v>
      </c>
    </row>
    <row r="350" spans="1:12" x14ac:dyDescent="0.25">
      <c r="A350" s="7" t="s">
        <v>372</v>
      </c>
      <c r="B350" s="7" t="s">
        <v>48</v>
      </c>
      <c r="C350" s="7" t="s">
        <v>18</v>
      </c>
      <c r="D350" s="7" t="s">
        <v>19</v>
      </c>
      <c r="E350" s="7" t="s">
        <v>24</v>
      </c>
      <c r="F350" s="7" t="s">
        <v>15</v>
      </c>
      <c r="G350" s="1">
        <v>45270</v>
      </c>
      <c r="H350" s="7">
        <v>399</v>
      </c>
      <c r="I350" s="7">
        <v>306.2</v>
      </c>
      <c r="J350" s="7">
        <v>7.33</v>
      </c>
      <c r="K350" s="18">
        <f>$H350*$I350</f>
        <v>122173.79999999999</v>
      </c>
      <c r="L350" s="1">
        <f t="shared" si="5"/>
        <v>119249.13</v>
      </c>
    </row>
    <row r="351" spans="1:12" x14ac:dyDescent="0.25">
      <c r="A351" s="7" t="s">
        <v>373</v>
      </c>
      <c r="B351" s="7" t="s">
        <v>11</v>
      </c>
      <c r="C351" s="7" t="s">
        <v>18</v>
      </c>
      <c r="D351" s="7" t="s">
        <v>23</v>
      </c>
      <c r="E351" s="7" t="s">
        <v>14</v>
      </c>
      <c r="F351" s="7" t="s">
        <v>20</v>
      </c>
      <c r="G351" s="1">
        <v>45271</v>
      </c>
      <c r="H351" s="7">
        <v>18</v>
      </c>
      <c r="I351" s="7">
        <v>255.89</v>
      </c>
      <c r="J351" s="7">
        <v>114.53</v>
      </c>
      <c r="K351" s="18">
        <f>$H351*$I351</f>
        <v>4606.0199999999995</v>
      </c>
      <c r="L351" s="1">
        <f t="shared" si="5"/>
        <v>2544.4799999999996</v>
      </c>
    </row>
    <row r="352" spans="1:12" x14ac:dyDescent="0.25">
      <c r="A352" s="7" t="s">
        <v>374</v>
      </c>
      <c r="B352" s="7" t="s">
        <v>11</v>
      </c>
      <c r="C352" s="7" t="s">
        <v>50</v>
      </c>
      <c r="D352" s="7" t="s">
        <v>23</v>
      </c>
      <c r="E352" s="7" t="s">
        <v>14</v>
      </c>
      <c r="F352" s="7" t="s">
        <v>20</v>
      </c>
      <c r="G352" s="1">
        <v>45272</v>
      </c>
      <c r="H352" s="7">
        <v>271</v>
      </c>
      <c r="I352" s="7">
        <v>83.86</v>
      </c>
      <c r="J352" s="7">
        <v>19.75</v>
      </c>
      <c r="K352" s="18">
        <f>$H352*$I352</f>
        <v>22726.06</v>
      </c>
      <c r="L352" s="1">
        <f t="shared" si="5"/>
        <v>17373.810000000001</v>
      </c>
    </row>
    <row r="353" spans="1:12" x14ac:dyDescent="0.25">
      <c r="A353" s="7" t="s">
        <v>375</v>
      </c>
      <c r="B353" s="7" t="s">
        <v>11</v>
      </c>
      <c r="C353" s="7" t="s">
        <v>12</v>
      </c>
      <c r="D353" s="7" t="s">
        <v>42</v>
      </c>
      <c r="E353" s="7" t="s">
        <v>14</v>
      </c>
      <c r="F353" s="7" t="s">
        <v>15</v>
      </c>
      <c r="G353" s="1">
        <v>45273</v>
      </c>
      <c r="H353" s="7">
        <v>82</v>
      </c>
      <c r="I353" s="7">
        <v>36.24</v>
      </c>
      <c r="J353" s="7">
        <v>16.440000000000001</v>
      </c>
      <c r="K353" s="18">
        <f>$H353*$I353</f>
        <v>2971.6800000000003</v>
      </c>
      <c r="L353" s="1">
        <f t="shared" si="5"/>
        <v>1623.6000000000001</v>
      </c>
    </row>
    <row r="354" spans="1:12" x14ac:dyDescent="0.25">
      <c r="A354" s="7" t="s">
        <v>376</v>
      </c>
      <c r="B354" s="7" t="s">
        <v>17</v>
      </c>
      <c r="C354" s="7" t="s">
        <v>12</v>
      </c>
      <c r="D354" s="7" t="s">
        <v>19</v>
      </c>
      <c r="E354" s="7" t="s">
        <v>14</v>
      </c>
      <c r="F354" s="7" t="s">
        <v>15</v>
      </c>
      <c r="G354" s="1">
        <v>45274</v>
      </c>
      <c r="H354" s="7">
        <v>368</v>
      </c>
      <c r="I354" s="7">
        <v>63.24</v>
      </c>
      <c r="J354" s="7">
        <v>111.74</v>
      </c>
      <c r="K354" s="18">
        <f>$H354*$I354</f>
        <v>23272.32</v>
      </c>
      <c r="L354" s="1">
        <f t="shared" si="5"/>
        <v>-17847.999999999996</v>
      </c>
    </row>
    <row r="355" spans="1:12" x14ac:dyDescent="0.25">
      <c r="A355" s="7" t="s">
        <v>377</v>
      </c>
      <c r="B355" s="7" t="s">
        <v>17</v>
      </c>
      <c r="C355" s="7" t="s">
        <v>12</v>
      </c>
      <c r="D355" s="7" t="s">
        <v>13</v>
      </c>
      <c r="E355" s="7" t="s">
        <v>14</v>
      </c>
      <c r="F355" s="7" t="s">
        <v>20</v>
      </c>
      <c r="G355" s="1">
        <v>45275</v>
      </c>
      <c r="H355" s="7">
        <v>232</v>
      </c>
      <c r="I355" s="7">
        <v>117.54</v>
      </c>
      <c r="J355" s="7">
        <v>111.69</v>
      </c>
      <c r="K355" s="18">
        <f>$H355*$I355</f>
        <v>27269.280000000002</v>
      </c>
      <c r="L355" s="1">
        <f t="shared" si="5"/>
        <v>1357.2000000000021</v>
      </c>
    </row>
    <row r="356" spans="1:12" x14ac:dyDescent="0.25">
      <c r="A356" s="7" t="s">
        <v>378</v>
      </c>
      <c r="B356" s="7" t="s">
        <v>11</v>
      </c>
      <c r="C356" s="7" t="s">
        <v>31</v>
      </c>
      <c r="D356" s="7" t="s">
        <v>23</v>
      </c>
      <c r="E356" s="7" t="s">
        <v>24</v>
      </c>
      <c r="F356" s="7" t="s">
        <v>15</v>
      </c>
      <c r="G356" s="1">
        <v>45276</v>
      </c>
      <c r="H356" s="7">
        <v>425</v>
      </c>
      <c r="I356" s="7">
        <v>174.13</v>
      </c>
      <c r="J356" s="7">
        <v>315.27999999999997</v>
      </c>
      <c r="K356" s="18">
        <f>$H356*$I356</f>
        <v>74005.25</v>
      </c>
      <c r="L356" s="1">
        <f t="shared" si="5"/>
        <v>-59988.749999999993</v>
      </c>
    </row>
  </sheetData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12BD7-3B5C-4AA9-8A92-1A943AEE7041}">
  <dimension ref="A2:S356"/>
  <sheetViews>
    <sheetView topLeftCell="C1" workbookViewId="0">
      <selection activeCell="N6" sqref="N6:S13"/>
    </sheetView>
  </sheetViews>
  <sheetFormatPr defaultRowHeight="15" x14ac:dyDescent="0.25"/>
  <cols>
    <col min="14" max="14" width="20.5703125" bestFit="1" customWidth="1"/>
    <col min="15" max="15" width="16.28515625" bestFit="1" customWidth="1"/>
    <col min="16" max="19" width="12" bestFit="1" customWidth="1"/>
  </cols>
  <sheetData>
    <row r="2" spans="1:19" ht="21" x14ac:dyDescent="0.35">
      <c r="A2" s="4" t="s">
        <v>379</v>
      </c>
      <c r="B2" s="4" t="s">
        <v>387</v>
      </c>
    </row>
    <row r="4" spans="1:19" ht="21" x14ac:dyDescent="0.35">
      <c r="A4" s="4" t="s">
        <v>381</v>
      </c>
    </row>
    <row r="6" spans="1:19" x14ac:dyDescent="0.25">
      <c r="A6" s="3" t="s">
        <v>0</v>
      </c>
      <c r="B6" s="3" t="s">
        <v>1</v>
      </c>
      <c r="C6" s="3" t="s">
        <v>2</v>
      </c>
      <c r="D6" s="3" t="s">
        <v>3</v>
      </c>
      <c r="E6" s="3" t="s">
        <v>4</v>
      </c>
      <c r="F6" s="3" t="s">
        <v>5</v>
      </c>
      <c r="G6" s="3" t="s">
        <v>6</v>
      </c>
      <c r="H6" s="3" t="s">
        <v>7</v>
      </c>
      <c r="I6" s="3" t="s">
        <v>8</v>
      </c>
      <c r="J6" s="3" t="s">
        <v>9</v>
      </c>
      <c r="K6" s="10" t="s">
        <v>390</v>
      </c>
      <c r="L6" s="10" t="s">
        <v>392</v>
      </c>
      <c r="N6" s="19" t="s">
        <v>397</v>
      </c>
      <c r="O6" s="19" t="s">
        <v>396</v>
      </c>
      <c r="P6" s="1"/>
      <c r="Q6" s="1"/>
      <c r="R6" s="1"/>
      <c r="S6" s="1"/>
    </row>
    <row r="7" spans="1:19" x14ac:dyDescent="0.25">
      <c r="A7" s="7" t="s">
        <v>10</v>
      </c>
      <c r="B7" s="7" t="s">
        <v>11</v>
      </c>
      <c r="C7" s="7" t="s">
        <v>12</v>
      </c>
      <c r="D7" s="7" t="s">
        <v>13</v>
      </c>
      <c r="E7" s="7" t="s">
        <v>14</v>
      </c>
      <c r="F7" s="7" t="s">
        <v>15</v>
      </c>
      <c r="G7" s="1">
        <v>44927</v>
      </c>
      <c r="H7" s="1">
        <v>235</v>
      </c>
      <c r="I7" s="1">
        <v>152.91999999999999</v>
      </c>
      <c r="J7" s="1">
        <v>153.6</v>
      </c>
      <c r="K7" s="18">
        <f>$H7*$I7</f>
        <v>35936.199999999997</v>
      </c>
      <c r="L7" s="1">
        <f>($I7-$J7)*$H7</f>
        <v>-159.8000000000016</v>
      </c>
      <c r="N7" s="19" t="s">
        <v>393</v>
      </c>
      <c r="O7" s="1" t="s">
        <v>11</v>
      </c>
      <c r="P7" s="1" t="s">
        <v>22</v>
      </c>
      <c r="Q7" s="1" t="s">
        <v>48</v>
      </c>
      <c r="R7" s="1" t="s">
        <v>17</v>
      </c>
      <c r="S7" s="1" t="s">
        <v>394</v>
      </c>
    </row>
    <row r="8" spans="1:19" x14ac:dyDescent="0.25">
      <c r="A8" s="7" t="s">
        <v>16</v>
      </c>
      <c r="B8" s="7" t="s">
        <v>17</v>
      </c>
      <c r="C8" s="7" t="s">
        <v>18</v>
      </c>
      <c r="D8" s="7" t="s">
        <v>19</v>
      </c>
      <c r="E8" s="7" t="s">
        <v>14</v>
      </c>
      <c r="F8" s="7" t="s">
        <v>20</v>
      </c>
      <c r="G8" s="1">
        <v>44928</v>
      </c>
      <c r="H8" s="1">
        <v>341</v>
      </c>
      <c r="I8" s="1">
        <v>467.92</v>
      </c>
      <c r="J8" s="1">
        <v>139.84</v>
      </c>
      <c r="K8" s="18">
        <f>$H8*$I8</f>
        <v>159560.72</v>
      </c>
      <c r="L8" s="1">
        <f t="shared" ref="L8:L71" si="0">($I8-$J8)*$H8</f>
        <v>111875.28000000001</v>
      </c>
      <c r="N8" s="20" t="s">
        <v>13</v>
      </c>
      <c r="O8" s="17">
        <v>888153.51</v>
      </c>
      <c r="P8" s="17">
        <v>985999.03999999992</v>
      </c>
      <c r="Q8" s="17">
        <v>1145872.8400000001</v>
      </c>
      <c r="R8" s="17">
        <v>1886167.84</v>
      </c>
      <c r="S8" s="17">
        <v>4906193.2299999995</v>
      </c>
    </row>
    <row r="9" spans="1:19" x14ac:dyDescent="0.25">
      <c r="A9" s="7" t="s">
        <v>21</v>
      </c>
      <c r="B9" s="7" t="s">
        <v>22</v>
      </c>
      <c r="C9" s="7" t="s">
        <v>18</v>
      </c>
      <c r="D9" s="7" t="s">
        <v>23</v>
      </c>
      <c r="E9" s="7" t="s">
        <v>24</v>
      </c>
      <c r="F9" s="7" t="s">
        <v>15</v>
      </c>
      <c r="G9" s="1">
        <v>44929</v>
      </c>
      <c r="H9" s="1">
        <v>179</v>
      </c>
      <c r="I9" s="1">
        <v>473.94</v>
      </c>
      <c r="J9" s="1">
        <v>97.14</v>
      </c>
      <c r="K9" s="18">
        <f>$H9*$I9</f>
        <v>84835.26</v>
      </c>
      <c r="L9" s="1">
        <f t="shared" si="0"/>
        <v>67447.199999999997</v>
      </c>
      <c r="N9" s="20" t="s">
        <v>23</v>
      </c>
      <c r="O9" s="17">
        <v>1646703.6059999999</v>
      </c>
      <c r="P9" s="17">
        <v>648088.13699999999</v>
      </c>
      <c r="Q9" s="17">
        <v>496502.89000000007</v>
      </c>
      <c r="R9" s="17">
        <v>1115574.1399999999</v>
      </c>
      <c r="S9" s="17">
        <v>3906868.773</v>
      </c>
    </row>
    <row r="10" spans="1:19" x14ac:dyDescent="0.25">
      <c r="A10" s="7" t="s">
        <v>25</v>
      </c>
      <c r="B10" s="7" t="s">
        <v>11</v>
      </c>
      <c r="C10" s="7" t="s">
        <v>26</v>
      </c>
      <c r="D10" s="7" t="s">
        <v>27</v>
      </c>
      <c r="E10" s="7" t="s">
        <v>24</v>
      </c>
      <c r="F10" s="7" t="s">
        <v>28</v>
      </c>
      <c r="G10" s="1">
        <v>44930</v>
      </c>
      <c r="H10" s="7">
        <v>18</v>
      </c>
      <c r="I10" s="7">
        <v>314.52999999999997</v>
      </c>
      <c r="J10" s="7">
        <v>204.87</v>
      </c>
      <c r="K10" s="18">
        <f>$H10*$I10</f>
        <v>5661.5399999999991</v>
      </c>
      <c r="L10" s="1">
        <f t="shared" si="0"/>
        <v>1973.8799999999994</v>
      </c>
      <c r="N10" s="20" t="s">
        <v>42</v>
      </c>
      <c r="O10" s="17">
        <v>1039111.3090000002</v>
      </c>
      <c r="P10" s="17">
        <v>1272313.4800000002</v>
      </c>
      <c r="Q10" s="17">
        <v>1068290.385</v>
      </c>
      <c r="R10" s="17">
        <v>1480418.2700000003</v>
      </c>
      <c r="S10" s="17">
        <v>4860133.4440000011</v>
      </c>
    </row>
    <row r="11" spans="1:19" x14ac:dyDescent="0.25">
      <c r="A11" s="7" t="s">
        <v>29</v>
      </c>
      <c r="B11" s="7" t="s">
        <v>11</v>
      </c>
      <c r="C11" s="7" t="s">
        <v>18</v>
      </c>
      <c r="D11" s="7" t="s">
        <v>27</v>
      </c>
      <c r="E11" s="7" t="s">
        <v>24</v>
      </c>
      <c r="F11" s="7" t="s">
        <v>28</v>
      </c>
      <c r="G11" s="1">
        <v>44931</v>
      </c>
      <c r="H11" s="7">
        <v>472</v>
      </c>
      <c r="I11" s="7">
        <v>392.79</v>
      </c>
      <c r="J11" s="7">
        <v>330.46</v>
      </c>
      <c r="K11" s="18">
        <f>$H11*$I11</f>
        <v>185396.88</v>
      </c>
      <c r="L11" s="1">
        <f t="shared" si="0"/>
        <v>29419.76000000002</v>
      </c>
      <c r="N11" s="20" t="s">
        <v>19</v>
      </c>
      <c r="O11" s="17">
        <v>886855.41499999992</v>
      </c>
      <c r="P11" s="17">
        <v>1689022.196</v>
      </c>
      <c r="Q11" s="17">
        <v>752659.973</v>
      </c>
      <c r="R11" s="17">
        <v>834923.32999999984</v>
      </c>
      <c r="S11" s="17">
        <v>4163460.9139999999</v>
      </c>
    </row>
    <row r="12" spans="1:19" x14ac:dyDescent="0.25">
      <c r="A12" s="7" t="s">
        <v>30</v>
      </c>
      <c r="B12" s="7" t="s">
        <v>17</v>
      </c>
      <c r="C12" s="7" t="s">
        <v>31</v>
      </c>
      <c r="D12" s="7" t="s">
        <v>23</v>
      </c>
      <c r="E12" s="7" t="s">
        <v>14</v>
      </c>
      <c r="F12" s="7" t="s">
        <v>15</v>
      </c>
      <c r="G12" s="1">
        <v>44932</v>
      </c>
      <c r="H12" s="7">
        <v>49</v>
      </c>
      <c r="I12" s="7">
        <v>308.07</v>
      </c>
      <c r="J12" s="7">
        <v>113.32</v>
      </c>
      <c r="K12" s="18">
        <f>$H12*$I12</f>
        <v>15095.43</v>
      </c>
      <c r="L12" s="1">
        <f t="shared" si="0"/>
        <v>9542.75</v>
      </c>
      <c r="N12" s="20" t="s">
        <v>27</v>
      </c>
      <c r="O12" s="17">
        <v>2063371.7390000003</v>
      </c>
      <c r="P12" s="17">
        <v>731274.15</v>
      </c>
      <c r="Q12" s="17">
        <v>832820.25000000012</v>
      </c>
      <c r="R12" s="17">
        <v>995333.49399999995</v>
      </c>
      <c r="S12" s="17">
        <v>4622799.6330000004</v>
      </c>
    </row>
    <row r="13" spans="1:19" x14ac:dyDescent="0.25">
      <c r="A13" s="7" t="s">
        <v>32</v>
      </c>
      <c r="B13" s="7" t="s">
        <v>22</v>
      </c>
      <c r="C13" s="7" t="s">
        <v>12</v>
      </c>
      <c r="D13" s="7" t="s">
        <v>23</v>
      </c>
      <c r="E13" s="7" t="s">
        <v>14</v>
      </c>
      <c r="F13" s="7" t="s">
        <v>20</v>
      </c>
      <c r="G13" s="1">
        <v>44933</v>
      </c>
      <c r="H13" s="7">
        <v>34</v>
      </c>
      <c r="I13" s="7">
        <v>244.78</v>
      </c>
      <c r="J13" s="7">
        <v>377.07</v>
      </c>
      <c r="K13" s="18">
        <f>$H13*$I13</f>
        <v>8322.52</v>
      </c>
      <c r="L13" s="1">
        <f t="shared" si="0"/>
        <v>-4497.8599999999997</v>
      </c>
      <c r="N13" s="20" t="s">
        <v>394</v>
      </c>
      <c r="O13" s="17">
        <v>6524195.5789999999</v>
      </c>
      <c r="P13" s="17">
        <v>5326697.0030000005</v>
      </c>
      <c r="Q13" s="17">
        <v>4296146.3380000005</v>
      </c>
      <c r="R13" s="17">
        <v>6312417.074</v>
      </c>
      <c r="S13" s="17">
        <v>22459455.994000003</v>
      </c>
    </row>
    <row r="14" spans="1:19" x14ac:dyDescent="0.25">
      <c r="A14" s="7" t="s">
        <v>33</v>
      </c>
      <c r="B14" s="7" t="s">
        <v>22</v>
      </c>
      <c r="C14" s="7" t="s">
        <v>18</v>
      </c>
      <c r="D14" s="7" t="s">
        <v>13</v>
      </c>
      <c r="E14" s="7" t="s">
        <v>14</v>
      </c>
      <c r="F14" s="7" t="s">
        <v>15</v>
      </c>
      <c r="G14" s="1">
        <v>44934</v>
      </c>
      <c r="H14" s="7">
        <v>270</v>
      </c>
      <c r="I14" s="7">
        <v>332.11</v>
      </c>
      <c r="J14" s="7">
        <v>349.59</v>
      </c>
      <c r="K14" s="18">
        <f>$H14*$I14</f>
        <v>89669.7</v>
      </c>
      <c r="L14" s="1">
        <f t="shared" si="0"/>
        <v>-4719.5999999999894</v>
      </c>
    </row>
    <row r="15" spans="1:19" x14ac:dyDescent="0.25">
      <c r="A15" s="7" t="s">
        <v>34</v>
      </c>
      <c r="B15" s="7" t="s">
        <v>11</v>
      </c>
      <c r="C15" s="7" t="s">
        <v>18</v>
      </c>
      <c r="D15" s="7" t="s">
        <v>13</v>
      </c>
      <c r="E15" s="7" t="s">
        <v>14</v>
      </c>
      <c r="F15" s="7" t="s">
        <v>20</v>
      </c>
      <c r="G15" s="1">
        <v>44935</v>
      </c>
      <c r="H15" s="7">
        <v>404</v>
      </c>
      <c r="I15" s="7">
        <v>278.74</v>
      </c>
      <c r="J15" s="7">
        <v>66.38</v>
      </c>
      <c r="K15" s="18">
        <f>$H15*$I15</f>
        <v>112610.96</v>
      </c>
      <c r="L15" s="1">
        <f t="shared" si="0"/>
        <v>85793.44</v>
      </c>
    </row>
    <row r="16" spans="1:19" x14ac:dyDescent="0.25">
      <c r="A16" s="7" t="s">
        <v>35</v>
      </c>
      <c r="B16" s="7" t="s">
        <v>11</v>
      </c>
      <c r="C16" s="7" t="s">
        <v>26</v>
      </c>
      <c r="D16" s="7" t="s">
        <v>27</v>
      </c>
      <c r="E16" s="7" t="s">
        <v>14</v>
      </c>
      <c r="F16" s="7" t="s">
        <v>28</v>
      </c>
      <c r="G16" s="1">
        <v>44936</v>
      </c>
      <c r="H16" s="7">
        <v>452</v>
      </c>
      <c r="I16" s="7">
        <v>300.75</v>
      </c>
      <c r="J16" s="7">
        <v>314.94</v>
      </c>
      <c r="K16" s="18">
        <f>$H16*$I16</f>
        <v>135939</v>
      </c>
      <c r="L16" s="1">
        <f t="shared" si="0"/>
        <v>-6413.8799999999992</v>
      </c>
    </row>
    <row r="17" spans="1:12" x14ac:dyDescent="0.25">
      <c r="A17" s="7" t="s">
        <v>36</v>
      </c>
      <c r="B17" s="7" t="s">
        <v>11</v>
      </c>
      <c r="C17" s="7" t="s">
        <v>26</v>
      </c>
      <c r="D17" s="7" t="s">
        <v>19</v>
      </c>
      <c r="E17" s="7" t="s">
        <v>14</v>
      </c>
      <c r="F17" s="7" t="s">
        <v>20</v>
      </c>
      <c r="G17" s="1">
        <v>44937</v>
      </c>
      <c r="H17" s="7">
        <v>235</v>
      </c>
      <c r="I17" s="7">
        <v>393</v>
      </c>
      <c r="J17" s="7">
        <v>230.69</v>
      </c>
      <c r="K17" s="18">
        <f>$H17*$I17</f>
        <v>92355</v>
      </c>
      <c r="L17" s="1">
        <f t="shared" si="0"/>
        <v>38142.85</v>
      </c>
    </row>
    <row r="18" spans="1:12" x14ac:dyDescent="0.25">
      <c r="A18" s="7" t="s">
        <v>37</v>
      </c>
      <c r="B18" s="7" t="s">
        <v>11</v>
      </c>
      <c r="C18" s="7" t="s">
        <v>31</v>
      </c>
      <c r="D18" s="7" t="s">
        <v>27</v>
      </c>
      <c r="E18" s="7" t="s">
        <v>24</v>
      </c>
      <c r="F18" s="7" t="s">
        <v>28</v>
      </c>
      <c r="G18" s="1">
        <v>44938</v>
      </c>
      <c r="H18" s="7">
        <v>481</v>
      </c>
      <c r="I18" s="7">
        <v>243.05</v>
      </c>
      <c r="J18" s="7">
        <v>227.5</v>
      </c>
      <c r="K18" s="18">
        <f>$H18*$I18</f>
        <v>116907.05</v>
      </c>
      <c r="L18" s="1">
        <f t="shared" si="0"/>
        <v>7479.5500000000056</v>
      </c>
    </row>
    <row r="19" spans="1:12" x14ac:dyDescent="0.25">
      <c r="A19" s="7" t="s">
        <v>38</v>
      </c>
      <c r="B19" s="7" t="s">
        <v>11</v>
      </c>
      <c r="C19" s="7" t="s">
        <v>12</v>
      </c>
      <c r="D19" s="7" t="s">
        <v>19</v>
      </c>
      <c r="E19" s="7" t="s">
        <v>24</v>
      </c>
      <c r="F19" s="7" t="s">
        <v>20</v>
      </c>
      <c r="G19" s="1">
        <v>44939</v>
      </c>
      <c r="H19" s="7">
        <v>133</v>
      </c>
      <c r="I19" s="7">
        <v>25.17</v>
      </c>
      <c r="J19" s="7">
        <v>157.63999999999999</v>
      </c>
      <c r="K19" s="18">
        <f>$H19*$I19</f>
        <v>3347.61</v>
      </c>
      <c r="L19" s="1">
        <f t="shared" si="0"/>
        <v>-17618.509999999995</v>
      </c>
    </row>
    <row r="20" spans="1:12" x14ac:dyDescent="0.25">
      <c r="A20" s="7" t="s">
        <v>39</v>
      </c>
      <c r="B20" s="7" t="s">
        <v>11</v>
      </c>
      <c r="C20" s="7" t="s">
        <v>26</v>
      </c>
      <c r="D20" s="7" t="s">
        <v>19</v>
      </c>
      <c r="E20" s="7" t="s">
        <v>24</v>
      </c>
      <c r="F20" s="7" t="s">
        <v>20</v>
      </c>
      <c r="G20" s="1">
        <v>44940</v>
      </c>
      <c r="H20" s="7">
        <v>472</v>
      </c>
      <c r="I20" s="7">
        <v>86.18</v>
      </c>
      <c r="J20" s="7">
        <v>201.46</v>
      </c>
      <c r="K20" s="18">
        <f>$H20*$I20</f>
        <v>40676.960000000006</v>
      </c>
      <c r="L20" s="1">
        <f t="shared" si="0"/>
        <v>-54412.160000000003</v>
      </c>
    </row>
    <row r="21" spans="1:12" x14ac:dyDescent="0.25">
      <c r="A21" s="7" t="s">
        <v>40</v>
      </c>
      <c r="B21" s="7" t="s">
        <v>17</v>
      </c>
      <c r="C21" s="7" t="s">
        <v>18</v>
      </c>
      <c r="D21" s="7" t="s">
        <v>13</v>
      </c>
      <c r="E21" s="7" t="s">
        <v>24</v>
      </c>
      <c r="F21" s="7" t="s">
        <v>20</v>
      </c>
      <c r="G21" s="1">
        <v>44941</v>
      </c>
      <c r="H21" s="7">
        <v>47</v>
      </c>
      <c r="I21" s="7">
        <v>222.11</v>
      </c>
      <c r="J21" s="7">
        <v>160.08000000000001</v>
      </c>
      <c r="K21" s="18">
        <f>$H21*$I21</f>
        <v>10439.17</v>
      </c>
      <c r="L21" s="1">
        <f t="shared" si="0"/>
        <v>2915.41</v>
      </c>
    </row>
    <row r="22" spans="1:12" x14ac:dyDescent="0.25">
      <c r="A22" s="7" t="s">
        <v>41</v>
      </c>
      <c r="B22" s="7" t="s">
        <v>22</v>
      </c>
      <c r="C22" s="7" t="s">
        <v>12</v>
      </c>
      <c r="D22" s="7" t="s">
        <v>42</v>
      </c>
      <c r="E22" s="7" t="s">
        <v>14</v>
      </c>
      <c r="F22" s="7" t="s">
        <v>15</v>
      </c>
      <c r="G22" s="1">
        <v>44942</v>
      </c>
      <c r="H22" s="7">
        <v>337</v>
      </c>
      <c r="I22" s="7">
        <v>363.79</v>
      </c>
      <c r="J22" s="7">
        <v>216.81</v>
      </c>
      <c r="K22" s="18">
        <f>$H22*$I22</f>
        <v>122597.23000000001</v>
      </c>
      <c r="L22" s="1">
        <f t="shared" si="0"/>
        <v>49532.260000000009</v>
      </c>
    </row>
    <row r="23" spans="1:12" x14ac:dyDescent="0.25">
      <c r="A23" s="7" t="s">
        <v>43</v>
      </c>
      <c r="B23" s="7" t="s">
        <v>17</v>
      </c>
      <c r="C23" s="7" t="s">
        <v>12</v>
      </c>
      <c r="D23" s="7" t="s">
        <v>42</v>
      </c>
      <c r="E23" s="7" t="s">
        <v>14</v>
      </c>
      <c r="F23" s="7" t="s">
        <v>15</v>
      </c>
      <c r="G23" s="1">
        <v>44943</v>
      </c>
      <c r="H23" s="7">
        <v>260</v>
      </c>
      <c r="I23" s="7">
        <v>298.67</v>
      </c>
      <c r="J23" s="7">
        <v>251.92</v>
      </c>
      <c r="K23" s="18">
        <f>$H23*$I23</f>
        <v>77654.2</v>
      </c>
      <c r="L23" s="1">
        <f t="shared" si="0"/>
        <v>12155.000000000007</v>
      </c>
    </row>
    <row r="24" spans="1:12" x14ac:dyDescent="0.25">
      <c r="A24" s="7" t="s">
        <v>44</v>
      </c>
      <c r="B24" s="7" t="s">
        <v>17</v>
      </c>
      <c r="C24" s="7" t="s">
        <v>18</v>
      </c>
      <c r="D24" s="7" t="s">
        <v>23</v>
      </c>
      <c r="E24" s="7" t="s">
        <v>24</v>
      </c>
      <c r="F24" s="7" t="s">
        <v>28</v>
      </c>
      <c r="G24" s="1">
        <v>44944</v>
      </c>
      <c r="H24" s="7">
        <v>398</v>
      </c>
      <c r="I24" s="7">
        <v>326.89999999999998</v>
      </c>
      <c r="J24" s="7">
        <v>270.37</v>
      </c>
      <c r="K24" s="18">
        <f>$H24*$I24</f>
        <v>130106.2</v>
      </c>
      <c r="L24" s="1">
        <f t="shared" si="0"/>
        <v>22498.939999999988</v>
      </c>
    </row>
    <row r="25" spans="1:12" x14ac:dyDescent="0.25">
      <c r="A25" s="7" t="s">
        <v>45</v>
      </c>
      <c r="B25" s="7" t="s">
        <v>17</v>
      </c>
      <c r="C25" s="7" t="s">
        <v>26</v>
      </c>
      <c r="D25" s="7" t="s">
        <v>13</v>
      </c>
      <c r="E25" s="7" t="s">
        <v>14</v>
      </c>
      <c r="F25" s="7" t="s">
        <v>28</v>
      </c>
      <c r="G25" s="1">
        <v>44945</v>
      </c>
      <c r="H25" s="7">
        <v>185</v>
      </c>
      <c r="I25" s="7">
        <v>242.24</v>
      </c>
      <c r="J25" s="7">
        <v>213.93</v>
      </c>
      <c r="K25" s="18">
        <f>$H25*$I25</f>
        <v>44814.400000000001</v>
      </c>
      <c r="L25" s="1">
        <f t="shared" si="0"/>
        <v>5237.3500000000004</v>
      </c>
    </row>
    <row r="26" spans="1:12" x14ac:dyDescent="0.25">
      <c r="A26" s="7" t="s">
        <v>46</v>
      </c>
      <c r="B26" s="7" t="s">
        <v>11</v>
      </c>
      <c r="C26" s="7" t="s">
        <v>18</v>
      </c>
      <c r="D26" s="7" t="s">
        <v>19</v>
      </c>
      <c r="E26" s="7" t="s">
        <v>24</v>
      </c>
      <c r="F26" s="7" t="s">
        <v>15</v>
      </c>
      <c r="G26" s="1">
        <v>44946</v>
      </c>
      <c r="H26" s="7">
        <v>99</v>
      </c>
      <c r="I26" s="7">
        <v>309.79000000000002</v>
      </c>
      <c r="J26" s="7">
        <v>289.13</v>
      </c>
      <c r="K26" s="18">
        <f>$H26*$I26</f>
        <v>30669.210000000003</v>
      </c>
      <c r="L26" s="1">
        <f t="shared" si="0"/>
        <v>2045.3400000000024</v>
      </c>
    </row>
    <row r="27" spans="1:12" x14ac:dyDescent="0.25">
      <c r="A27" s="7" t="s">
        <v>47</v>
      </c>
      <c r="B27" s="7" t="s">
        <v>48</v>
      </c>
      <c r="C27" s="7" t="s">
        <v>12</v>
      </c>
      <c r="D27" s="7" t="s">
        <v>42</v>
      </c>
      <c r="E27" s="7" t="s">
        <v>24</v>
      </c>
      <c r="F27" s="7" t="s">
        <v>28</v>
      </c>
      <c r="G27" s="1">
        <v>44947</v>
      </c>
      <c r="H27" s="7">
        <v>411</v>
      </c>
      <c r="I27" s="7">
        <v>167.86</v>
      </c>
      <c r="J27" s="7">
        <v>58.23</v>
      </c>
      <c r="K27" s="18">
        <f>$H27*$I27</f>
        <v>68990.460000000006</v>
      </c>
      <c r="L27" s="1">
        <f t="shared" si="0"/>
        <v>45057.930000000008</v>
      </c>
    </row>
    <row r="28" spans="1:12" x14ac:dyDescent="0.25">
      <c r="A28" s="7" t="s">
        <v>49</v>
      </c>
      <c r="B28" s="7" t="s">
        <v>22</v>
      </c>
      <c r="C28" s="7" t="s">
        <v>50</v>
      </c>
      <c r="D28" s="7" t="s">
        <v>19</v>
      </c>
      <c r="E28" s="7" t="s">
        <v>24</v>
      </c>
      <c r="F28" s="7" t="s">
        <v>15</v>
      </c>
      <c r="G28" s="1">
        <v>44948</v>
      </c>
      <c r="H28" s="7">
        <v>463</v>
      </c>
      <c r="I28" s="7">
        <v>237.74</v>
      </c>
      <c r="J28" s="7">
        <v>86.37</v>
      </c>
      <c r="K28" s="18">
        <f>$H28*$I28</f>
        <v>110073.62000000001</v>
      </c>
      <c r="L28" s="1">
        <f t="shared" si="0"/>
        <v>70084.31</v>
      </c>
    </row>
    <row r="29" spans="1:12" x14ac:dyDescent="0.25">
      <c r="A29" s="7" t="s">
        <v>51</v>
      </c>
      <c r="B29" s="7" t="s">
        <v>48</v>
      </c>
      <c r="C29" s="7" t="s">
        <v>50</v>
      </c>
      <c r="D29" s="7" t="s">
        <v>42</v>
      </c>
      <c r="E29" s="7" t="s">
        <v>14</v>
      </c>
      <c r="F29" s="7" t="s">
        <v>20</v>
      </c>
      <c r="G29" s="1">
        <v>44949</v>
      </c>
      <c r="H29" s="7">
        <v>46</v>
      </c>
      <c r="I29" s="7">
        <v>373.42</v>
      </c>
      <c r="J29" s="7">
        <v>327.86</v>
      </c>
      <c r="K29" s="18">
        <f>$H29*$I29</f>
        <v>17177.32</v>
      </c>
      <c r="L29" s="1">
        <f t="shared" si="0"/>
        <v>2095.7600000000002</v>
      </c>
    </row>
    <row r="30" spans="1:12" x14ac:dyDescent="0.25">
      <c r="A30" s="7" t="s">
        <v>52</v>
      </c>
      <c r="B30" s="7" t="s">
        <v>17</v>
      </c>
      <c r="C30" s="7" t="s">
        <v>31</v>
      </c>
      <c r="D30" s="7" t="s">
        <v>42</v>
      </c>
      <c r="E30" s="7" t="s">
        <v>24</v>
      </c>
      <c r="F30" s="7" t="s">
        <v>28</v>
      </c>
      <c r="G30" s="1">
        <v>44950</v>
      </c>
      <c r="H30" s="7">
        <v>325</v>
      </c>
      <c r="I30" s="7">
        <v>436.56</v>
      </c>
      <c r="J30" s="7">
        <v>130.37</v>
      </c>
      <c r="K30" s="18">
        <f>$H30*$I30</f>
        <v>141882</v>
      </c>
      <c r="L30" s="1">
        <f t="shared" si="0"/>
        <v>99511.75</v>
      </c>
    </row>
    <row r="31" spans="1:12" x14ac:dyDescent="0.25">
      <c r="A31" s="7" t="s">
        <v>53</v>
      </c>
      <c r="B31" s="7" t="s">
        <v>17</v>
      </c>
      <c r="C31" s="7" t="s">
        <v>18</v>
      </c>
      <c r="D31" s="7" t="s">
        <v>42</v>
      </c>
      <c r="E31" s="7" t="s">
        <v>24</v>
      </c>
      <c r="F31" s="7" t="s">
        <v>28</v>
      </c>
      <c r="G31" s="1">
        <v>44951</v>
      </c>
      <c r="H31" s="7">
        <v>185</v>
      </c>
      <c r="I31" s="7">
        <v>219.66</v>
      </c>
      <c r="J31" s="7">
        <v>11.11</v>
      </c>
      <c r="K31" s="18">
        <f>$H31*$I31</f>
        <v>40637.1</v>
      </c>
      <c r="L31" s="1">
        <f t="shared" si="0"/>
        <v>38581.75</v>
      </c>
    </row>
    <row r="32" spans="1:12" x14ac:dyDescent="0.25">
      <c r="A32" s="7" t="s">
        <v>54</v>
      </c>
      <c r="B32" s="7" t="s">
        <v>48</v>
      </c>
      <c r="C32" s="7" t="s">
        <v>18</v>
      </c>
      <c r="D32" s="7" t="s">
        <v>13</v>
      </c>
      <c r="E32" s="7" t="s">
        <v>24</v>
      </c>
      <c r="F32" s="7" t="s">
        <v>15</v>
      </c>
      <c r="G32" s="1">
        <v>44952</v>
      </c>
      <c r="H32" s="7">
        <v>470</v>
      </c>
      <c r="I32" s="7">
        <v>26.61</v>
      </c>
      <c r="J32" s="7">
        <v>63.21</v>
      </c>
      <c r="K32" s="18">
        <f>$H32*$I32</f>
        <v>12506.699999999999</v>
      </c>
      <c r="L32" s="1">
        <f t="shared" si="0"/>
        <v>-17202</v>
      </c>
    </row>
    <row r="33" spans="1:12" x14ac:dyDescent="0.25">
      <c r="A33" s="7" t="s">
        <v>55</v>
      </c>
      <c r="B33" s="7" t="s">
        <v>48</v>
      </c>
      <c r="C33" s="7" t="s">
        <v>31</v>
      </c>
      <c r="D33" s="7" t="s">
        <v>27</v>
      </c>
      <c r="E33" s="7" t="s">
        <v>14</v>
      </c>
      <c r="F33" s="7" t="s">
        <v>28</v>
      </c>
      <c r="G33" s="1">
        <v>44953</v>
      </c>
      <c r="H33" s="7">
        <v>293</v>
      </c>
      <c r="I33" s="7">
        <v>85.03</v>
      </c>
      <c r="J33" s="7">
        <v>91</v>
      </c>
      <c r="K33" s="18">
        <f>$H33*$I33</f>
        <v>24913.79</v>
      </c>
      <c r="L33" s="1">
        <f t="shared" si="0"/>
        <v>-1749.2099999999996</v>
      </c>
    </row>
    <row r="34" spans="1:12" x14ac:dyDescent="0.25">
      <c r="A34" s="7" t="s">
        <v>56</v>
      </c>
      <c r="B34" s="7" t="s">
        <v>48</v>
      </c>
      <c r="C34" s="7" t="s">
        <v>31</v>
      </c>
      <c r="D34" s="7" t="s">
        <v>19</v>
      </c>
      <c r="E34" s="7" t="s">
        <v>14</v>
      </c>
      <c r="F34" s="7" t="s">
        <v>28</v>
      </c>
      <c r="G34" s="1">
        <v>44954</v>
      </c>
      <c r="H34" s="7">
        <v>462</v>
      </c>
      <c r="I34" s="7">
        <v>249.64</v>
      </c>
      <c r="J34" s="7">
        <v>383.01</v>
      </c>
      <c r="K34" s="18">
        <f>$H34*$I34</f>
        <v>115333.68</v>
      </c>
      <c r="L34" s="1">
        <f t="shared" si="0"/>
        <v>-61616.94</v>
      </c>
    </row>
    <row r="35" spans="1:12" x14ac:dyDescent="0.25">
      <c r="A35" s="7" t="s">
        <v>57</v>
      </c>
      <c r="B35" s="7" t="s">
        <v>17</v>
      </c>
      <c r="C35" s="7" t="s">
        <v>31</v>
      </c>
      <c r="D35" s="7" t="s">
        <v>13</v>
      </c>
      <c r="E35" s="7" t="s">
        <v>24</v>
      </c>
      <c r="F35" s="7" t="s">
        <v>20</v>
      </c>
      <c r="G35" s="1">
        <v>44955</v>
      </c>
      <c r="H35" s="7">
        <v>470</v>
      </c>
      <c r="I35" s="7">
        <v>328.37</v>
      </c>
      <c r="J35" s="7">
        <v>230.07</v>
      </c>
      <c r="K35" s="18">
        <f>$H35*$I35</f>
        <v>154333.9</v>
      </c>
      <c r="L35" s="1">
        <f t="shared" si="0"/>
        <v>46201.000000000007</v>
      </c>
    </row>
    <row r="36" spans="1:12" x14ac:dyDescent="0.25">
      <c r="A36" s="7" t="s">
        <v>58</v>
      </c>
      <c r="B36" s="7" t="s">
        <v>17</v>
      </c>
      <c r="C36" s="7" t="s">
        <v>12</v>
      </c>
      <c r="D36" s="7" t="s">
        <v>13</v>
      </c>
      <c r="E36" s="7" t="s">
        <v>14</v>
      </c>
      <c r="F36" s="7" t="s">
        <v>28</v>
      </c>
      <c r="G36" s="1">
        <v>44956</v>
      </c>
      <c r="H36" s="7">
        <v>90</v>
      </c>
      <c r="I36" s="7">
        <v>169.5</v>
      </c>
      <c r="J36" s="7">
        <v>373.23</v>
      </c>
      <c r="K36" s="18">
        <f>$H36*$I36</f>
        <v>15255</v>
      </c>
      <c r="L36" s="1">
        <f t="shared" si="0"/>
        <v>-18335.7</v>
      </c>
    </row>
    <row r="37" spans="1:12" x14ac:dyDescent="0.25">
      <c r="A37" s="7" t="s">
        <v>59</v>
      </c>
      <c r="B37" s="7" t="s">
        <v>17</v>
      </c>
      <c r="C37" s="7" t="s">
        <v>18</v>
      </c>
      <c r="D37" s="7" t="s">
        <v>13</v>
      </c>
      <c r="E37" s="7" t="s">
        <v>14</v>
      </c>
      <c r="F37" s="7" t="s">
        <v>20</v>
      </c>
      <c r="G37" s="1">
        <v>44957</v>
      </c>
      <c r="H37" s="7">
        <v>123</v>
      </c>
      <c r="I37" s="7">
        <v>273.52999999999997</v>
      </c>
      <c r="J37" s="7">
        <v>230.92</v>
      </c>
      <c r="K37" s="18">
        <f>$H37*$I37</f>
        <v>33644.189999999995</v>
      </c>
      <c r="L37" s="1">
        <f t="shared" si="0"/>
        <v>5241.0299999999979</v>
      </c>
    </row>
    <row r="38" spans="1:12" x14ac:dyDescent="0.25">
      <c r="A38" s="7" t="s">
        <v>60</v>
      </c>
      <c r="B38" s="7" t="s">
        <v>22</v>
      </c>
      <c r="C38" s="7" t="s">
        <v>12</v>
      </c>
      <c r="D38" s="7" t="s">
        <v>13</v>
      </c>
      <c r="E38" s="7" t="s">
        <v>14</v>
      </c>
      <c r="F38" s="7" t="s">
        <v>15</v>
      </c>
      <c r="G38" s="1">
        <v>44958</v>
      </c>
      <c r="H38" s="7">
        <v>49</v>
      </c>
      <c r="I38" s="7">
        <v>249.17</v>
      </c>
      <c r="J38" s="7">
        <v>192.78</v>
      </c>
      <c r="K38" s="18">
        <f>$H38*$I38</f>
        <v>12209.33</v>
      </c>
      <c r="L38" s="1">
        <f t="shared" si="0"/>
        <v>2763.1099999999992</v>
      </c>
    </row>
    <row r="39" spans="1:12" x14ac:dyDescent="0.25">
      <c r="A39" s="7" t="s">
        <v>61</v>
      </c>
      <c r="B39" s="7" t="s">
        <v>17</v>
      </c>
      <c r="C39" s="7" t="s">
        <v>31</v>
      </c>
      <c r="D39" s="7" t="s">
        <v>13</v>
      </c>
      <c r="E39" s="7" t="s">
        <v>14</v>
      </c>
      <c r="F39" s="7" t="s">
        <v>28</v>
      </c>
      <c r="G39" s="1">
        <v>44959</v>
      </c>
      <c r="H39" s="7">
        <v>310</v>
      </c>
      <c r="I39" s="7">
        <v>45.36</v>
      </c>
      <c r="J39" s="7">
        <v>126.86</v>
      </c>
      <c r="K39" s="18">
        <f>$H39*$I39</f>
        <v>14061.6</v>
      </c>
      <c r="L39" s="1">
        <f t="shared" si="0"/>
        <v>-25265</v>
      </c>
    </row>
    <row r="40" spans="1:12" x14ac:dyDescent="0.25">
      <c r="A40" s="7" t="s">
        <v>62</v>
      </c>
      <c r="B40" s="7" t="s">
        <v>48</v>
      </c>
      <c r="C40" s="7" t="s">
        <v>18</v>
      </c>
      <c r="D40" s="7" t="s">
        <v>23</v>
      </c>
      <c r="E40" s="7" t="s">
        <v>14</v>
      </c>
      <c r="F40" s="7" t="s">
        <v>20</v>
      </c>
      <c r="G40" s="1">
        <v>44960</v>
      </c>
      <c r="H40" s="7">
        <v>233</v>
      </c>
      <c r="I40" s="7">
        <v>204.61</v>
      </c>
      <c r="J40" s="7">
        <v>243.34</v>
      </c>
      <c r="K40" s="18">
        <f>$H40*$I40</f>
        <v>47674.130000000005</v>
      </c>
      <c r="L40" s="1">
        <f t="shared" si="0"/>
        <v>-9024.0899999999983</v>
      </c>
    </row>
    <row r="41" spans="1:12" x14ac:dyDescent="0.25">
      <c r="A41" s="7" t="s">
        <v>63</v>
      </c>
      <c r="B41" s="7" t="s">
        <v>48</v>
      </c>
      <c r="C41" s="7" t="s">
        <v>12</v>
      </c>
      <c r="D41" s="7" t="s">
        <v>19</v>
      </c>
      <c r="E41" s="7" t="s">
        <v>14</v>
      </c>
      <c r="F41" s="7" t="s">
        <v>15</v>
      </c>
      <c r="G41" s="1">
        <v>44961</v>
      </c>
      <c r="H41" s="7">
        <v>327</v>
      </c>
      <c r="I41" s="7">
        <v>114.18</v>
      </c>
      <c r="J41" s="7">
        <v>57.4</v>
      </c>
      <c r="K41" s="18">
        <f>$H41*$I41</f>
        <v>37336.86</v>
      </c>
      <c r="L41" s="1">
        <f t="shared" si="0"/>
        <v>18567.060000000001</v>
      </c>
    </row>
    <row r="42" spans="1:12" x14ac:dyDescent="0.25">
      <c r="A42" s="7" t="s">
        <v>64</v>
      </c>
      <c r="B42" s="7" t="s">
        <v>22</v>
      </c>
      <c r="C42" s="7" t="s">
        <v>12</v>
      </c>
      <c r="D42" s="7" t="s">
        <v>13</v>
      </c>
      <c r="E42" s="7" t="s">
        <v>14</v>
      </c>
      <c r="F42" s="7" t="s">
        <v>28</v>
      </c>
      <c r="G42" s="1">
        <v>44962</v>
      </c>
      <c r="H42" s="7">
        <v>358</v>
      </c>
      <c r="I42" s="7">
        <v>212.11</v>
      </c>
      <c r="J42" s="7">
        <v>359.51</v>
      </c>
      <c r="K42" s="18">
        <f>$H42*$I42</f>
        <v>75935.38</v>
      </c>
      <c r="L42" s="1">
        <f t="shared" si="0"/>
        <v>-52769.19999999999</v>
      </c>
    </row>
    <row r="43" spans="1:12" x14ac:dyDescent="0.25">
      <c r="A43" s="7" t="s">
        <v>65</v>
      </c>
      <c r="B43" s="7" t="s">
        <v>17</v>
      </c>
      <c r="C43" s="7" t="s">
        <v>31</v>
      </c>
      <c r="D43" s="7" t="s">
        <v>19</v>
      </c>
      <c r="E43" s="7" t="s">
        <v>14</v>
      </c>
      <c r="F43" s="7" t="s">
        <v>15</v>
      </c>
      <c r="G43" s="1">
        <v>44963</v>
      </c>
      <c r="H43" s="7">
        <v>124</v>
      </c>
      <c r="I43" s="7">
        <v>249.64</v>
      </c>
      <c r="J43" s="7">
        <v>332.07</v>
      </c>
      <c r="K43" s="18">
        <f>$H43*$I43</f>
        <v>30955.359999999997</v>
      </c>
      <c r="L43" s="1">
        <f t="shared" si="0"/>
        <v>-10221.320000000002</v>
      </c>
    </row>
    <row r="44" spans="1:12" x14ac:dyDescent="0.25">
      <c r="A44" s="7" t="s">
        <v>66</v>
      </c>
      <c r="B44" s="7" t="s">
        <v>22</v>
      </c>
      <c r="C44" s="7" t="s">
        <v>18</v>
      </c>
      <c r="D44" s="7" t="s">
        <v>23</v>
      </c>
      <c r="E44" s="7" t="s">
        <v>14</v>
      </c>
      <c r="F44" s="7" t="s">
        <v>28</v>
      </c>
      <c r="G44" s="1">
        <v>44964</v>
      </c>
      <c r="H44" s="7">
        <v>195</v>
      </c>
      <c r="I44" s="7">
        <v>421.02</v>
      </c>
      <c r="J44" s="7">
        <v>128.38</v>
      </c>
      <c r="K44" s="18">
        <f>$H44*$I44</f>
        <v>82098.899999999994</v>
      </c>
      <c r="L44" s="1">
        <f t="shared" si="0"/>
        <v>57064.799999999996</v>
      </c>
    </row>
    <row r="45" spans="1:12" x14ac:dyDescent="0.25">
      <c r="A45" s="7" t="s">
        <v>67</v>
      </c>
      <c r="B45" s="7" t="s">
        <v>22</v>
      </c>
      <c r="C45" s="7" t="s">
        <v>31</v>
      </c>
      <c r="D45" s="7" t="s">
        <v>23</v>
      </c>
      <c r="E45" s="7" t="s">
        <v>14</v>
      </c>
      <c r="F45" s="7" t="s">
        <v>15</v>
      </c>
      <c r="G45" s="1">
        <v>44965</v>
      </c>
      <c r="H45" s="7">
        <v>255.9</v>
      </c>
      <c r="I45" s="7">
        <v>91.23</v>
      </c>
      <c r="J45" s="7">
        <v>381.21</v>
      </c>
      <c r="K45" s="18">
        <f>$H45*$I45</f>
        <v>23345.757000000001</v>
      </c>
      <c r="L45" s="1">
        <f t="shared" si="0"/>
        <v>-74205.881999999998</v>
      </c>
    </row>
    <row r="46" spans="1:12" x14ac:dyDescent="0.25">
      <c r="A46" s="7" t="s">
        <v>68</v>
      </c>
      <c r="B46" s="7" t="s">
        <v>11</v>
      </c>
      <c r="C46" s="7" t="s">
        <v>18</v>
      </c>
      <c r="D46" s="7" t="s">
        <v>19</v>
      </c>
      <c r="E46" s="7" t="s">
        <v>24</v>
      </c>
      <c r="F46" s="7" t="s">
        <v>15</v>
      </c>
      <c r="G46" s="1">
        <v>44966</v>
      </c>
      <c r="H46" s="7">
        <v>65</v>
      </c>
      <c r="I46" s="7">
        <v>480.59</v>
      </c>
      <c r="J46" s="7">
        <v>330.43</v>
      </c>
      <c r="K46" s="18">
        <f>$H46*$I46</f>
        <v>31238.35</v>
      </c>
      <c r="L46" s="1">
        <f t="shared" si="0"/>
        <v>9760.3999999999978</v>
      </c>
    </row>
    <row r="47" spans="1:12" x14ac:dyDescent="0.25">
      <c r="A47" s="7" t="s">
        <v>69</v>
      </c>
      <c r="B47" s="7" t="s">
        <v>11</v>
      </c>
      <c r="C47" s="7" t="s">
        <v>50</v>
      </c>
      <c r="D47" s="7" t="s">
        <v>42</v>
      </c>
      <c r="E47" s="7" t="s">
        <v>24</v>
      </c>
      <c r="F47" s="7" t="s">
        <v>20</v>
      </c>
      <c r="G47" s="1">
        <v>44967</v>
      </c>
      <c r="H47" s="7">
        <v>49</v>
      </c>
      <c r="I47" s="7">
        <v>210.87</v>
      </c>
      <c r="J47" s="7">
        <v>267.19</v>
      </c>
      <c r="K47" s="18">
        <f>$H47*$I47</f>
        <v>10332.630000000001</v>
      </c>
      <c r="L47" s="1">
        <f t="shared" si="0"/>
        <v>-2759.68</v>
      </c>
    </row>
    <row r="48" spans="1:12" x14ac:dyDescent="0.25">
      <c r="A48" s="7" t="s">
        <v>70</v>
      </c>
      <c r="B48" s="7" t="s">
        <v>11</v>
      </c>
      <c r="C48" s="7" t="s">
        <v>26</v>
      </c>
      <c r="D48" s="7" t="s">
        <v>27</v>
      </c>
      <c r="E48" s="7" t="s">
        <v>14</v>
      </c>
      <c r="F48" s="7" t="s">
        <v>15</v>
      </c>
      <c r="G48" s="1">
        <v>44968</v>
      </c>
      <c r="H48" s="7">
        <v>363</v>
      </c>
      <c r="I48" s="7">
        <v>423.89</v>
      </c>
      <c r="J48" s="7">
        <v>50.46</v>
      </c>
      <c r="K48" s="18">
        <f>$H48*$I48</f>
        <v>153872.07</v>
      </c>
      <c r="L48" s="1">
        <f t="shared" si="0"/>
        <v>135555.09</v>
      </c>
    </row>
    <row r="49" spans="1:12" x14ac:dyDescent="0.25">
      <c r="A49" s="7" t="s">
        <v>71</v>
      </c>
      <c r="B49" s="7" t="s">
        <v>48</v>
      </c>
      <c r="C49" s="7" t="s">
        <v>26</v>
      </c>
      <c r="D49" s="7" t="s">
        <v>42</v>
      </c>
      <c r="E49" s="7" t="s">
        <v>24</v>
      </c>
      <c r="F49" s="7" t="s">
        <v>28</v>
      </c>
      <c r="G49" s="1">
        <v>44969</v>
      </c>
      <c r="H49" s="7">
        <v>49</v>
      </c>
      <c r="I49" s="7">
        <v>316.24</v>
      </c>
      <c r="J49" s="7">
        <v>192.34</v>
      </c>
      <c r="K49" s="18">
        <f>$H49*$I49</f>
        <v>15495.76</v>
      </c>
      <c r="L49" s="1">
        <f t="shared" si="0"/>
        <v>6071.1</v>
      </c>
    </row>
    <row r="50" spans="1:12" x14ac:dyDescent="0.25">
      <c r="A50" s="7" t="s">
        <v>72</v>
      </c>
      <c r="B50" s="7" t="s">
        <v>17</v>
      </c>
      <c r="C50" s="7" t="s">
        <v>26</v>
      </c>
      <c r="D50" s="7" t="s">
        <v>42</v>
      </c>
      <c r="E50" s="7" t="s">
        <v>24</v>
      </c>
      <c r="F50" s="7" t="s">
        <v>28</v>
      </c>
      <c r="G50" s="1">
        <v>44970</v>
      </c>
      <c r="H50" s="7">
        <v>356</v>
      </c>
      <c r="I50" s="7">
        <v>369</v>
      </c>
      <c r="J50" s="7">
        <v>203.43</v>
      </c>
      <c r="K50" s="18">
        <f>$H50*$I50</f>
        <v>131364</v>
      </c>
      <c r="L50" s="1">
        <f t="shared" si="0"/>
        <v>58942.92</v>
      </c>
    </row>
    <row r="51" spans="1:12" x14ac:dyDescent="0.25">
      <c r="A51" s="7" t="s">
        <v>73</v>
      </c>
      <c r="B51" s="7" t="s">
        <v>17</v>
      </c>
      <c r="C51" s="7" t="s">
        <v>31</v>
      </c>
      <c r="D51" s="7" t="s">
        <v>42</v>
      </c>
      <c r="E51" s="7" t="s">
        <v>14</v>
      </c>
      <c r="F51" s="7" t="s">
        <v>20</v>
      </c>
      <c r="G51" s="1">
        <v>44971</v>
      </c>
      <c r="H51" s="7">
        <v>470</v>
      </c>
      <c r="I51" s="7">
        <v>249.64</v>
      </c>
      <c r="J51" s="7">
        <v>94.56</v>
      </c>
      <c r="K51" s="18">
        <f>$H51*$I51</f>
        <v>117330.79999999999</v>
      </c>
      <c r="L51" s="1">
        <f t="shared" si="0"/>
        <v>72887.599999999991</v>
      </c>
    </row>
    <row r="52" spans="1:12" x14ac:dyDescent="0.25">
      <c r="A52" s="7" t="s">
        <v>74</v>
      </c>
      <c r="B52" s="7" t="s">
        <v>17</v>
      </c>
      <c r="C52" s="7" t="s">
        <v>50</v>
      </c>
      <c r="D52" s="7" t="s">
        <v>13</v>
      </c>
      <c r="E52" s="7" t="s">
        <v>14</v>
      </c>
      <c r="F52" s="7" t="s">
        <v>28</v>
      </c>
      <c r="G52" s="1">
        <v>44972</v>
      </c>
      <c r="H52" s="7">
        <v>246</v>
      </c>
      <c r="I52" s="7">
        <v>254.9</v>
      </c>
      <c r="J52" s="7">
        <v>33.83</v>
      </c>
      <c r="K52" s="18">
        <f>$H52*$I52</f>
        <v>62705.4</v>
      </c>
      <c r="L52" s="1">
        <f t="shared" si="0"/>
        <v>54383.22</v>
      </c>
    </row>
    <row r="53" spans="1:12" x14ac:dyDescent="0.25">
      <c r="A53" s="7" t="s">
        <v>75</v>
      </c>
      <c r="B53" s="7" t="s">
        <v>17</v>
      </c>
      <c r="C53" s="7" t="s">
        <v>18</v>
      </c>
      <c r="D53" s="7" t="s">
        <v>23</v>
      </c>
      <c r="E53" s="7" t="s">
        <v>14</v>
      </c>
      <c r="F53" s="7" t="s">
        <v>28</v>
      </c>
      <c r="G53" s="1">
        <v>44973</v>
      </c>
      <c r="H53" s="7">
        <v>298</v>
      </c>
      <c r="I53" s="7">
        <v>273.93</v>
      </c>
      <c r="J53" s="7">
        <v>311.14</v>
      </c>
      <c r="K53" s="18">
        <f>$H53*$I53</f>
        <v>81631.14</v>
      </c>
      <c r="L53" s="1">
        <f t="shared" si="0"/>
        <v>-11088.579999999994</v>
      </c>
    </row>
    <row r="54" spans="1:12" x14ac:dyDescent="0.25">
      <c r="A54" s="7" t="s">
        <v>76</v>
      </c>
      <c r="B54" s="7" t="s">
        <v>11</v>
      </c>
      <c r="C54" s="7" t="s">
        <v>12</v>
      </c>
      <c r="D54" s="7" t="s">
        <v>42</v>
      </c>
      <c r="E54" s="7" t="s">
        <v>24</v>
      </c>
      <c r="F54" s="7" t="s">
        <v>28</v>
      </c>
      <c r="G54" s="1">
        <v>44974</v>
      </c>
      <c r="H54" s="7">
        <v>271</v>
      </c>
      <c r="I54" s="7">
        <v>259.43</v>
      </c>
      <c r="J54" s="7">
        <v>50.57</v>
      </c>
      <c r="K54" s="18">
        <f>$H54*$I54</f>
        <v>70305.53</v>
      </c>
      <c r="L54" s="1">
        <f t="shared" si="0"/>
        <v>56601.060000000005</v>
      </c>
    </row>
    <row r="55" spans="1:12" x14ac:dyDescent="0.25">
      <c r="A55" s="7" t="s">
        <v>77</v>
      </c>
      <c r="B55" s="7" t="s">
        <v>48</v>
      </c>
      <c r="C55" s="7" t="s">
        <v>18</v>
      </c>
      <c r="D55" s="7" t="s">
        <v>23</v>
      </c>
      <c r="E55" s="7" t="s">
        <v>24</v>
      </c>
      <c r="F55" s="7" t="s">
        <v>15</v>
      </c>
      <c r="G55" s="1">
        <v>44975</v>
      </c>
      <c r="H55" s="7">
        <v>225</v>
      </c>
      <c r="I55" s="7">
        <v>296.08999999999997</v>
      </c>
      <c r="J55" s="7">
        <v>238.53</v>
      </c>
      <c r="K55" s="18">
        <f>$H55*$I55</f>
        <v>66620.25</v>
      </c>
      <c r="L55" s="1">
        <f t="shared" si="0"/>
        <v>12950.999999999995</v>
      </c>
    </row>
    <row r="56" spans="1:12" x14ac:dyDescent="0.25">
      <c r="A56" s="7" t="s">
        <v>78</v>
      </c>
      <c r="B56" s="7" t="s">
        <v>48</v>
      </c>
      <c r="C56" s="7" t="s">
        <v>12</v>
      </c>
      <c r="D56" s="7" t="s">
        <v>19</v>
      </c>
      <c r="E56" s="7" t="s">
        <v>14</v>
      </c>
      <c r="F56" s="7" t="s">
        <v>15</v>
      </c>
      <c r="G56" s="1">
        <v>44976</v>
      </c>
      <c r="H56" s="7">
        <v>156</v>
      </c>
      <c r="I56" s="7">
        <v>19.55</v>
      </c>
      <c r="J56" s="7">
        <v>374.71</v>
      </c>
      <c r="K56" s="18">
        <f>$H56*$I56</f>
        <v>3049.8</v>
      </c>
      <c r="L56" s="1">
        <f t="shared" si="0"/>
        <v>-55404.959999999992</v>
      </c>
    </row>
    <row r="57" spans="1:12" x14ac:dyDescent="0.25">
      <c r="A57" s="7" t="s">
        <v>79</v>
      </c>
      <c r="B57" s="7" t="s">
        <v>11</v>
      </c>
      <c r="C57" s="7" t="s">
        <v>18</v>
      </c>
      <c r="D57" s="7" t="s">
        <v>27</v>
      </c>
      <c r="E57" s="7" t="s">
        <v>14</v>
      </c>
      <c r="F57" s="7" t="s">
        <v>28</v>
      </c>
      <c r="G57" s="1">
        <v>44977</v>
      </c>
      <c r="H57" s="7">
        <v>345</v>
      </c>
      <c r="I57" s="7">
        <v>200.78</v>
      </c>
      <c r="J57" s="7">
        <v>350.69</v>
      </c>
      <c r="K57" s="18">
        <f>$H57*$I57</f>
        <v>69269.100000000006</v>
      </c>
      <c r="L57" s="1">
        <f t="shared" si="0"/>
        <v>-51718.95</v>
      </c>
    </row>
    <row r="58" spans="1:12" x14ac:dyDescent="0.25">
      <c r="A58" s="7" t="s">
        <v>80</v>
      </c>
      <c r="B58" s="7" t="s">
        <v>48</v>
      </c>
      <c r="C58" s="7" t="s">
        <v>50</v>
      </c>
      <c r="D58" s="7" t="s">
        <v>19</v>
      </c>
      <c r="E58" s="7" t="s">
        <v>14</v>
      </c>
      <c r="F58" s="7" t="s">
        <v>20</v>
      </c>
      <c r="G58" s="1">
        <v>44978</v>
      </c>
      <c r="H58" s="7">
        <v>177</v>
      </c>
      <c r="I58" s="7">
        <v>305.06</v>
      </c>
      <c r="J58" s="7">
        <v>112.55</v>
      </c>
      <c r="K58" s="18">
        <f>$H58*$I58</f>
        <v>53995.62</v>
      </c>
      <c r="L58" s="1">
        <f t="shared" si="0"/>
        <v>34074.269999999997</v>
      </c>
    </row>
    <row r="59" spans="1:12" x14ac:dyDescent="0.25">
      <c r="A59" s="7" t="s">
        <v>81</v>
      </c>
      <c r="B59" s="7" t="s">
        <v>11</v>
      </c>
      <c r="C59" s="7" t="s">
        <v>12</v>
      </c>
      <c r="D59" s="7" t="s">
        <v>19</v>
      </c>
      <c r="E59" s="7" t="s">
        <v>24</v>
      </c>
      <c r="F59" s="7" t="s">
        <v>15</v>
      </c>
      <c r="G59" s="1">
        <v>44979</v>
      </c>
      <c r="H59" s="7">
        <v>101</v>
      </c>
      <c r="I59" s="7">
        <v>300.87</v>
      </c>
      <c r="J59" s="7">
        <v>340.88</v>
      </c>
      <c r="K59" s="18">
        <f>$H59*$I59</f>
        <v>30387.87</v>
      </c>
      <c r="L59" s="1">
        <f t="shared" si="0"/>
        <v>-4041.0099999999993</v>
      </c>
    </row>
    <row r="60" spans="1:12" x14ac:dyDescent="0.25">
      <c r="A60" s="7" t="s">
        <v>82</v>
      </c>
      <c r="B60" s="7" t="s">
        <v>17</v>
      </c>
      <c r="C60" s="7" t="s">
        <v>31</v>
      </c>
      <c r="D60" s="7" t="s">
        <v>13</v>
      </c>
      <c r="E60" s="7" t="s">
        <v>24</v>
      </c>
      <c r="F60" s="7" t="s">
        <v>20</v>
      </c>
      <c r="G60" s="1">
        <v>44980</v>
      </c>
      <c r="H60" s="7">
        <v>362</v>
      </c>
      <c r="I60" s="7">
        <v>397.51</v>
      </c>
      <c r="J60" s="7">
        <v>2.13</v>
      </c>
      <c r="K60" s="18">
        <f>$H60*$I60</f>
        <v>143898.62</v>
      </c>
      <c r="L60" s="1">
        <f t="shared" si="0"/>
        <v>143127.56</v>
      </c>
    </row>
    <row r="61" spans="1:12" x14ac:dyDescent="0.25">
      <c r="A61" s="7" t="s">
        <v>83</v>
      </c>
      <c r="B61" s="7" t="s">
        <v>11</v>
      </c>
      <c r="C61" s="7" t="s">
        <v>18</v>
      </c>
      <c r="D61" s="7" t="s">
        <v>27</v>
      </c>
      <c r="E61" s="7" t="s">
        <v>24</v>
      </c>
      <c r="F61" s="7" t="s">
        <v>28</v>
      </c>
      <c r="G61" s="1">
        <v>44981</v>
      </c>
      <c r="H61" s="7">
        <v>68</v>
      </c>
      <c r="I61" s="7">
        <v>329.23</v>
      </c>
      <c r="J61" s="7">
        <v>9.0399999999999991</v>
      </c>
      <c r="K61" s="18">
        <f>$H61*$I61</f>
        <v>22387.64</v>
      </c>
      <c r="L61" s="1">
        <f t="shared" si="0"/>
        <v>21772.92</v>
      </c>
    </row>
    <row r="62" spans="1:12" x14ac:dyDescent="0.25">
      <c r="A62" s="7" t="s">
        <v>84</v>
      </c>
      <c r="B62" s="7" t="s">
        <v>17</v>
      </c>
      <c r="C62" s="7" t="s">
        <v>18</v>
      </c>
      <c r="D62" s="7" t="s">
        <v>19</v>
      </c>
      <c r="E62" s="7" t="s">
        <v>24</v>
      </c>
      <c r="F62" s="7" t="s">
        <v>28</v>
      </c>
      <c r="G62" s="1">
        <v>44982</v>
      </c>
      <c r="H62" s="7">
        <v>68</v>
      </c>
      <c r="I62" s="7">
        <v>496.11</v>
      </c>
      <c r="J62" s="7">
        <v>241.82</v>
      </c>
      <c r="K62" s="18">
        <f>$H62*$I62</f>
        <v>33735.480000000003</v>
      </c>
      <c r="L62" s="1">
        <f t="shared" si="0"/>
        <v>17291.72</v>
      </c>
    </row>
    <row r="63" spans="1:12" x14ac:dyDescent="0.25">
      <c r="A63" s="7" t="s">
        <v>85</v>
      </c>
      <c r="B63" s="7" t="s">
        <v>17</v>
      </c>
      <c r="C63" s="7" t="s">
        <v>12</v>
      </c>
      <c r="D63" s="7" t="s">
        <v>19</v>
      </c>
      <c r="E63" s="7" t="s">
        <v>14</v>
      </c>
      <c r="F63" s="7" t="s">
        <v>15</v>
      </c>
      <c r="G63" s="1">
        <v>44983</v>
      </c>
      <c r="H63" s="7">
        <v>313</v>
      </c>
      <c r="I63" s="7">
        <v>145.51</v>
      </c>
      <c r="J63" s="7">
        <v>147.19</v>
      </c>
      <c r="K63" s="18">
        <f>$H63*$I63</f>
        <v>45544.63</v>
      </c>
      <c r="L63" s="1">
        <f t="shared" si="0"/>
        <v>-525.84000000000219</v>
      </c>
    </row>
    <row r="64" spans="1:12" x14ac:dyDescent="0.25">
      <c r="A64" s="7" t="s">
        <v>86</v>
      </c>
      <c r="B64" s="7" t="s">
        <v>22</v>
      </c>
      <c r="C64" s="7" t="s">
        <v>31</v>
      </c>
      <c r="D64" s="7" t="s">
        <v>27</v>
      </c>
      <c r="E64" s="7" t="s">
        <v>14</v>
      </c>
      <c r="F64" s="7" t="s">
        <v>28</v>
      </c>
      <c r="G64" s="1">
        <v>44984</v>
      </c>
      <c r="H64" s="7">
        <v>178</v>
      </c>
      <c r="I64" s="7">
        <v>182.78</v>
      </c>
      <c r="J64" s="7">
        <v>155.81</v>
      </c>
      <c r="K64" s="18">
        <f>$H64*$I64</f>
        <v>32534.84</v>
      </c>
      <c r="L64" s="1">
        <f t="shared" si="0"/>
        <v>4800.66</v>
      </c>
    </row>
    <row r="65" spans="1:12" x14ac:dyDescent="0.25">
      <c r="A65" s="7" t="s">
        <v>87</v>
      </c>
      <c r="B65" s="7" t="s">
        <v>11</v>
      </c>
      <c r="C65" s="7" t="s">
        <v>31</v>
      </c>
      <c r="D65" s="7" t="s">
        <v>27</v>
      </c>
      <c r="E65" s="7" t="s">
        <v>14</v>
      </c>
      <c r="F65" s="7" t="s">
        <v>15</v>
      </c>
      <c r="G65" s="1">
        <v>44985</v>
      </c>
      <c r="H65" s="7">
        <v>278</v>
      </c>
      <c r="I65" s="7">
        <v>195</v>
      </c>
      <c r="J65" s="7">
        <v>226.65</v>
      </c>
      <c r="K65" s="18">
        <f>$H65*$I65</f>
        <v>54210</v>
      </c>
      <c r="L65" s="1">
        <f t="shared" si="0"/>
        <v>-8798.7000000000007</v>
      </c>
    </row>
    <row r="66" spans="1:12" x14ac:dyDescent="0.25">
      <c r="A66" s="7" t="s">
        <v>88</v>
      </c>
      <c r="B66" s="7" t="s">
        <v>22</v>
      </c>
      <c r="C66" s="7" t="s">
        <v>50</v>
      </c>
      <c r="D66" s="7" t="s">
        <v>19</v>
      </c>
      <c r="E66" s="7" t="s">
        <v>14</v>
      </c>
      <c r="F66" s="7" t="s">
        <v>28</v>
      </c>
      <c r="G66" s="1">
        <v>44986</v>
      </c>
      <c r="H66" s="7">
        <v>372</v>
      </c>
      <c r="I66" s="7">
        <v>235.58</v>
      </c>
      <c r="J66" s="7">
        <v>78.33</v>
      </c>
      <c r="K66" s="18">
        <f>$H66*$I66</f>
        <v>87635.760000000009</v>
      </c>
      <c r="L66" s="1">
        <f t="shared" si="0"/>
        <v>58497</v>
      </c>
    </row>
    <row r="67" spans="1:12" x14ac:dyDescent="0.25">
      <c r="A67" s="7" t="s">
        <v>89</v>
      </c>
      <c r="B67" s="7" t="s">
        <v>11</v>
      </c>
      <c r="C67" s="7" t="s">
        <v>31</v>
      </c>
      <c r="D67" s="7" t="s">
        <v>27</v>
      </c>
      <c r="E67" s="7" t="s">
        <v>24</v>
      </c>
      <c r="F67" s="7" t="s">
        <v>28</v>
      </c>
      <c r="G67" s="1">
        <v>44987</v>
      </c>
      <c r="H67" s="7">
        <v>54</v>
      </c>
      <c r="I67" s="7">
        <v>418.82</v>
      </c>
      <c r="J67" s="7">
        <v>86.28</v>
      </c>
      <c r="K67" s="18">
        <f>$H67*$I67</f>
        <v>22616.28</v>
      </c>
      <c r="L67" s="1">
        <f t="shared" si="0"/>
        <v>17957.159999999996</v>
      </c>
    </row>
    <row r="68" spans="1:12" x14ac:dyDescent="0.25">
      <c r="A68" s="7" t="s">
        <v>90</v>
      </c>
      <c r="B68" s="7" t="s">
        <v>11</v>
      </c>
      <c r="C68" s="7" t="s">
        <v>31</v>
      </c>
      <c r="D68" s="7" t="s">
        <v>19</v>
      </c>
      <c r="E68" s="7" t="s">
        <v>24</v>
      </c>
      <c r="F68" s="7" t="s">
        <v>15</v>
      </c>
      <c r="G68" s="1">
        <v>44988</v>
      </c>
      <c r="H68" s="7">
        <v>354</v>
      </c>
      <c r="I68" s="7">
        <v>121.72</v>
      </c>
      <c r="J68" s="7">
        <v>194.87</v>
      </c>
      <c r="K68" s="18">
        <f>$H68*$I68</f>
        <v>43088.88</v>
      </c>
      <c r="L68" s="1">
        <f t="shared" si="0"/>
        <v>-25895.100000000002</v>
      </c>
    </row>
    <row r="69" spans="1:12" x14ac:dyDescent="0.25">
      <c r="A69" s="7" t="s">
        <v>91</v>
      </c>
      <c r="B69" s="7" t="s">
        <v>22</v>
      </c>
      <c r="C69" s="7" t="s">
        <v>31</v>
      </c>
      <c r="D69" s="7" t="s">
        <v>19</v>
      </c>
      <c r="E69" s="7" t="s">
        <v>14</v>
      </c>
      <c r="F69" s="7" t="s">
        <v>15</v>
      </c>
      <c r="G69" s="1">
        <v>44989</v>
      </c>
      <c r="H69" s="7">
        <v>190</v>
      </c>
      <c r="I69" s="7">
        <v>389.12</v>
      </c>
      <c r="J69" s="7">
        <v>302.19</v>
      </c>
      <c r="K69" s="18">
        <f>$H69*$I69</f>
        <v>73932.800000000003</v>
      </c>
      <c r="L69" s="1">
        <f t="shared" si="0"/>
        <v>16516.7</v>
      </c>
    </row>
    <row r="70" spans="1:12" x14ac:dyDescent="0.25">
      <c r="A70" s="7" t="s">
        <v>92</v>
      </c>
      <c r="B70" s="7" t="s">
        <v>22</v>
      </c>
      <c r="C70" s="7" t="s">
        <v>26</v>
      </c>
      <c r="D70" s="7" t="s">
        <v>13</v>
      </c>
      <c r="E70" s="7" t="s">
        <v>14</v>
      </c>
      <c r="F70" s="7" t="s">
        <v>15</v>
      </c>
      <c r="G70" s="1">
        <v>44990</v>
      </c>
      <c r="H70" s="7">
        <v>179</v>
      </c>
      <c r="I70" s="7">
        <v>205.63</v>
      </c>
      <c r="J70" s="7">
        <v>248.56</v>
      </c>
      <c r="K70" s="18">
        <f>$H70*$I70</f>
        <v>36807.769999999997</v>
      </c>
      <c r="L70" s="1">
        <f t="shared" si="0"/>
        <v>-7684.4700000000012</v>
      </c>
    </row>
    <row r="71" spans="1:12" x14ac:dyDescent="0.25">
      <c r="A71" s="7" t="s">
        <v>93</v>
      </c>
      <c r="B71" s="7" t="s">
        <v>11</v>
      </c>
      <c r="C71" s="7" t="s">
        <v>50</v>
      </c>
      <c r="D71" s="7" t="s">
        <v>42</v>
      </c>
      <c r="E71" s="7" t="s">
        <v>24</v>
      </c>
      <c r="F71" s="7" t="s">
        <v>28</v>
      </c>
      <c r="G71" s="1">
        <v>44991</v>
      </c>
      <c r="H71" s="7">
        <v>365</v>
      </c>
      <c r="I71" s="7">
        <v>302.92</v>
      </c>
      <c r="J71" s="7">
        <v>120.35</v>
      </c>
      <c r="K71" s="18">
        <f>$H71*$I71</f>
        <v>110565.8</v>
      </c>
      <c r="L71" s="1">
        <f t="shared" si="0"/>
        <v>66638.05</v>
      </c>
    </row>
    <row r="72" spans="1:12" x14ac:dyDescent="0.25">
      <c r="A72" s="7" t="s">
        <v>94</v>
      </c>
      <c r="B72" s="7" t="s">
        <v>48</v>
      </c>
      <c r="C72" s="7" t="s">
        <v>18</v>
      </c>
      <c r="D72" s="7" t="s">
        <v>19</v>
      </c>
      <c r="E72" s="7" t="s">
        <v>14</v>
      </c>
      <c r="F72" s="7" t="s">
        <v>28</v>
      </c>
      <c r="G72" s="1">
        <v>44992</v>
      </c>
      <c r="H72" s="7">
        <v>200</v>
      </c>
      <c r="I72" s="7">
        <v>318.11</v>
      </c>
      <c r="J72" s="7">
        <v>173.27</v>
      </c>
      <c r="K72" s="18">
        <f>$H72*$I72</f>
        <v>63622</v>
      </c>
      <c r="L72" s="1">
        <f t="shared" ref="L72:L135" si="1">($I72-$J72)*$H72</f>
        <v>28968</v>
      </c>
    </row>
    <row r="73" spans="1:12" x14ac:dyDescent="0.25">
      <c r="A73" s="7" t="s">
        <v>95</v>
      </c>
      <c r="B73" s="7" t="s">
        <v>17</v>
      </c>
      <c r="C73" s="7" t="s">
        <v>12</v>
      </c>
      <c r="D73" s="7" t="s">
        <v>23</v>
      </c>
      <c r="E73" s="7" t="s">
        <v>24</v>
      </c>
      <c r="F73" s="7" t="s">
        <v>20</v>
      </c>
      <c r="G73" s="1">
        <v>44993</v>
      </c>
      <c r="H73" s="7">
        <v>164</v>
      </c>
      <c r="I73" s="7">
        <v>189.56</v>
      </c>
      <c r="J73" s="7">
        <v>69.92</v>
      </c>
      <c r="K73" s="18">
        <f>$H73*$I73</f>
        <v>31087.84</v>
      </c>
      <c r="L73" s="1">
        <f t="shared" si="1"/>
        <v>19620.96</v>
      </c>
    </row>
    <row r="74" spans="1:12" x14ac:dyDescent="0.25">
      <c r="A74" s="7" t="s">
        <v>96</v>
      </c>
      <c r="B74" s="7" t="s">
        <v>22</v>
      </c>
      <c r="C74" s="7" t="s">
        <v>18</v>
      </c>
      <c r="D74" s="7" t="s">
        <v>42</v>
      </c>
      <c r="E74" s="7" t="s">
        <v>14</v>
      </c>
      <c r="F74" s="7" t="s">
        <v>15</v>
      </c>
      <c r="G74" s="1">
        <v>44994</v>
      </c>
      <c r="H74" s="7">
        <v>431</v>
      </c>
      <c r="I74" s="7">
        <v>258.74</v>
      </c>
      <c r="J74" s="7">
        <v>31.7</v>
      </c>
      <c r="K74" s="18">
        <f>$H74*$I74</f>
        <v>111516.94</v>
      </c>
      <c r="L74" s="1">
        <f t="shared" si="1"/>
        <v>97854.24</v>
      </c>
    </row>
    <row r="75" spans="1:12" x14ac:dyDescent="0.25">
      <c r="A75" s="7" t="s">
        <v>97</v>
      </c>
      <c r="B75" s="7" t="s">
        <v>17</v>
      </c>
      <c r="C75" s="7" t="s">
        <v>50</v>
      </c>
      <c r="D75" s="7" t="s">
        <v>42</v>
      </c>
      <c r="E75" s="7" t="s">
        <v>14</v>
      </c>
      <c r="F75" s="7" t="s">
        <v>28</v>
      </c>
      <c r="G75" s="1">
        <v>44995</v>
      </c>
      <c r="H75" s="7">
        <v>197</v>
      </c>
      <c r="I75" s="7">
        <v>209.45</v>
      </c>
      <c r="J75" s="7">
        <v>313.51</v>
      </c>
      <c r="K75" s="18">
        <f>$H75*$I75</f>
        <v>41261.649999999994</v>
      </c>
      <c r="L75" s="1">
        <f t="shared" si="1"/>
        <v>-20499.82</v>
      </c>
    </row>
    <row r="76" spans="1:12" x14ac:dyDescent="0.25">
      <c r="A76" s="7" t="s">
        <v>98</v>
      </c>
      <c r="B76" s="7" t="s">
        <v>48</v>
      </c>
      <c r="C76" s="7" t="s">
        <v>12</v>
      </c>
      <c r="D76" s="7" t="s">
        <v>42</v>
      </c>
      <c r="E76" s="7" t="s">
        <v>14</v>
      </c>
      <c r="F76" s="7" t="s">
        <v>28</v>
      </c>
      <c r="G76" s="1">
        <v>44996</v>
      </c>
      <c r="H76" s="7">
        <v>16</v>
      </c>
      <c r="I76" s="7">
        <v>39.22</v>
      </c>
      <c r="J76" s="7">
        <v>107.62</v>
      </c>
      <c r="K76" s="18">
        <f>$H76*$I76</f>
        <v>627.52</v>
      </c>
      <c r="L76" s="1">
        <f t="shared" si="1"/>
        <v>-1094.4000000000001</v>
      </c>
    </row>
    <row r="77" spans="1:12" x14ac:dyDescent="0.25">
      <c r="A77" s="7" t="s">
        <v>99</v>
      </c>
      <c r="B77" s="7" t="s">
        <v>48</v>
      </c>
      <c r="C77" s="7" t="s">
        <v>50</v>
      </c>
      <c r="D77" s="7" t="s">
        <v>13</v>
      </c>
      <c r="E77" s="7" t="s">
        <v>14</v>
      </c>
      <c r="F77" s="7" t="s">
        <v>15</v>
      </c>
      <c r="G77" s="1">
        <v>44997</v>
      </c>
      <c r="H77" s="7">
        <v>142</v>
      </c>
      <c r="I77" s="7">
        <v>221.4</v>
      </c>
      <c r="J77" s="7">
        <v>72.75</v>
      </c>
      <c r="K77" s="18">
        <f>$H77*$I77</f>
        <v>31438.799999999999</v>
      </c>
      <c r="L77" s="1">
        <f t="shared" si="1"/>
        <v>21108.3</v>
      </c>
    </row>
    <row r="78" spans="1:12" x14ac:dyDescent="0.25">
      <c r="A78" s="7" t="s">
        <v>100</v>
      </c>
      <c r="B78" s="7" t="s">
        <v>48</v>
      </c>
      <c r="C78" s="7" t="s">
        <v>31</v>
      </c>
      <c r="D78" s="7" t="s">
        <v>19</v>
      </c>
      <c r="E78" s="7" t="s">
        <v>14</v>
      </c>
      <c r="F78" s="7" t="s">
        <v>20</v>
      </c>
      <c r="G78" s="1">
        <v>44998</v>
      </c>
      <c r="H78" s="7">
        <v>244</v>
      </c>
      <c r="I78" s="7">
        <v>53.21</v>
      </c>
      <c r="J78" s="7">
        <v>277.26</v>
      </c>
      <c r="K78" s="18">
        <f>$H78*$I78</f>
        <v>12983.24</v>
      </c>
      <c r="L78" s="1">
        <f t="shared" si="1"/>
        <v>-54668.2</v>
      </c>
    </row>
    <row r="79" spans="1:12" x14ac:dyDescent="0.25">
      <c r="A79" s="7" t="s">
        <v>101</v>
      </c>
      <c r="B79" s="7" t="s">
        <v>22</v>
      </c>
      <c r="C79" s="7" t="s">
        <v>12</v>
      </c>
      <c r="D79" s="7" t="s">
        <v>13</v>
      </c>
      <c r="E79" s="7" t="s">
        <v>14</v>
      </c>
      <c r="F79" s="7" t="s">
        <v>15</v>
      </c>
      <c r="G79" s="1">
        <v>44999</v>
      </c>
      <c r="H79" s="7">
        <v>54</v>
      </c>
      <c r="I79" s="7">
        <v>205.49</v>
      </c>
      <c r="J79" s="7">
        <v>247.98</v>
      </c>
      <c r="K79" s="18">
        <f>$H79*$I79</f>
        <v>11096.460000000001</v>
      </c>
      <c r="L79" s="1">
        <f t="shared" si="1"/>
        <v>-2294.4599999999991</v>
      </c>
    </row>
    <row r="80" spans="1:12" x14ac:dyDescent="0.25">
      <c r="A80" s="7" t="s">
        <v>102</v>
      </c>
      <c r="B80" s="7" t="s">
        <v>48</v>
      </c>
      <c r="C80" s="7" t="s">
        <v>31</v>
      </c>
      <c r="D80" s="7" t="s">
        <v>19</v>
      </c>
      <c r="E80" s="7" t="s">
        <v>14</v>
      </c>
      <c r="F80" s="7" t="s">
        <v>20</v>
      </c>
      <c r="G80" s="1">
        <v>45000</v>
      </c>
      <c r="H80" s="7">
        <v>323</v>
      </c>
      <c r="I80" s="7">
        <v>298.49</v>
      </c>
      <c r="J80" s="7">
        <v>254.01</v>
      </c>
      <c r="K80" s="18">
        <f>$H80*$I80</f>
        <v>96412.27</v>
      </c>
      <c r="L80" s="1">
        <f t="shared" si="1"/>
        <v>14367.040000000006</v>
      </c>
    </row>
    <row r="81" spans="1:12" x14ac:dyDescent="0.25">
      <c r="A81" s="7" t="s">
        <v>103</v>
      </c>
      <c r="B81" s="7" t="s">
        <v>22</v>
      </c>
      <c r="C81" s="7" t="s">
        <v>18</v>
      </c>
      <c r="D81" s="7" t="s">
        <v>13</v>
      </c>
      <c r="E81" s="7" t="s">
        <v>24</v>
      </c>
      <c r="F81" s="7" t="s">
        <v>28</v>
      </c>
      <c r="G81" s="1">
        <v>45001</v>
      </c>
      <c r="H81" s="7">
        <v>258</v>
      </c>
      <c r="I81" s="7">
        <v>291.81</v>
      </c>
      <c r="J81" s="7">
        <v>93.1</v>
      </c>
      <c r="K81" s="18">
        <f>$H81*$I81</f>
        <v>75286.98</v>
      </c>
      <c r="L81" s="1">
        <f t="shared" si="1"/>
        <v>51267.18</v>
      </c>
    </row>
    <row r="82" spans="1:12" x14ac:dyDescent="0.25">
      <c r="A82" s="7" t="s">
        <v>104</v>
      </c>
      <c r="B82" s="7" t="s">
        <v>48</v>
      </c>
      <c r="C82" s="7" t="s">
        <v>18</v>
      </c>
      <c r="D82" s="7" t="s">
        <v>13</v>
      </c>
      <c r="E82" s="7" t="s">
        <v>24</v>
      </c>
      <c r="F82" s="7" t="s">
        <v>20</v>
      </c>
      <c r="G82" s="1">
        <v>45002</v>
      </c>
      <c r="H82" s="7">
        <v>40</v>
      </c>
      <c r="I82" s="7">
        <v>333</v>
      </c>
      <c r="J82" s="7">
        <v>94.59</v>
      </c>
      <c r="K82" s="18">
        <f>$H82*$I82</f>
        <v>13320</v>
      </c>
      <c r="L82" s="1">
        <f t="shared" si="1"/>
        <v>9536.4</v>
      </c>
    </row>
    <row r="83" spans="1:12" x14ac:dyDescent="0.25">
      <c r="A83" s="7" t="s">
        <v>105</v>
      </c>
      <c r="B83" s="7" t="s">
        <v>17</v>
      </c>
      <c r="C83" s="7" t="s">
        <v>12</v>
      </c>
      <c r="D83" s="7" t="s">
        <v>23</v>
      </c>
      <c r="E83" s="7" t="s">
        <v>24</v>
      </c>
      <c r="F83" s="7" t="s">
        <v>28</v>
      </c>
      <c r="G83" s="1">
        <v>45003</v>
      </c>
      <c r="H83" s="7">
        <v>32</v>
      </c>
      <c r="I83" s="7">
        <v>52.15</v>
      </c>
      <c r="J83" s="7">
        <v>89.88</v>
      </c>
      <c r="K83" s="18">
        <f>$H83*$I83</f>
        <v>1668.8</v>
      </c>
      <c r="L83" s="1">
        <f t="shared" si="1"/>
        <v>-1207.3599999999999</v>
      </c>
    </row>
    <row r="84" spans="1:12" x14ac:dyDescent="0.25">
      <c r="A84" s="7" t="s">
        <v>106</v>
      </c>
      <c r="B84" s="7" t="s">
        <v>17</v>
      </c>
      <c r="C84" s="7" t="s">
        <v>12</v>
      </c>
      <c r="D84" s="7" t="s">
        <v>13</v>
      </c>
      <c r="E84" s="7" t="s">
        <v>24</v>
      </c>
      <c r="F84" s="7" t="s">
        <v>15</v>
      </c>
      <c r="G84" s="1">
        <v>45004</v>
      </c>
      <c r="H84" s="7">
        <v>435</v>
      </c>
      <c r="I84" s="7">
        <v>327.8</v>
      </c>
      <c r="J84" s="7">
        <v>71.150000000000006</v>
      </c>
      <c r="K84" s="18">
        <f>$H84*$I84</f>
        <v>142593</v>
      </c>
      <c r="L84" s="1">
        <f t="shared" si="1"/>
        <v>111642.74999999999</v>
      </c>
    </row>
    <row r="85" spans="1:12" x14ac:dyDescent="0.25">
      <c r="A85" s="7" t="s">
        <v>107</v>
      </c>
      <c r="B85" s="7" t="s">
        <v>11</v>
      </c>
      <c r="C85" s="7" t="s">
        <v>50</v>
      </c>
      <c r="D85" s="7" t="s">
        <v>27</v>
      </c>
      <c r="E85" s="7" t="s">
        <v>24</v>
      </c>
      <c r="F85" s="7" t="s">
        <v>15</v>
      </c>
      <c r="G85" s="1">
        <v>45005</v>
      </c>
      <c r="H85" s="7">
        <v>403</v>
      </c>
      <c r="I85" s="7">
        <v>159.51</v>
      </c>
      <c r="J85" s="7">
        <v>262.98</v>
      </c>
      <c r="K85" s="18">
        <f>$H85*$I85</f>
        <v>64282.53</v>
      </c>
      <c r="L85" s="1">
        <f t="shared" si="1"/>
        <v>-41698.410000000011</v>
      </c>
    </row>
    <row r="86" spans="1:12" x14ac:dyDescent="0.25">
      <c r="A86" s="7" t="s">
        <v>108</v>
      </c>
      <c r="B86" s="7" t="s">
        <v>17</v>
      </c>
      <c r="C86" s="7" t="s">
        <v>50</v>
      </c>
      <c r="D86" s="7" t="s">
        <v>23</v>
      </c>
      <c r="E86" s="7" t="s">
        <v>14</v>
      </c>
      <c r="F86" s="7" t="s">
        <v>15</v>
      </c>
      <c r="G86" s="1">
        <v>45006</v>
      </c>
      <c r="H86" s="7">
        <v>169</v>
      </c>
      <c r="I86" s="7">
        <v>249.64</v>
      </c>
      <c r="J86" s="7">
        <v>339.51</v>
      </c>
      <c r="K86" s="18">
        <f>$H86*$I86</f>
        <v>42189.159999999996</v>
      </c>
      <c r="L86" s="1">
        <f t="shared" si="1"/>
        <v>-15188.03</v>
      </c>
    </row>
    <row r="87" spans="1:12" x14ac:dyDescent="0.25">
      <c r="A87" s="7" t="s">
        <v>109</v>
      </c>
      <c r="B87" s="7" t="s">
        <v>11</v>
      </c>
      <c r="C87" s="7" t="s">
        <v>31</v>
      </c>
      <c r="D87" s="7" t="s">
        <v>13</v>
      </c>
      <c r="E87" s="7" t="s">
        <v>14</v>
      </c>
      <c r="F87" s="7" t="s">
        <v>20</v>
      </c>
      <c r="G87" s="1">
        <v>45007</v>
      </c>
      <c r="H87" s="7">
        <v>372</v>
      </c>
      <c r="I87" s="7">
        <v>429.7</v>
      </c>
      <c r="J87" s="7">
        <v>290.27999999999997</v>
      </c>
      <c r="K87" s="18">
        <f>$H87*$I87</f>
        <v>159848.4</v>
      </c>
      <c r="L87" s="1">
        <f t="shared" si="1"/>
        <v>51864.240000000005</v>
      </c>
    </row>
    <row r="88" spans="1:12" x14ac:dyDescent="0.25">
      <c r="A88" s="7" t="s">
        <v>110</v>
      </c>
      <c r="B88" s="7" t="s">
        <v>17</v>
      </c>
      <c r="C88" s="7" t="s">
        <v>12</v>
      </c>
      <c r="D88" s="7" t="s">
        <v>42</v>
      </c>
      <c r="E88" s="7" t="s">
        <v>24</v>
      </c>
      <c r="F88" s="7" t="s">
        <v>28</v>
      </c>
      <c r="G88" s="1">
        <v>45008</v>
      </c>
      <c r="H88" s="7">
        <v>446</v>
      </c>
      <c r="I88" s="7">
        <v>9.4700000000000006</v>
      </c>
      <c r="J88" s="7">
        <v>317.25</v>
      </c>
      <c r="K88" s="18">
        <f>$H88*$I88</f>
        <v>4223.62</v>
      </c>
      <c r="L88" s="1">
        <f t="shared" si="1"/>
        <v>-137269.87999999998</v>
      </c>
    </row>
    <row r="89" spans="1:12" x14ac:dyDescent="0.25">
      <c r="A89" s="7" t="s">
        <v>111</v>
      </c>
      <c r="B89" s="7" t="s">
        <v>22</v>
      </c>
      <c r="C89" s="7" t="s">
        <v>18</v>
      </c>
      <c r="D89" s="7" t="s">
        <v>27</v>
      </c>
      <c r="E89" s="7" t="s">
        <v>14</v>
      </c>
      <c r="F89" s="7" t="s">
        <v>15</v>
      </c>
      <c r="G89" s="1">
        <v>45009</v>
      </c>
      <c r="H89" s="7">
        <v>167</v>
      </c>
      <c r="I89" s="7">
        <v>296.26</v>
      </c>
      <c r="J89" s="7">
        <v>163.11000000000001</v>
      </c>
      <c r="K89" s="18">
        <f>$H89*$I89</f>
        <v>49475.42</v>
      </c>
      <c r="L89" s="1">
        <f t="shared" si="1"/>
        <v>22236.049999999996</v>
      </c>
    </row>
    <row r="90" spans="1:12" x14ac:dyDescent="0.25">
      <c r="A90" s="7" t="s">
        <v>112</v>
      </c>
      <c r="B90" s="7" t="s">
        <v>17</v>
      </c>
      <c r="C90" s="7" t="s">
        <v>50</v>
      </c>
      <c r="D90" s="7" t="s">
        <v>27</v>
      </c>
      <c r="E90" s="7" t="s">
        <v>24</v>
      </c>
      <c r="F90" s="7" t="s">
        <v>15</v>
      </c>
      <c r="G90" s="1">
        <v>45010</v>
      </c>
      <c r="H90" s="7">
        <v>48</v>
      </c>
      <c r="I90" s="7">
        <v>301.36</v>
      </c>
      <c r="J90" s="7">
        <v>262.32</v>
      </c>
      <c r="K90" s="18">
        <f>$H90*$I90</f>
        <v>14465.28</v>
      </c>
      <c r="L90" s="1">
        <f t="shared" si="1"/>
        <v>1873.920000000001</v>
      </c>
    </row>
    <row r="91" spans="1:12" x14ac:dyDescent="0.25">
      <c r="A91" s="7" t="s">
        <v>113</v>
      </c>
      <c r="B91" s="7" t="s">
        <v>11</v>
      </c>
      <c r="C91" s="7" t="s">
        <v>50</v>
      </c>
      <c r="D91" s="7" t="s">
        <v>27</v>
      </c>
      <c r="E91" s="7" t="s">
        <v>24</v>
      </c>
      <c r="F91" s="7" t="s">
        <v>28</v>
      </c>
      <c r="G91" s="1">
        <v>45011</v>
      </c>
      <c r="H91" s="7">
        <v>424</v>
      </c>
      <c r="I91" s="7">
        <v>201.35</v>
      </c>
      <c r="J91" s="7">
        <v>142.99</v>
      </c>
      <c r="K91" s="18">
        <f>$H91*$I91</f>
        <v>85372.4</v>
      </c>
      <c r="L91" s="1">
        <f t="shared" si="1"/>
        <v>24744.639999999992</v>
      </c>
    </row>
    <row r="92" spans="1:12" x14ac:dyDescent="0.25">
      <c r="A92" s="7" t="s">
        <v>114</v>
      </c>
      <c r="B92" s="7" t="s">
        <v>11</v>
      </c>
      <c r="C92" s="7" t="s">
        <v>18</v>
      </c>
      <c r="D92" s="7" t="s">
        <v>23</v>
      </c>
      <c r="E92" s="7" t="s">
        <v>14</v>
      </c>
      <c r="F92" s="7" t="s">
        <v>15</v>
      </c>
      <c r="G92" s="1">
        <v>45012</v>
      </c>
      <c r="H92" s="7">
        <v>91</v>
      </c>
      <c r="I92" s="7">
        <v>122.33</v>
      </c>
      <c r="J92" s="7">
        <v>211.15</v>
      </c>
      <c r="K92" s="18">
        <f>$H92*$I92</f>
        <v>11132.03</v>
      </c>
      <c r="L92" s="1">
        <f t="shared" si="1"/>
        <v>-8082.6200000000008</v>
      </c>
    </row>
    <row r="93" spans="1:12" x14ac:dyDescent="0.25">
      <c r="A93" s="7" t="s">
        <v>115</v>
      </c>
      <c r="B93" s="7" t="s">
        <v>48</v>
      </c>
      <c r="C93" s="7" t="s">
        <v>50</v>
      </c>
      <c r="D93" s="7" t="s">
        <v>13</v>
      </c>
      <c r="E93" s="7" t="s">
        <v>14</v>
      </c>
      <c r="F93" s="7" t="s">
        <v>28</v>
      </c>
      <c r="G93" s="1">
        <v>45013</v>
      </c>
      <c r="H93" s="7">
        <v>365</v>
      </c>
      <c r="I93" s="7">
        <v>121.16</v>
      </c>
      <c r="J93" s="7">
        <v>193.69</v>
      </c>
      <c r="K93" s="18">
        <f>$H93*$I93</f>
        <v>44223.4</v>
      </c>
      <c r="L93" s="1">
        <f t="shared" si="1"/>
        <v>-26473.45</v>
      </c>
    </row>
    <row r="94" spans="1:12" x14ac:dyDescent="0.25">
      <c r="A94" s="7" t="s">
        <v>116</v>
      </c>
      <c r="B94" s="7" t="s">
        <v>22</v>
      </c>
      <c r="C94" s="7" t="s">
        <v>31</v>
      </c>
      <c r="D94" s="7" t="s">
        <v>13</v>
      </c>
      <c r="E94" s="7" t="s">
        <v>14</v>
      </c>
      <c r="F94" s="7" t="s">
        <v>28</v>
      </c>
      <c r="G94" s="1">
        <v>45014</v>
      </c>
      <c r="H94" s="7">
        <v>267</v>
      </c>
      <c r="I94" s="7">
        <v>442.44</v>
      </c>
      <c r="J94" s="7">
        <v>72.400000000000006</v>
      </c>
      <c r="K94" s="18">
        <f>$H94*$I94</f>
        <v>118131.48</v>
      </c>
      <c r="L94" s="1">
        <f t="shared" si="1"/>
        <v>98800.68</v>
      </c>
    </row>
    <row r="95" spans="1:12" x14ac:dyDescent="0.25">
      <c r="A95" s="7" t="s">
        <v>117</v>
      </c>
      <c r="B95" s="7" t="s">
        <v>17</v>
      </c>
      <c r="C95" s="7" t="s">
        <v>12</v>
      </c>
      <c r="D95" s="7" t="s">
        <v>42</v>
      </c>
      <c r="E95" s="7" t="s">
        <v>24</v>
      </c>
      <c r="F95" s="7" t="s">
        <v>28</v>
      </c>
      <c r="G95" s="1">
        <v>45015</v>
      </c>
      <c r="H95" s="7">
        <v>215</v>
      </c>
      <c r="I95" s="7">
        <v>223.8</v>
      </c>
      <c r="J95" s="7">
        <v>156.06</v>
      </c>
      <c r="K95" s="18">
        <f>$H95*$I95</f>
        <v>48117</v>
      </c>
      <c r="L95" s="1">
        <f t="shared" si="1"/>
        <v>14564.100000000002</v>
      </c>
    </row>
    <row r="96" spans="1:12" x14ac:dyDescent="0.25">
      <c r="A96" s="7" t="s">
        <v>118</v>
      </c>
      <c r="B96" s="7" t="s">
        <v>48</v>
      </c>
      <c r="C96" s="7" t="s">
        <v>18</v>
      </c>
      <c r="D96" s="7" t="s">
        <v>42</v>
      </c>
      <c r="E96" s="7" t="s">
        <v>14</v>
      </c>
      <c r="F96" s="7" t="s">
        <v>28</v>
      </c>
      <c r="G96" s="1">
        <v>45016</v>
      </c>
      <c r="H96" s="7">
        <v>86</v>
      </c>
      <c r="I96" s="7">
        <v>168.79</v>
      </c>
      <c r="J96" s="7">
        <v>385.6</v>
      </c>
      <c r="K96" s="18">
        <f>$H96*$I96</f>
        <v>14515.939999999999</v>
      </c>
      <c r="L96" s="1">
        <f t="shared" si="1"/>
        <v>-18645.660000000003</v>
      </c>
    </row>
    <row r="97" spans="1:12" x14ac:dyDescent="0.25">
      <c r="A97" s="7" t="s">
        <v>119</v>
      </c>
      <c r="B97" s="7" t="s">
        <v>17</v>
      </c>
      <c r="C97" s="7" t="s">
        <v>12</v>
      </c>
      <c r="D97" s="7" t="s">
        <v>27</v>
      </c>
      <c r="E97" s="7" t="s">
        <v>24</v>
      </c>
      <c r="F97" s="7" t="s">
        <v>28</v>
      </c>
      <c r="G97" s="1">
        <v>45017</v>
      </c>
      <c r="H97" s="7">
        <v>486</v>
      </c>
      <c r="I97" s="7">
        <v>227.14</v>
      </c>
      <c r="J97" s="7">
        <v>100.93</v>
      </c>
      <c r="K97" s="18">
        <f>$H97*$I97</f>
        <v>110390.04</v>
      </c>
      <c r="L97" s="1">
        <f t="shared" si="1"/>
        <v>61338.05999999999</v>
      </c>
    </row>
    <row r="98" spans="1:12" x14ac:dyDescent="0.25">
      <c r="A98" s="7" t="s">
        <v>120</v>
      </c>
      <c r="B98" s="7" t="s">
        <v>17</v>
      </c>
      <c r="C98" s="7" t="s">
        <v>50</v>
      </c>
      <c r="D98" s="7" t="s">
        <v>42</v>
      </c>
      <c r="E98" s="7" t="s">
        <v>24</v>
      </c>
      <c r="F98" s="7" t="s">
        <v>20</v>
      </c>
      <c r="G98" s="1">
        <v>45018</v>
      </c>
      <c r="H98" s="7">
        <v>21</v>
      </c>
      <c r="I98" s="7">
        <v>249.64</v>
      </c>
      <c r="J98" s="7">
        <v>55.25</v>
      </c>
      <c r="K98" s="18">
        <f>$H98*$I98</f>
        <v>5242.4399999999996</v>
      </c>
      <c r="L98" s="1">
        <f t="shared" si="1"/>
        <v>4082.1899999999996</v>
      </c>
    </row>
    <row r="99" spans="1:12" x14ac:dyDescent="0.25">
      <c r="A99" s="7" t="s">
        <v>121</v>
      </c>
      <c r="B99" s="7" t="s">
        <v>48</v>
      </c>
      <c r="C99" s="7" t="s">
        <v>50</v>
      </c>
      <c r="D99" s="7" t="s">
        <v>23</v>
      </c>
      <c r="E99" s="7" t="s">
        <v>24</v>
      </c>
      <c r="F99" s="7" t="s">
        <v>15</v>
      </c>
      <c r="G99" s="1">
        <v>45019</v>
      </c>
      <c r="H99" s="7">
        <v>304</v>
      </c>
      <c r="I99" s="7">
        <v>77.150000000000006</v>
      </c>
      <c r="J99" s="7">
        <v>168.6</v>
      </c>
      <c r="K99" s="18">
        <f>$H99*$I99</f>
        <v>23453.600000000002</v>
      </c>
      <c r="L99" s="1">
        <f t="shared" si="1"/>
        <v>-27800.799999999996</v>
      </c>
    </row>
    <row r="100" spans="1:12" x14ac:dyDescent="0.25">
      <c r="A100" s="7" t="s">
        <v>122</v>
      </c>
      <c r="B100" s="7" t="s">
        <v>48</v>
      </c>
      <c r="C100" s="7" t="s">
        <v>18</v>
      </c>
      <c r="D100" s="7" t="s">
        <v>13</v>
      </c>
      <c r="E100" s="7" t="s">
        <v>14</v>
      </c>
      <c r="F100" s="7" t="s">
        <v>20</v>
      </c>
      <c r="G100" s="1">
        <v>45020</v>
      </c>
      <c r="H100" s="7">
        <v>459</v>
      </c>
      <c r="I100" s="7">
        <v>227.47</v>
      </c>
      <c r="J100" s="7">
        <v>316.55</v>
      </c>
      <c r="K100" s="18">
        <f>$H100*$I100</f>
        <v>104408.73</v>
      </c>
      <c r="L100" s="1">
        <f t="shared" si="1"/>
        <v>-40887.720000000008</v>
      </c>
    </row>
    <row r="101" spans="1:12" x14ac:dyDescent="0.25">
      <c r="A101" s="7" t="s">
        <v>123</v>
      </c>
      <c r="B101" s="7" t="s">
        <v>48</v>
      </c>
      <c r="C101" s="7" t="s">
        <v>31</v>
      </c>
      <c r="D101" s="7" t="s">
        <v>27</v>
      </c>
      <c r="E101" s="7" t="s">
        <v>14</v>
      </c>
      <c r="F101" s="7" t="s">
        <v>15</v>
      </c>
      <c r="G101" s="1">
        <v>45021</v>
      </c>
      <c r="H101" s="7">
        <v>233</v>
      </c>
      <c r="I101" s="7">
        <v>296</v>
      </c>
      <c r="J101" s="7">
        <v>233.69</v>
      </c>
      <c r="K101" s="18">
        <f>$H101*$I101</f>
        <v>68968</v>
      </c>
      <c r="L101" s="1">
        <f t="shared" si="1"/>
        <v>14518.230000000001</v>
      </c>
    </row>
    <row r="102" spans="1:12" x14ac:dyDescent="0.25">
      <c r="A102" s="7" t="s">
        <v>124</v>
      </c>
      <c r="B102" s="7" t="s">
        <v>48</v>
      </c>
      <c r="C102" s="7" t="s">
        <v>26</v>
      </c>
      <c r="D102" s="7" t="s">
        <v>42</v>
      </c>
      <c r="E102" s="7" t="s">
        <v>24</v>
      </c>
      <c r="F102" s="7" t="s">
        <v>20</v>
      </c>
      <c r="G102" s="1">
        <v>45022</v>
      </c>
      <c r="H102" s="7">
        <v>22</v>
      </c>
      <c r="I102" s="7">
        <v>474.55</v>
      </c>
      <c r="J102" s="7">
        <v>273.02999999999997</v>
      </c>
      <c r="K102" s="18">
        <f>$H102*$I102</f>
        <v>10440.1</v>
      </c>
      <c r="L102" s="1">
        <f t="shared" si="1"/>
        <v>4433.4400000000005</v>
      </c>
    </row>
    <row r="103" spans="1:12" x14ac:dyDescent="0.25">
      <c r="A103" s="7" t="s">
        <v>125</v>
      </c>
      <c r="B103" s="7" t="s">
        <v>48</v>
      </c>
      <c r="C103" s="7" t="s">
        <v>18</v>
      </c>
      <c r="D103" s="7" t="s">
        <v>23</v>
      </c>
      <c r="E103" s="7" t="s">
        <v>14</v>
      </c>
      <c r="F103" s="7" t="s">
        <v>28</v>
      </c>
      <c r="G103" s="1">
        <v>45023</v>
      </c>
      <c r="H103" s="7">
        <v>55</v>
      </c>
      <c r="I103" s="7">
        <v>130</v>
      </c>
      <c r="J103" s="7">
        <v>77.5</v>
      </c>
      <c r="K103" s="18">
        <f>$H103*$I103</f>
        <v>7150</v>
      </c>
      <c r="L103" s="1">
        <f t="shared" si="1"/>
        <v>2887.5</v>
      </c>
    </row>
    <row r="104" spans="1:12" x14ac:dyDescent="0.25">
      <c r="A104" s="7" t="s">
        <v>126</v>
      </c>
      <c r="B104" s="7" t="s">
        <v>17</v>
      </c>
      <c r="C104" s="7" t="s">
        <v>26</v>
      </c>
      <c r="D104" s="7" t="s">
        <v>23</v>
      </c>
      <c r="E104" s="7" t="s">
        <v>14</v>
      </c>
      <c r="F104" s="7" t="s">
        <v>15</v>
      </c>
      <c r="G104" s="1">
        <v>45024</v>
      </c>
      <c r="H104" s="7">
        <v>164</v>
      </c>
      <c r="I104" s="7">
        <v>182.83</v>
      </c>
      <c r="J104" s="7">
        <v>248.34</v>
      </c>
      <c r="K104" s="18">
        <f>$H104*$I104</f>
        <v>29984.120000000003</v>
      </c>
      <c r="L104" s="1">
        <f t="shared" si="1"/>
        <v>-10743.64</v>
      </c>
    </row>
    <row r="105" spans="1:12" x14ac:dyDescent="0.25">
      <c r="A105" s="7" t="s">
        <v>127</v>
      </c>
      <c r="B105" s="7" t="s">
        <v>48</v>
      </c>
      <c r="C105" s="7" t="s">
        <v>26</v>
      </c>
      <c r="D105" s="7" t="s">
        <v>42</v>
      </c>
      <c r="E105" s="7" t="s">
        <v>14</v>
      </c>
      <c r="F105" s="7" t="s">
        <v>15</v>
      </c>
      <c r="G105" s="1">
        <v>45025</v>
      </c>
      <c r="H105" s="7">
        <v>122</v>
      </c>
      <c r="I105" s="7">
        <v>192.78</v>
      </c>
      <c r="J105" s="7">
        <v>130.75</v>
      </c>
      <c r="K105" s="18">
        <f>$H105*$I105</f>
        <v>23519.16</v>
      </c>
      <c r="L105" s="1">
        <f t="shared" si="1"/>
        <v>7567.66</v>
      </c>
    </row>
    <row r="106" spans="1:12" x14ac:dyDescent="0.25">
      <c r="A106" s="7" t="s">
        <v>128</v>
      </c>
      <c r="B106" s="7" t="s">
        <v>22</v>
      </c>
      <c r="C106" s="7" t="s">
        <v>31</v>
      </c>
      <c r="D106" s="7" t="s">
        <v>13</v>
      </c>
      <c r="E106" s="7" t="s">
        <v>24</v>
      </c>
      <c r="F106" s="7" t="s">
        <v>20</v>
      </c>
      <c r="G106" s="1">
        <v>45026</v>
      </c>
      <c r="H106" s="7">
        <v>242</v>
      </c>
      <c r="I106" s="7">
        <v>304.74</v>
      </c>
      <c r="J106" s="7">
        <v>334.05</v>
      </c>
      <c r="K106" s="18">
        <f>$H106*$I106</f>
        <v>73747.08</v>
      </c>
      <c r="L106" s="1">
        <f t="shared" si="1"/>
        <v>-7093.02</v>
      </c>
    </row>
    <row r="107" spans="1:12" x14ac:dyDescent="0.25">
      <c r="A107" s="7" t="s">
        <v>129</v>
      </c>
      <c r="B107" s="7" t="s">
        <v>11</v>
      </c>
      <c r="C107" s="7" t="s">
        <v>26</v>
      </c>
      <c r="D107" s="7" t="s">
        <v>42</v>
      </c>
      <c r="E107" s="7" t="s">
        <v>24</v>
      </c>
      <c r="F107" s="7" t="s">
        <v>20</v>
      </c>
      <c r="G107" s="1">
        <v>45027</v>
      </c>
      <c r="H107" s="7">
        <v>26</v>
      </c>
      <c r="I107" s="7">
        <v>181.58</v>
      </c>
      <c r="J107" s="7">
        <v>252.46</v>
      </c>
      <c r="K107" s="18">
        <f>$H107*$I107</f>
        <v>4721.08</v>
      </c>
      <c r="L107" s="1">
        <f t="shared" si="1"/>
        <v>-1842.8799999999999</v>
      </c>
    </row>
    <row r="108" spans="1:12" x14ac:dyDescent="0.25">
      <c r="A108" s="7" t="s">
        <v>130</v>
      </c>
      <c r="B108" s="7" t="s">
        <v>48</v>
      </c>
      <c r="C108" s="7" t="s">
        <v>26</v>
      </c>
      <c r="D108" s="7" t="s">
        <v>27</v>
      </c>
      <c r="E108" s="7" t="s">
        <v>14</v>
      </c>
      <c r="F108" s="7" t="s">
        <v>15</v>
      </c>
      <c r="G108" s="1">
        <v>45028</v>
      </c>
      <c r="H108" s="7">
        <v>369</v>
      </c>
      <c r="I108" s="7">
        <v>269.08999999999997</v>
      </c>
      <c r="J108" s="7">
        <v>81.14</v>
      </c>
      <c r="K108" s="18">
        <f>$H108*$I108</f>
        <v>99294.209999999992</v>
      </c>
      <c r="L108" s="1">
        <f t="shared" si="1"/>
        <v>69353.55</v>
      </c>
    </row>
    <row r="109" spans="1:12" x14ac:dyDescent="0.25">
      <c r="A109" s="7" t="s">
        <v>131</v>
      </c>
      <c r="B109" s="7" t="s">
        <v>48</v>
      </c>
      <c r="C109" s="7" t="s">
        <v>31</v>
      </c>
      <c r="D109" s="7" t="s">
        <v>42</v>
      </c>
      <c r="E109" s="7" t="s">
        <v>24</v>
      </c>
      <c r="F109" s="7" t="s">
        <v>20</v>
      </c>
      <c r="G109" s="1">
        <v>45029</v>
      </c>
      <c r="H109" s="7">
        <v>232</v>
      </c>
      <c r="I109" s="7">
        <v>391.99</v>
      </c>
      <c r="J109" s="7">
        <v>27.72</v>
      </c>
      <c r="K109" s="18">
        <f>$H109*$I109</f>
        <v>90941.680000000008</v>
      </c>
      <c r="L109" s="1">
        <f t="shared" si="1"/>
        <v>84510.64</v>
      </c>
    </row>
    <row r="110" spans="1:12" x14ac:dyDescent="0.25">
      <c r="A110" s="7" t="s">
        <v>132</v>
      </c>
      <c r="B110" s="7" t="s">
        <v>17</v>
      </c>
      <c r="C110" s="7" t="s">
        <v>26</v>
      </c>
      <c r="D110" s="7" t="s">
        <v>23</v>
      </c>
      <c r="E110" s="7" t="s">
        <v>14</v>
      </c>
      <c r="F110" s="7" t="s">
        <v>20</v>
      </c>
      <c r="G110" s="1">
        <v>45030</v>
      </c>
      <c r="H110" s="7">
        <v>363</v>
      </c>
      <c r="I110" s="7">
        <v>354.17</v>
      </c>
      <c r="J110" s="7">
        <v>18.97</v>
      </c>
      <c r="K110" s="18">
        <f>$H110*$I110</f>
        <v>128563.71</v>
      </c>
      <c r="L110" s="1">
        <f t="shared" si="1"/>
        <v>121677.60000000002</v>
      </c>
    </row>
    <row r="111" spans="1:12" x14ac:dyDescent="0.25">
      <c r="A111" s="7" t="s">
        <v>133</v>
      </c>
      <c r="B111" s="7" t="s">
        <v>48</v>
      </c>
      <c r="C111" s="7" t="s">
        <v>26</v>
      </c>
      <c r="D111" s="7" t="s">
        <v>42</v>
      </c>
      <c r="E111" s="7" t="s">
        <v>14</v>
      </c>
      <c r="F111" s="7" t="s">
        <v>20</v>
      </c>
      <c r="G111" s="1">
        <v>45031</v>
      </c>
      <c r="H111" s="7">
        <v>197</v>
      </c>
      <c r="I111" s="7">
        <v>225.95</v>
      </c>
      <c r="J111" s="7">
        <v>149.82</v>
      </c>
      <c r="K111" s="18">
        <f>$H111*$I111</f>
        <v>44512.149999999994</v>
      </c>
      <c r="L111" s="1">
        <f t="shared" si="1"/>
        <v>14997.609999999999</v>
      </c>
    </row>
    <row r="112" spans="1:12" x14ac:dyDescent="0.25">
      <c r="A112" s="7" t="s">
        <v>134</v>
      </c>
      <c r="B112" s="7" t="s">
        <v>48</v>
      </c>
      <c r="C112" s="7" t="s">
        <v>26</v>
      </c>
      <c r="D112" s="7" t="s">
        <v>13</v>
      </c>
      <c r="E112" s="7" t="s">
        <v>14</v>
      </c>
      <c r="F112" s="7" t="s">
        <v>28</v>
      </c>
      <c r="G112" s="1">
        <v>45032</v>
      </c>
      <c r="H112" s="7">
        <v>457</v>
      </c>
      <c r="I112" s="7">
        <v>432.79</v>
      </c>
      <c r="J112" s="7">
        <v>107.81</v>
      </c>
      <c r="K112" s="18">
        <f>$H112*$I112</f>
        <v>197785.03</v>
      </c>
      <c r="L112" s="1">
        <f t="shared" si="1"/>
        <v>148515.86000000002</v>
      </c>
    </row>
    <row r="113" spans="1:12" x14ac:dyDescent="0.25">
      <c r="A113" s="7" t="s">
        <v>135</v>
      </c>
      <c r="B113" s="7" t="s">
        <v>48</v>
      </c>
      <c r="C113" s="7" t="s">
        <v>18</v>
      </c>
      <c r="D113" s="7" t="s">
        <v>19</v>
      </c>
      <c r="E113" s="7" t="s">
        <v>14</v>
      </c>
      <c r="F113" s="7" t="s">
        <v>28</v>
      </c>
      <c r="G113" s="1">
        <v>45033</v>
      </c>
      <c r="H113" s="7">
        <v>353</v>
      </c>
      <c r="I113" s="7">
        <v>281.27999999999997</v>
      </c>
      <c r="J113" s="7">
        <v>259.14</v>
      </c>
      <c r="K113" s="18">
        <f>$H113*$I113</f>
        <v>99291.839999999997</v>
      </c>
      <c r="L113" s="1">
        <f t="shared" si="1"/>
        <v>7815.4199999999955</v>
      </c>
    </row>
    <row r="114" spans="1:12" x14ac:dyDescent="0.25">
      <c r="A114" s="7" t="s">
        <v>136</v>
      </c>
      <c r="B114" s="7" t="s">
        <v>17</v>
      </c>
      <c r="C114" s="7" t="s">
        <v>18</v>
      </c>
      <c r="D114" s="7" t="s">
        <v>42</v>
      </c>
      <c r="E114" s="7" t="s">
        <v>24</v>
      </c>
      <c r="F114" s="7" t="s">
        <v>20</v>
      </c>
      <c r="G114" s="1">
        <v>45034</v>
      </c>
      <c r="H114" s="7">
        <v>374</v>
      </c>
      <c r="I114" s="7">
        <v>272.25</v>
      </c>
      <c r="J114" s="7">
        <v>200.73</v>
      </c>
      <c r="K114" s="18">
        <f>$H114*$I114</f>
        <v>101821.5</v>
      </c>
      <c r="L114" s="1">
        <f t="shared" si="1"/>
        <v>26748.480000000003</v>
      </c>
    </row>
    <row r="115" spans="1:12" x14ac:dyDescent="0.25">
      <c r="A115" s="7" t="s">
        <v>137</v>
      </c>
      <c r="B115" s="7" t="s">
        <v>48</v>
      </c>
      <c r="C115" s="7" t="s">
        <v>18</v>
      </c>
      <c r="D115" s="7" t="s">
        <v>13</v>
      </c>
      <c r="E115" s="7" t="s">
        <v>24</v>
      </c>
      <c r="F115" s="7" t="s">
        <v>20</v>
      </c>
      <c r="G115" s="1">
        <v>45035</v>
      </c>
      <c r="H115" s="7">
        <v>172</v>
      </c>
      <c r="I115" s="7">
        <v>21.92</v>
      </c>
      <c r="J115" s="7">
        <v>107.88</v>
      </c>
      <c r="K115" s="18">
        <f>$H115*$I115</f>
        <v>3770.2400000000002</v>
      </c>
      <c r="L115" s="1">
        <f t="shared" si="1"/>
        <v>-14785.119999999999</v>
      </c>
    </row>
    <row r="116" spans="1:12" x14ac:dyDescent="0.25">
      <c r="A116" s="7" t="s">
        <v>138</v>
      </c>
      <c r="B116" s="7" t="s">
        <v>11</v>
      </c>
      <c r="C116" s="7" t="s">
        <v>31</v>
      </c>
      <c r="D116" s="7" t="s">
        <v>13</v>
      </c>
      <c r="E116" s="7" t="s">
        <v>24</v>
      </c>
      <c r="F116" s="7" t="s">
        <v>28</v>
      </c>
      <c r="G116" s="1">
        <v>45036</v>
      </c>
      <c r="H116" s="7">
        <v>335</v>
      </c>
      <c r="I116" s="7">
        <v>493.41</v>
      </c>
      <c r="J116" s="7">
        <v>61.4</v>
      </c>
      <c r="K116" s="18">
        <f>$H116*$I116</f>
        <v>165292.35</v>
      </c>
      <c r="L116" s="1">
        <f t="shared" si="1"/>
        <v>144723.35</v>
      </c>
    </row>
    <row r="117" spans="1:12" x14ac:dyDescent="0.25">
      <c r="A117" s="7" t="s">
        <v>139</v>
      </c>
      <c r="B117" s="7" t="s">
        <v>17</v>
      </c>
      <c r="C117" s="7" t="s">
        <v>50</v>
      </c>
      <c r="D117" s="7" t="s">
        <v>23</v>
      </c>
      <c r="E117" s="7" t="s">
        <v>14</v>
      </c>
      <c r="F117" s="7" t="s">
        <v>28</v>
      </c>
      <c r="G117" s="1">
        <v>45037</v>
      </c>
      <c r="H117" s="7">
        <v>476</v>
      </c>
      <c r="I117" s="7">
        <v>65.87</v>
      </c>
      <c r="J117" s="7">
        <v>52.63</v>
      </c>
      <c r="K117" s="18">
        <f>$H117*$I117</f>
        <v>31354.120000000003</v>
      </c>
      <c r="L117" s="1">
        <f t="shared" si="1"/>
        <v>6302.2400000000007</v>
      </c>
    </row>
    <row r="118" spans="1:12" x14ac:dyDescent="0.25">
      <c r="A118" s="7" t="s">
        <v>140</v>
      </c>
      <c r="B118" s="7" t="s">
        <v>11</v>
      </c>
      <c r="C118" s="7" t="s">
        <v>26</v>
      </c>
      <c r="D118" s="7" t="s">
        <v>13</v>
      </c>
      <c r="E118" s="7" t="s">
        <v>14</v>
      </c>
      <c r="F118" s="7" t="s">
        <v>15</v>
      </c>
      <c r="G118" s="1">
        <v>45038</v>
      </c>
      <c r="H118" s="7">
        <v>423</v>
      </c>
      <c r="I118" s="7">
        <v>119.41</v>
      </c>
      <c r="J118" s="7">
        <v>346.13</v>
      </c>
      <c r="K118" s="18">
        <f>$H118*$I118</f>
        <v>50510.43</v>
      </c>
      <c r="L118" s="1">
        <f t="shared" si="1"/>
        <v>-95902.56</v>
      </c>
    </row>
    <row r="119" spans="1:12" x14ac:dyDescent="0.25">
      <c r="A119" s="7" t="s">
        <v>141</v>
      </c>
      <c r="B119" s="7" t="s">
        <v>17</v>
      </c>
      <c r="C119" s="7" t="s">
        <v>26</v>
      </c>
      <c r="D119" s="7" t="s">
        <v>13</v>
      </c>
      <c r="E119" s="7" t="s">
        <v>14</v>
      </c>
      <c r="F119" s="7" t="s">
        <v>15</v>
      </c>
      <c r="G119" s="1">
        <v>45039</v>
      </c>
      <c r="H119" s="7">
        <v>464</v>
      </c>
      <c r="I119" s="7">
        <v>30.59</v>
      </c>
      <c r="J119" s="7">
        <v>98.9</v>
      </c>
      <c r="K119" s="18">
        <f>$H119*$I119</f>
        <v>14193.76</v>
      </c>
      <c r="L119" s="1">
        <f t="shared" si="1"/>
        <v>-31695.84</v>
      </c>
    </row>
    <row r="120" spans="1:12" x14ac:dyDescent="0.25">
      <c r="A120" s="7" t="s">
        <v>142</v>
      </c>
      <c r="B120" s="7" t="s">
        <v>48</v>
      </c>
      <c r="C120" s="7" t="s">
        <v>31</v>
      </c>
      <c r="D120" s="7" t="s">
        <v>13</v>
      </c>
      <c r="E120" s="7" t="s">
        <v>24</v>
      </c>
      <c r="F120" s="7" t="s">
        <v>28</v>
      </c>
      <c r="G120" s="1">
        <v>45040</v>
      </c>
      <c r="H120" s="7">
        <v>83</v>
      </c>
      <c r="I120" s="7">
        <v>321.8</v>
      </c>
      <c r="J120" s="7">
        <v>261.38</v>
      </c>
      <c r="K120" s="18">
        <f>$H120*$I120</f>
        <v>26709.4</v>
      </c>
      <c r="L120" s="1">
        <f t="shared" si="1"/>
        <v>5014.8600000000015</v>
      </c>
    </row>
    <row r="121" spans="1:12" x14ac:dyDescent="0.25">
      <c r="A121" s="7" t="s">
        <v>143</v>
      </c>
      <c r="B121" s="7" t="s">
        <v>11</v>
      </c>
      <c r="C121" s="7" t="s">
        <v>26</v>
      </c>
      <c r="D121" s="7" t="s">
        <v>13</v>
      </c>
      <c r="E121" s="7" t="s">
        <v>14</v>
      </c>
      <c r="F121" s="7" t="s">
        <v>20</v>
      </c>
      <c r="G121" s="1">
        <v>45041</v>
      </c>
      <c r="H121" s="7">
        <v>242</v>
      </c>
      <c r="I121" s="7">
        <v>116.23</v>
      </c>
      <c r="J121" s="7">
        <v>324.64999999999998</v>
      </c>
      <c r="K121" s="18">
        <f>$H121*$I121</f>
        <v>28127.66</v>
      </c>
      <c r="L121" s="1">
        <f t="shared" si="1"/>
        <v>-50437.639999999992</v>
      </c>
    </row>
    <row r="122" spans="1:12" x14ac:dyDescent="0.25">
      <c r="A122" s="7" t="s">
        <v>144</v>
      </c>
      <c r="B122" s="7" t="s">
        <v>17</v>
      </c>
      <c r="C122" s="7" t="s">
        <v>18</v>
      </c>
      <c r="D122" s="7" t="s">
        <v>27</v>
      </c>
      <c r="E122" s="7" t="s">
        <v>24</v>
      </c>
      <c r="F122" s="7" t="s">
        <v>20</v>
      </c>
      <c r="G122" s="1">
        <v>45042</v>
      </c>
      <c r="H122" s="7">
        <v>233</v>
      </c>
      <c r="I122" s="7">
        <v>94.11</v>
      </c>
      <c r="J122" s="7">
        <v>246.4</v>
      </c>
      <c r="K122" s="18">
        <f>$H122*$I122</f>
        <v>21927.63</v>
      </c>
      <c r="L122" s="1">
        <f t="shared" si="1"/>
        <v>-35483.570000000007</v>
      </c>
    </row>
    <row r="123" spans="1:12" x14ac:dyDescent="0.25">
      <c r="A123" s="7" t="s">
        <v>145</v>
      </c>
      <c r="B123" s="7" t="s">
        <v>22</v>
      </c>
      <c r="C123" s="7" t="s">
        <v>50</v>
      </c>
      <c r="D123" s="7" t="s">
        <v>27</v>
      </c>
      <c r="E123" s="7" t="s">
        <v>24</v>
      </c>
      <c r="F123" s="7" t="s">
        <v>20</v>
      </c>
      <c r="G123" s="1">
        <v>45043</v>
      </c>
      <c r="H123" s="7">
        <v>491</v>
      </c>
      <c r="I123" s="7">
        <v>48.84</v>
      </c>
      <c r="J123" s="7">
        <v>344.11</v>
      </c>
      <c r="K123" s="18">
        <f>$H123*$I123</f>
        <v>23980.440000000002</v>
      </c>
      <c r="L123" s="1">
        <f t="shared" si="1"/>
        <v>-144977.56999999998</v>
      </c>
    </row>
    <row r="124" spans="1:12" x14ac:dyDescent="0.25">
      <c r="A124" s="7" t="s">
        <v>146</v>
      </c>
      <c r="B124" s="7" t="s">
        <v>22</v>
      </c>
      <c r="C124" s="7" t="s">
        <v>12</v>
      </c>
      <c r="D124" s="7" t="s">
        <v>23</v>
      </c>
      <c r="E124" s="7" t="s">
        <v>24</v>
      </c>
      <c r="F124" s="7" t="s">
        <v>20</v>
      </c>
      <c r="G124" s="1">
        <v>45044</v>
      </c>
      <c r="H124" s="7">
        <v>328</v>
      </c>
      <c r="I124" s="7">
        <v>56.14</v>
      </c>
      <c r="J124" s="7">
        <v>158.16999999999999</v>
      </c>
      <c r="K124" s="18">
        <f>$H124*$I124</f>
        <v>18413.920000000002</v>
      </c>
      <c r="L124" s="1">
        <f t="shared" si="1"/>
        <v>-33465.839999999997</v>
      </c>
    </row>
    <row r="125" spans="1:12" x14ac:dyDescent="0.25">
      <c r="A125" s="7" t="s">
        <v>147</v>
      </c>
      <c r="B125" s="7" t="s">
        <v>17</v>
      </c>
      <c r="C125" s="7" t="s">
        <v>26</v>
      </c>
      <c r="D125" s="7" t="s">
        <v>42</v>
      </c>
      <c r="E125" s="7" t="s">
        <v>24</v>
      </c>
      <c r="F125" s="7" t="s">
        <v>15</v>
      </c>
      <c r="G125" s="1">
        <v>45045</v>
      </c>
      <c r="H125" s="7">
        <v>421</v>
      </c>
      <c r="I125" s="7">
        <v>294.41000000000003</v>
      </c>
      <c r="J125" s="7">
        <v>382.58</v>
      </c>
      <c r="K125" s="18">
        <f>$H125*$I125</f>
        <v>123946.61000000002</v>
      </c>
      <c r="L125" s="1">
        <f t="shared" si="1"/>
        <v>-37119.569999999985</v>
      </c>
    </row>
    <row r="126" spans="1:12" x14ac:dyDescent="0.25">
      <c r="A126" s="7" t="s">
        <v>148</v>
      </c>
      <c r="B126" s="7" t="s">
        <v>22</v>
      </c>
      <c r="C126" s="7" t="s">
        <v>18</v>
      </c>
      <c r="D126" s="7" t="s">
        <v>13</v>
      </c>
      <c r="E126" s="7" t="s">
        <v>24</v>
      </c>
      <c r="F126" s="7" t="s">
        <v>28</v>
      </c>
      <c r="G126" s="1">
        <v>45046</v>
      </c>
      <c r="H126" s="7">
        <v>69</v>
      </c>
      <c r="I126" s="7">
        <v>345.66</v>
      </c>
      <c r="J126" s="7">
        <v>54.99</v>
      </c>
      <c r="K126" s="18">
        <f>$H126*$I126</f>
        <v>23850.54</v>
      </c>
      <c r="L126" s="1">
        <f t="shared" si="1"/>
        <v>20056.23</v>
      </c>
    </row>
    <row r="127" spans="1:12" x14ac:dyDescent="0.25">
      <c r="A127" s="7" t="s">
        <v>149</v>
      </c>
      <c r="B127" s="7" t="s">
        <v>17</v>
      </c>
      <c r="C127" s="7" t="s">
        <v>12</v>
      </c>
      <c r="D127" s="7" t="s">
        <v>42</v>
      </c>
      <c r="E127" s="7" t="s">
        <v>24</v>
      </c>
      <c r="F127" s="7" t="s">
        <v>20</v>
      </c>
      <c r="G127" s="1">
        <v>45047</v>
      </c>
      <c r="H127" s="7">
        <v>344</v>
      </c>
      <c r="I127" s="7">
        <v>201.7</v>
      </c>
      <c r="J127" s="7">
        <v>42.66</v>
      </c>
      <c r="K127" s="18">
        <f>$H127*$I127</f>
        <v>69384.800000000003</v>
      </c>
      <c r="L127" s="1">
        <f t="shared" si="1"/>
        <v>54709.759999999995</v>
      </c>
    </row>
    <row r="128" spans="1:12" x14ac:dyDescent="0.25">
      <c r="A128" s="7" t="s">
        <v>150</v>
      </c>
      <c r="B128" s="7" t="s">
        <v>17</v>
      </c>
      <c r="C128" s="7" t="s">
        <v>50</v>
      </c>
      <c r="D128" s="7" t="s">
        <v>42</v>
      </c>
      <c r="E128" s="7" t="s">
        <v>14</v>
      </c>
      <c r="F128" s="7" t="s">
        <v>15</v>
      </c>
      <c r="G128" s="1">
        <v>45048</v>
      </c>
      <c r="H128" s="7">
        <v>231</v>
      </c>
      <c r="I128" s="7">
        <v>242.55</v>
      </c>
      <c r="J128" s="7">
        <v>264.16000000000003</v>
      </c>
      <c r="K128" s="18">
        <f>$H128*$I128</f>
        <v>56029.05</v>
      </c>
      <c r="L128" s="1">
        <f t="shared" si="1"/>
        <v>-4991.9100000000035</v>
      </c>
    </row>
    <row r="129" spans="1:12" x14ac:dyDescent="0.25">
      <c r="A129" s="7" t="s">
        <v>151</v>
      </c>
      <c r="B129" s="7" t="s">
        <v>48</v>
      </c>
      <c r="C129" s="7" t="s">
        <v>12</v>
      </c>
      <c r="D129" s="7" t="s">
        <v>23</v>
      </c>
      <c r="E129" s="7" t="s">
        <v>14</v>
      </c>
      <c r="F129" s="7" t="s">
        <v>20</v>
      </c>
      <c r="G129" s="1">
        <v>45049</v>
      </c>
      <c r="H129" s="7">
        <v>46</v>
      </c>
      <c r="I129" s="7">
        <v>344.55</v>
      </c>
      <c r="J129" s="7">
        <v>377.25</v>
      </c>
      <c r="K129" s="18">
        <f>$H129*$I129</f>
        <v>15849.300000000001</v>
      </c>
      <c r="L129" s="1">
        <f t="shared" si="1"/>
        <v>-1504.1999999999994</v>
      </c>
    </row>
    <row r="130" spans="1:12" x14ac:dyDescent="0.25">
      <c r="A130" s="7" t="s">
        <v>152</v>
      </c>
      <c r="B130" s="7" t="s">
        <v>11</v>
      </c>
      <c r="C130" s="7" t="s">
        <v>18</v>
      </c>
      <c r="D130" s="7" t="s">
        <v>13</v>
      </c>
      <c r="E130" s="7" t="s">
        <v>24</v>
      </c>
      <c r="F130" s="7" t="s">
        <v>28</v>
      </c>
      <c r="G130" s="1">
        <v>45050</v>
      </c>
      <c r="H130" s="7">
        <v>486</v>
      </c>
      <c r="I130" s="7">
        <v>13.6</v>
      </c>
      <c r="J130" s="7">
        <v>323.94</v>
      </c>
      <c r="K130" s="18">
        <f>$H130*$I130</f>
        <v>6609.5999999999995</v>
      </c>
      <c r="L130" s="1">
        <f t="shared" si="1"/>
        <v>-150825.24</v>
      </c>
    </row>
    <row r="131" spans="1:12" x14ac:dyDescent="0.25">
      <c r="A131" s="7" t="s">
        <v>153</v>
      </c>
      <c r="B131" s="7" t="s">
        <v>22</v>
      </c>
      <c r="C131" s="7" t="s">
        <v>12</v>
      </c>
      <c r="D131" s="7" t="s">
        <v>13</v>
      </c>
      <c r="E131" s="7" t="s">
        <v>24</v>
      </c>
      <c r="F131" s="7" t="s">
        <v>15</v>
      </c>
      <c r="G131" s="1">
        <v>45051</v>
      </c>
      <c r="H131" s="7">
        <v>287</v>
      </c>
      <c r="I131" s="7">
        <v>164.95</v>
      </c>
      <c r="J131" s="7">
        <v>32.409999999999997</v>
      </c>
      <c r="K131" s="18">
        <f>$H131*$I131</f>
        <v>47340.649999999994</v>
      </c>
      <c r="L131" s="1">
        <f t="shared" si="1"/>
        <v>38038.979999999996</v>
      </c>
    </row>
    <row r="132" spans="1:12" x14ac:dyDescent="0.25">
      <c r="A132" s="7" t="s">
        <v>154</v>
      </c>
      <c r="B132" s="7" t="s">
        <v>17</v>
      </c>
      <c r="C132" s="7" t="s">
        <v>31</v>
      </c>
      <c r="D132" s="7" t="s">
        <v>19</v>
      </c>
      <c r="E132" s="7" t="s">
        <v>14</v>
      </c>
      <c r="F132" s="7" t="s">
        <v>28</v>
      </c>
      <c r="G132" s="1">
        <v>45052</v>
      </c>
      <c r="H132" s="7">
        <v>205</v>
      </c>
      <c r="I132" s="7">
        <v>486.68</v>
      </c>
      <c r="J132" s="7">
        <v>113.19</v>
      </c>
      <c r="K132" s="18">
        <f>$H132*$I132</f>
        <v>99769.4</v>
      </c>
      <c r="L132" s="1">
        <f t="shared" si="1"/>
        <v>76565.45</v>
      </c>
    </row>
    <row r="133" spans="1:12" x14ac:dyDescent="0.25">
      <c r="A133" s="7" t="s">
        <v>155</v>
      </c>
      <c r="B133" s="7" t="s">
        <v>48</v>
      </c>
      <c r="C133" s="7" t="s">
        <v>12</v>
      </c>
      <c r="D133" s="7" t="s">
        <v>42</v>
      </c>
      <c r="E133" s="7" t="s">
        <v>24</v>
      </c>
      <c r="F133" s="7" t="s">
        <v>28</v>
      </c>
      <c r="G133" s="1">
        <v>45053</v>
      </c>
      <c r="H133" s="7">
        <v>413</v>
      </c>
      <c r="I133" s="7">
        <v>292.16000000000003</v>
      </c>
      <c r="J133" s="7">
        <v>372.27</v>
      </c>
      <c r="K133" s="18">
        <f>$H133*$I133</f>
        <v>120662.08000000002</v>
      </c>
      <c r="L133" s="1">
        <f t="shared" si="1"/>
        <v>-33085.429999999986</v>
      </c>
    </row>
    <row r="134" spans="1:12" x14ac:dyDescent="0.25">
      <c r="A134" s="7" t="s">
        <v>156</v>
      </c>
      <c r="B134" s="7" t="s">
        <v>22</v>
      </c>
      <c r="C134" s="7" t="s">
        <v>26</v>
      </c>
      <c r="D134" s="7" t="s">
        <v>42</v>
      </c>
      <c r="E134" s="7" t="s">
        <v>24</v>
      </c>
      <c r="F134" s="7" t="s">
        <v>15</v>
      </c>
      <c r="G134" s="1">
        <v>45054</v>
      </c>
      <c r="H134" s="7">
        <v>361</v>
      </c>
      <c r="I134" s="7">
        <v>130.84</v>
      </c>
      <c r="J134" s="7">
        <v>102.72</v>
      </c>
      <c r="K134" s="18">
        <f>$H134*$I134</f>
        <v>47233.24</v>
      </c>
      <c r="L134" s="1">
        <f t="shared" si="1"/>
        <v>10151.320000000002</v>
      </c>
    </row>
    <row r="135" spans="1:12" x14ac:dyDescent="0.25">
      <c r="A135" s="7" t="s">
        <v>157</v>
      </c>
      <c r="B135" s="7" t="s">
        <v>17</v>
      </c>
      <c r="C135" s="7" t="s">
        <v>26</v>
      </c>
      <c r="D135" s="7" t="s">
        <v>27</v>
      </c>
      <c r="E135" s="7" t="s">
        <v>14</v>
      </c>
      <c r="F135" s="7" t="s">
        <v>15</v>
      </c>
      <c r="G135" s="1">
        <v>45055</v>
      </c>
      <c r="H135" s="7">
        <v>493</v>
      </c>
      <c r="I135" s="7">
        <v>263.26</v>
      </c>
      <c r="J135" s="7">
        <v>312.91000000000003</v>
      </c>
      <c r="K135" s="18">
        <f>$H135*$I135</f>
        <v>129787.18</v>
      </c>
      <c r="L135" s="1">
        <f t="shared" si="1"/>
        <v>-24477.450000000015</v>
      </c>
    </row>
    <row r="136" spans="1:12" x14ac:dyDescent="0.25">
      <c r="A136" s="7" t="s">
        <v>158</v>
      </c>
      <c r="B136" s="7" t="s">
        <v>17</v>
      </c>
      <c r="C136" s="7" t="s">
        <v>31</v>
      </c>
      <c r="D136" s="7" t="s">
        <v>19</v>
      </c>
      <c r="E136" s="7" t="s">
        <v>24</v>
      </c>
      <c r="F136" s="7" t="s">
        <v>15</v>
      </c>
      <c r="G136" s="1">
        <v>45056</v>
      </c>
      <c r="H136" s="7">
        <v>251</v>
      </c>
      <c r="I136" s="7">
        <v>174.61</v>
      </c>
      <c r="J136" s="7">
        <v>330.4</v>
      </c>
      <c r="K136" s="18">
        <f>$H136*$I136</f>
        <v>43827.11</v>
      </c>
      <c r="L136" s="1">
        <f t="shared" ref="L136:L199" si="2">($I136-$J136)*$H136</f>
        <v>-39103.289999999994</v>
      </c>
    </row>
    <row r="137" spans="1:12" x14ac:dyDescent="0.25">
      <c r="A137" s="7" t="s">
        <v>159</v>
      </c>
      <c r="B137" s="7" t="s">
        <v>17</v>
      </c>
      <c r="C137" s="7" t="s">
        <v>18</v>
      </c>
      <c r="D137" s="7" t="s">
        <v>27</v>
      </c>
      <c r="E137" s="7" t="s">
        <v>24</v>
      </c>
      <c r="F137" s="7" t="s">
        <v>15</v>
      </c>
      <c r="G137" s="1">
        <v>45057</v>
      </c>
      <c r="H137" s="7">
        <v>255.9</v>
      </c>
      <c r="I137" s="7">
        <v>268.45999999999998</v>
      </c>
      <c r="J137" s="7">
        <v>199.19</v>
      </c>
      <c r="K137" s="18">
        <f>$H137*$I137</f>
        <v>68698.91399999999</v>
      </c>
      <c r="L137" s="1">
        <f t="shared" si="2"/>
        <v>17726.192999999996</v>
      </c>
    </row>
    <row r="138" spans="1:12" x14ac:dyDescent="0.25">
      <c r="A138" s="7" t="s">
        <v>160</v>
      </c>
      <c r="B138" s="7" t="s">
        <v>22</v>
      </c>
      <c r="C138" s="7" t="s">
        <v>26</v>
      </c>
      <c r="D138" s="7" t="s">
        <v>27</v>
      </c>
      <c r="E138" s="7" t="s">
        <v>24</v>
      </c>
      <c r="F138" s="7" t="s">
        <v>15</v>
      </c>
      <c r="G138" s="1">
        <v>45058</v>
      </c>
      <c r="H138" s="7">
        <v>228</v>
      </c>
      <c r="I138" s="7">
        <v>67.239999999999995</v>
      </c>
      <c r="J138" s="7">
        <v>155.77000000000001</v>
      </c>
      <c r="K138" s="18">
        <f>$H138*$I138</f>
        <v>15330.72</v>
      </c>
      <c r="L138" s="1">
        <f t="shared" si="2"/>
        <v>-20184.840000000004</v>
      </c>
    </row>
    <row r="139" spans="1:12" x14ac:dyDescent="0.25">
      <c r="A139" s="7" t="s">
        <v>161</v>
      </c>
      <c r="B139" s="7" t="s">
        <v>22</v>
      </c>
      <c r="C139" s="7" t="s">
        <v>50</v>
      </c>
      <c r="D139" s="7" t="s">
        <v>27</v>
      </c>
      <c r="E139" s="7" t="s">
        <v>14</v>
      </c>
      <c r="F139" s="7" t="s">
        <v>15</v>
      </c>
      <c r="G139" s="1">
        <v>45059</v>
      </c>
      <c r="H139" s="7">
        <v>201</v>
      </c>
      <c r="I139" s="7">
        <v>70.69</v>
      </c>
      <c r="J139" s="7">
        <v>181.15</v>
      </c>
      <c r="K139" s="18">
        <f>$H139*$I139</f>
        <v>14208.689999999999</v>
      </c>
      <c r="L139" s="1">
        <f t="shared" si="2"/>
        <v>-22202.460000000003</v>
      </c>
    </row>
    <row r="140" spans="1:12" x14ac:dyDescent="0.25">
      <c r="A140" s="7" t="s">
        <v>162</v>
      </c>
      <c r="B140" s="7" t="s">
        <v>22</v>
      </c>
      <c r="C140" s="7" t="s">
        <v>26</v>
      </c>
      <c r="D140" s="7" t="s">
        <v>23</v>
      </c>
      <c r="E140" s="7" t="s">
        <v>14</v>
      </c>
      <c r="F140" s="7" t="s">
        <v>15</v>
      </c>
      <c r="G140" s="1">
        <v>45060</v>
      </c>
      <c r="H140" s="7">
        <v>26</v>
      </c>
      <c r="I140" s="7">
        <v>76.05</v>
      </c>
      <c r="J140" s="7">
        <v>92.33</v>
      </c>
      <c r="K140" s="18">
        <f>$H140*$I140</f>
        <v>1977.3</v>
      </c>
      <c r="L140" s="1">
        <f t="shared" si="2"/>
        <v>-423.28000000000003</v>
      </c>
    </row>
    <row r="141" spans="1:12" x14ac:dyDescent="0.25">
      <c r="A141" s="7" t="s">
        <v>163</v>
      </c>
      <c r="B141" s="7" t="s">
        <v>11</v>
      </c>
      <c r="C141" s="7" t="s">
        <v>26</v>
      </c>
      <c r="D141" s="7" t="s">
        <v>23</v>
      </c>
      <c r="E141" s="7" t="s">
        <v>14</v>
      </c>
      <c r="F141" s="7" t="s">
        <v>20</v>
      </c>
      <c r="G141" s="1">
        <v>45061</v>
      </c>
      <c r="H141" s="7">
        <v>21</v>
      </c>
      <c r="I141" s="7">
        <v>470.21</v>
      </c>
      <c r="J141" s="7">
        <v>355.98</v>
      </c>
      <c r="K141" s="18">
        <f>$H141*$I141</f>
        <v>9874.41</v>
      </c>
      <c r="L141" s="1">
        <f t="shared" si="2"/>
        <v>2398.829999999999</v>
      </c>
    </row>
    <row r="142" spans="1:12" x14ac:dyDescent="0.25">
      <c r="A142" s="7" t="s">
        <v>164</v>
      </c>
      <c r="B142" s="7" t="s">
        <v>22</v>
      </c>
      <c r="C142" s="7" t="s">
        <v>18</v>
      </c>
      <c r="D142" s="7" t="s">
        <v>27</v>
      </c>
      <c r="E142" s="7" t="s">
        <v>24</v>
      </c>
      <c r="F142" s="7" t="s">
        <v>28</v>
      </c>
      <c r="G142" s="1">
        <v>45062</v>
      </c>
      <c r="H142" s="7">
        <v>415</v>
      </c>
      <c r="I142" s="7">
        <v>367.78</v>
      </c>
      <c r="J142" s="7">
        <v>181.35</v>
      </c>
      <c r="K142" s="18">
        <f>$H142*$I142</f>
        <v>152628.69999999998</v>
      </c>
      <c r="L142" s="1">
        <f t="shared" si="2"/>
        <v>77368.45</v>
      </c>
    </row>
    <row r="143" spans="1:12" x14ac:dyDescent="0.25">
      <c r="A143" s="7" t="s">
        <v>165</v>
      </c>
      <c r="B143" s="7" t="s">
        <v>22</v>
      </c>
      <c r="C143" s="7" t="s">
        <v>12</v>
      </c>
      <c r="D143" s="7" t="s">
        <v>19</v>
      </c>
      <c r="E143" s="7" t="s">
        <v>24</v>
      </c>
      <c r="F143" s="7" t="s">
        <v>15</v>
      </c>
      <c r="G143" s="1">
        <v>45063</v>
      </c>
      <c r="H143" s="7">
        <v>410</v>
      </c>
      <c r="I143" s="7">
        <v>85.38</v>
      </c>
      <c r="J143" s="7">
        <v>353.22</v>
      </c>
      <c r="K143" s="18">
        <f>$H143*$I143</f>
        <v>35005.799999999996</v>
      </c>
      <c r="L143" s="1">
        <f t="shared" si="2"/>
        <v>-109814.40000000001</v>
      </c>
    </row>
    <row r="144" spans="1:12" x14ac:dyDescent="0.25">
      <c r="A144" s="7" t="s">
        <v>166</v>
      </c>
      <c r="B144" s="7" t="s">
        <v>22</v>
      </c>
      <c r="C144" s="7" t="s">
        <v>26</v>
      </c>
      <c r="D144" s="7" t="s">
        <v>42</v>
      </c>
      <c r="E144" s="7" t="s">
        <v>14</v>
      </c>
      <c r="F144" s="7" t="s">
        <v>20</v>
      </c>
      <c r="G144" s="1">
        <v>45064</v>
      </c>
      <c r="H144" s="7">
        <v>403</v>
      </c>
      <c r="I144" s="7">
        <v>98.23</v>
      </c>
      <c r="J144" s="7">
        <v>44.07</v>
      </c>
      <c r="K144" s="18">
        <f>$H144*$I144</f>
        <v>39586.69</v>
      </c>
      <c r="L144" s="1">
        <f t="shared" si="2"/>
        <v>21826.480000000003</v>
      </c>
    </row>
    <row r="145" spans="1:12" x14ac:dyDescent="0.25">
      <c r="A145" s="7" t="s">
        <v>167</v>
      </c>
      <c r="B145" s="7" t="s">
        <v>11</v>
      </c>
      <c r="C145" s="7" t="s">
        <v>31</v>
      </c>
      <c r="D145" s="7" t="s">
        <v>19</v>
      </c>
      <c r="E145" s="7" t="s">
        <v>24</v>
      </c>
      <c r="F145" s="7" t="s">
        <v>20</v>
      </c>
      <c r="G145" s="1">
        <v>45065</v>
      </c>
      <c r="H145" s="7">
        <v>383</v>
      </c>
      <c r="I145" s="7">
        <v>366.76</v>
      </c>
      <c r="J145" s="7">
        <v>395.33</v>
      </c>
      <c r="K145" s="18">
        <f>$H145*$I145</f>
        <v>140469.07999999999</v>
      </c>
      <c r="L145" s="1">
        <f t="shared" si="2"/>
        <v>-10942.309999999998</v>
      </c>
    </row>
    <row r="146" spans="1:12" x14ac:dyDescent="0.25">
      <c r="A146" s="7" t="s">
        <v>168</v>
      </c>
      <c r="B146" s="7" t="s">
        <v>22</v>
      </c>
      <c r="C146" s="7" t="s">
        <v>12</v>
      </c>
      <c r="D146" s="7" t="s">
        <v>13</v>
      </c>
      <c r="E146" s="7" t="s">
        <v>24</v>
      </c>
      <c r="F146" s="7" t="s">
        <v>20</v>
      </c>
      <c r="G146" s="1">
        <v>45066</v>
      </c>
      <c r="H146" s="7">
        <v>202</v>
      </c>
      <c r="I146" s="7">
        <v>82.3</v>
      </c>
      <c r="J146" s="7">
        <v>178.42</v>
      </c>
      <c r="K146" s="18">
        <f>$H146*$I146</f>
        <v>16624.599999999999</v>
      </c>
      <c r="L146" s="1">
        <f t="shared" si="2"/>
        <v>-19416.239999999998</v>
      </c>
    </row>
    <row r="147" spans="1:12" x14ac:dyDescent="0.25">
      <c r="A147" s="7" t="s">
        <v>169</v>
      </c>
      <c r="B147" s="7" t="s">
        <v>17</v>
      </c>
      <c r="C147" s="7" t="s">
        <v>50</v>
      </c>
      <c r="D147" s="7" t="s">
        <v>23</v>
      </c>
      <c r="E147" s="7" t="s">
        <v>24</v>
      </c>
      <c r="F147" s="7" t="s">
        <v>28</v>
      </c>
      <c r="G147" s="1">
        <v>45067</v>
      </c>
      <c r="H147" s="7">
        <v>31</v>
      </c>
      <c r="I147" s="7">
        <v>121.11</v>
      </c>
      <c r="J147" s="7">
        <v>21.04</v>
      </c>
      <c r="K147" s="18">
        <f>$H147*$I147</f>
        <v>3754.41</v>
      </c>
      <c r="L147" s="1">
        <f t="shared" si="2"/>
        <v>3102.1699999999996</v>
      </c>
    </row>
    <row r="148" spans="1:12" x14ac:dyDescent="0.25">
      <c r="A148" s="7" t="s">
        <v>170</v>
      </c>
      <c r="B148" s="7" t="s">
        <v>22</v>
      </c>
      <c r="C148" s="7" t="s">
        <v>18</v>
      </c>
      <c r="D148" s="7" t="s">
        <v>42</v>
      </c>
      <c r="E148" s="7" t="s">
        <v>24</v>
      </c>
      <c r="F148" s="7" t="s">
        <v>15</v>
      </c>
      <c r="G148" s="1">
        <v>45068</v>
      </c>
      <c r="H148" s="7">
        <v>483</v>
      </c>
      <c r="I148" s="7">
        <v>481.86</v>
      </c>
      <c r="J148" s="7">
        <v>17.13</v>
      </c>
      <c r="K148" s="18">
        <f>$H148*$I148</f>
        <v>232738.38</v>
      </c>
      <c r="L148" s="1">
        <f t="shared" si="2"/>
        <v>224464.59</v>
      </c>
    </row>
    <row r="149" spans="1:12" x14ac:dyDescent="0.25">
      <c r="A149" s="7" t="s">
        <v>171</v>
      </c>
      <c r="B149" s="7" t="s">
        <v>17</v>
      </c>
      <c r="C149" s="7" t="s">
        <v>50</v>
      </c>
      <c r="D149" s="7" t="s">
        <v>42</v>
      </c>
      <c r="E149" s="7" t="s">
        <v>24</v>
      </c>
      <c r="F149" s="7" t="s">
        <v>20</v>
      </c>
      <c r="G149" s="1">
        <v>45069</v>
      </c>
      <c r="H149" s="7">
        <v>129</v>
      </c>
      <c r="I149" s="7">
        <v>131.38</v>
      </c>
      <c r="J149" s="7">
        <v>298.99</v>
      </c>
      <c r="K149" s="18">
        <f>$H149*$I149</f>
        <v>16948.02</v>
      </c>
      <c r="L149" s="1">
        <f t="shared" si="2"/>
        <v>-21621.690000000002</v>
      </c>
    </row>
    <row r="150" spans="1:12" x14ac:dyDescent="0.25">
      <c r="A150" s="7" t="s">
        <v>172</v>
      </c>
      <c r="B150" s="7" t="s">
        <v>17</v>
      </c>
      <c r="C150" s="7" t="s">
        <v>12</v>
      </c>
      <c r="D150" s="7" t="s">
        <v>13</v>
      </c>
      <c r="E150" s="7" t="s">
        <v>14</v>
      </c>
      <c r="F150" s="7" t="s">
        <v>28</v>
      </c>
      <c r="G150" s="1">
        <v>45070</v>
      </c>
      <c r="H150" s="7">
        <v>219</v>
      </c>
      <c r="I150" s="7">
        <v>332.51</v>
      </c>
      <c r="J150" s="7">
        <v>264.3</v>
      </c>
      <c r="K150" s="18">
        <f>$H150*$I150</f>
        <v>72819.69</v>
      </c>
      <c r="L150" s="1">
        <f t="shared" si="2"/>
        <v>14937.989999999996</v>
      </c>
    </row>
    <row r="151" spans="1:12" x14ac:dyDescent="0.25">
      <c r="A151" s="7" t="s">
        <v>173</v>
      </c>
      <c r="B151" s="7" t="s">
        <v>17</v>
      </c>
      <c r="C151" s="7" t="s">
        <v>12</v>
      </c>
      <c r="D151" s="7" t="s">
        <v>13</v>
      </c>
      <c r="E151" s="7" t="s">
        <v>24</v>
      </c>
      <c r="F151" s="7" t="s">
        <v>28</v>
      </c>
      <c r="G151" s="1">
        <v>45071</v>
      </c>
      <c r="H151" s="7">
        <v>315</v>
      </c>
      <c r="I151" s="7">
        <v>489.42</v>
      </c>
      <c r="J151" s="7">
        <v>321.25</v>
      </c>
      <c r="K151" s="18">
        <f>$H151*$I151</f>
        <v>154167.30000000002</v>
      </c>
      <c r="L151" s="1">
        <f t="shared" si="2"/>
        <v>52973.55</v>
      </c>
    </row>
    <row r="152" spans="1:12" x14ac:dyDescent="0.25">
      <c r="A152" s="7" t="s">
        <v>174</v>
      </c>
      <c r="B152" s="7" t="s">
        <v>11</v>
      </c>
      <c r="C152" s="7" t="s">
        <v>12</v>
      </c>
      <c r="D152" s="7" t="s">
        <v>27</v>
      </c>
      <c r="E152" s="7" t="s">
        <v>14</v>
      </c>
      <c r="F152" s="7" t="s">
        <v>28</v>
      </c>
      <c r="G152" s="1">
        <v>45072</v>
      </c>
      <c r="H152" s="7">
        <v>279</v>
      </c>
      <c r="I152" s="7">
        <v>190.28</v>
      </c>
      <c r="J152" s="7">
        <v>43.94</v>
      </c>
      <c r="K152" s="18">
        <f>$H152*$I152</f>
        <v>53088.12</v>
      </c>
      <c r="L152" s="1">
        <f t="shared" si="2"/>
        <v>40828.86</v>
      </c>
    </row>
    <row r="153" spans="1:12" x14ac:dyDescent="0.25">
      <c r="A153" s="7" t="s">
        <v>175</v>
      </c>
      <c r="B153" s="7" t="s">
        <v>11</v>
      </c>
      <c r="C153" s="7" t="s">
        <v>50</v>
      </c>
      <c r="D153" s="7" t="s">
        <v>23</v>
      </c>
      <c r="E153" s="7" t="s">
        <v>24</v>
      </c>
      <c r="F153" s="7" t="s">
        <v>20</v>
      </c>
      <c r="G153" s="1">
        <v>45073</v>
      </c>
      <c r="H153" s="7">
        <v>201</v>
      </c>
      <c r="I153" s="7">
        <v>13.67</v>
      </c>
      <c r="J153" s="7">
        <v>16.16</v>
      </c>
      <c r="K153" s="18">
        <f>$H153*$I153</f>
        <v>2747.67</v>
      </c>
      <c r="L153" s="1">
        <f t="shared" si="2"/>
        <v>-500.49000000000007</v>
      </c>
    </row>
    <row r="154" spans="1:12" x14ac:dyDescent="0.25">
      <c r="A154" s="7" t="s">
        <v>176</v>
      </c>
      <c r="B154" s="7" t="s">
        <v>11</v>
      </c>
      <c r="C154" s="7" t="s">
        <v>12</v>
      </c>
      <c r="D154" s="7" t="s">
        <v>23</v>
      </c>
      <c r="E154" s="7" t="s">
        <v>14</v>
      </c>
      <c r="F154" s="7" t="s">
        <v>15</v>
      </c>
      <c r="G154" s="1">
        <v>45074</v>
      </c>
      <c r="H154" s="7">
        <v>184</v>
      </c>
      <c r="I154" s="7">
        <v>125.85</v>
      </c>
      <c r="J154" s="7">
        <v>204.41</v>
      </c>
      <c r="K154" s="18">
        <f>$H154*$I154</f>
        <v>23156.399999999998</v>
      </c>
      <c r="L154" s="1">
        <f t="shared" si="2"/>
        <v>-14455.04</v>
      </c>
    </row>
    <row r="155" spans="1:12" x14ac:dyDescent="0.25">
      <c r="A155" s="7" t="s">
        <v>177</v>
      </c>
      <c r="B155" s="7" t="s">
        <v>22</v>
      </c>
      <c r="C155" s="7" t="s">
        <v>50</v>
      </c>
      <c r="D155" s="7" t="s">
        <v>19</v>
      </c>
      <c r="E155" s="7" t="s">
        <v>24</v>
      </c>
      <c r="F155" s="7" t="s">
        <v>20</v>
      </c>
      <c r="G155" s="1">
        <v>45075</v>
      </c>
      <c r="H155" s="7">
        <v>294</v>
      </c>
      <c r="I155" s="7">
        <v>416.28</v>
      </c>
      <c r="J155" s="7">
        <v>156.26</v>
      </c>
      <c r="K155" s="18">
        <f>$H155*$I155</f>
        <v>122386.31999999999</v>
      </c>
      <c r="L155" s="1">
        <f t="shared" si="2"/>
        <v>76445.87999999999</v>
      </c>
    </row>
    <row r="156" spans="1:12" x14ac:dyDescent="0.25">
      <c r="A156" s="7" t="s">
        <v>178</v>
      </c>
      <c r="B156" s="7" t="s">
        <v>17</v>
      </c>
      <c r="C156" s="7" t="s">
        <v>12</v>
      </c>
      <c r="D156" s="7" t="s">
        <v>27</v>
      </c>
      <c r="E156" s="7" t="s">
        <v>14</v>
      </c>
      <c r="F156" s="7" t="s">
        <v>20</v>
      </c>
      <c r="G156" s="1">
        <v>45076</v>
      </c>
      <c r="H156" s="7">
        <v>213</v>
      </c>
      <c r="I156" s="7">
        <v>432.98</v>
      </c>
      <c r="J156" s="7">
        <v>185.85</v>
      </c>
      <c r="K156" s="18">
        <f>$H156*$I156</f>
        <v>92224.74</v>
      </c>
      <c r="L156" s="1">
        <f t="shared" si="2"/>
        <v>52638.69</v>
      </c>
    </row>
    <row r="157" spans="1:12" x14ac:dyDescent="0.25">
      <c r="A157" s="7" t="s">
        <v>179</v>
      </c>
      <c r="B157" s="7" t="s">
        <v>11</v>
      </c>
      <c r="C157" s="7" t="s">
        <v>31</v>
      </c>
      <c r="D157" s="7" t="s">
        <v>27</v>
      </c>
      <c r="E157" s="7" t="s">
        <v>24</v>
      </c>
      <c r="F157" s="7" t="s">
        <v>15</v>
      </c>
      <c r="G157" s="1">
        <v>45077</v>
      </c>
      <c r="H157" s="7">
        <v>173</v>
      </c>
      <c r="I157" s="7">
        <v>385.42</v>
      </c>
      <c r="J157" s="7">
        <v>396.65</v>
      </c>
      <c r="K157" s="18">
        <f>$H157*$I157</f>
        <v>66677.66</v>
      </c>
      <c r="L157" s="1">
        <f t="shared" si="2"/>
        <v>-1942.7899999999934</v>
      </c>
    </row>
    <row r="158" spans="1:12" x14ac:dyDescent="0.25">
      <c r="A158" s="7" t="s">
        <v>180</v>
      </c>
      <c r="B158" s="7" t="s">
        <v>11</v>
      </c>
      <c r="C158" s="7" t="s">
        <v>12</v>
      </c>
      <c r="D158" s="7" t="s">
        <v>27</v>
      </c>
      <c r="E158" s="7" t="s">
        <v>14</v>
      </c>
      <c r="F158" s="7" t="s">
        <v>15</v>
      </c>
      <c r="G158" s="1">
        <v>45078</v>
      </c>
      <c r="H158" s="7">
        <v>260</v>
      </c>
      <c r="I158" s="7">
        <v>60.99</v>
      </c>
      <c r="J158" s="7">
        <v>388.36</v>
      </c>
      <c r="K158" s="18">
        <f>$H158*$I158</f>
        <v>15857.4</v>
      </c>
      <c r="L158" s="1">
        <f t="shared" si="2"/>
        <v>-85116.2</v>
      </c>
    </row>
    <row r="159" spans="1:12" x14ac:dyDescent="0.25">
      <c r="A159" s="7" t="s">
        <v>181</v>
      </c>
      <c r="B159" s="7" t="s">
        <v>22</v>
      </c>
      <c r="C159" s="7" t="s">
        <v>50</v>
      </c>
      <c r="D159" s="7" t="s">
        <v>27</v>
      </c>
      <c r="E159" s="7" t="s">
        <v>24</v>
      </c>
      <c r="F159" s="7" t="s">
        <v>15</v>
      </c>
      <c r="G159" s="1">
        <v>45079</v>
      </c>
      <c r="H159" s="7">
        <v>236</v>
      </c>
      <c r="I159" s="7">
        <v>398.78</v>
      </c>
      <c r="J159" s="7">
        <v>377.04</v>
      </c>
      <c r="K159" s="18">
        <f>$H159*$I159</f>
        <v>94112.079999999987</v>
      </c>
      <c r="L159" s="1">
        <f t="shared" si="2"/>
        <v>5130.6399999999885</v>
      </c>
    </row>
    <row r="160" spans="1:12" x14ac:dyDescent="0.25">
      <c r="A160" s="7" t="s">
        <v>182</v>
      </c>
      <c r="B160" s="7" t="s">
        <v>11</v>
      </c>
      <c r="C160" s="7" t="s">
        <v>26</v>
      </c>
      <c r="D160" s="7" t="s">
        <v>23</v>
      </c>
      <c r="E160" s="7" t="s">
        <v>14</v>
      </c>
      <c r="F160" s="7" t="s">
        <v>28</v>
      </c>
      <c r="G160" s="1">
        <v>45080</v>
      </c>
      <c r="H160" s="7">
        <v>445</v>
      </c>
      <c r="I160" s="7">
        <v>459.75</v>
      </c>
      <c r="J160" s="7">
        <v>313.97000000000003</v>
      </c>
      <c r="K160" s="18">
        <f>$H160*$I160</f>
        <v>204588.75</v>
      </c>
      <c r="L160" s="1">
        <f t="shared" si="2"/>
        <v>64872.099999999991</v>
      </c>
    </row>
    <row r="161" spans="1:12" x14ac:dyDescent="0.25">
      <c r="A161" s="7" t="s">
        <v>183</v>
      </c>
      <c r="B161" s="7" t="s">
        <v>22</v>
      </c>
      <c r="C161" s="7" t="s">
        <v>12</v>
      </c>
      <c r="D161" s="7" t="s">
        <v>23</v>
      </c>
      <c r="E161" s="7" t="s">
        <v>24</v>
      </c>
      <c r="F161" s="7" t="s">
        <v>15</v>
      </c>
      <c r="G161" s="1">
        <v>45081</v>
      </c>
      <c r="H161" s="7">
        <v>390</v>
      </c>
      <c r="I161" s="7">
        <v>302.3</v>
      </c>
      <c r="J161" s="7">
        <v>143.22999999999999</v>
      </c>
      <c r="K161" s="18">
        <f>$H161*$I161</f>
        <v>117897</v>
      </c>
      <c r="L161" s="1">
        <f t="shared" si="2"/>
        <v>62037.30000000001</v>
      </c>
    </row>
    <row r="162" spans="1:12" x14ac:dyDescent="0.25">
      <c r="A162" s="7" t="s">
        <v>184</v>
      </c>
      <c r="B162" s="7" t="s">
        <v>48</v>
      </c>
      <c r="C162" s="7" t="s">
        <v>26</v>
      </c>
      <c r="D162" s="7" t="s">
        <v>27</v>
      </c>
      <c r="E162" s="7" t="s">
        <v>14</v>
      </c>
      <c r="F162" s="7" t="s">
        <v>20</v>
      </c>
      <c r="G162" s="1">
        <v>45082</v>
      </c>
      <c r="H162" s="7">
        <v>469</v>
      </c>
      <c r="I162" s="7">
        <v>470.73</v>
      </c>
      <c r="J162" s="7">
        <v>166.03</v>
      </c>
      <c r="K162" s="18">
        <f>$H162*$I162</f>
        <v>220772.37</v>
      </c>
      <c r="L162" s="1">
        <f t="shared" si="2"/>
        <v>142904.30000000002</v>
      </c>
    </row>
    <row r="163" spans="1:12" x14ac:dyDescent="0.25">
      <c r="A163" s="7" t="s">
        <v>185</v>
      </c>
      <c r="B163" s="7" t="s">
        <v>11</v>
      </c>
      <c r="C163" s="7" t="s">
        <v>31</v>
      </c>
      <c r="D163" s="7" t="s">
        <v>19</v>
      </c>
      <c r="E163" s="7" t="s">
        <v>14</v>
      </c>
      <c r="F163" s="7" t="s">
        <v>15</v>
      </c>
      <c r="G163" s="1">
        <v>45083</v>
      </c>
      <c r="H163" s="7">
        <v>16</v>
      </c>
      <c r="I163" s="7">
        <v>249.64</v>
      </c>
      <c r="J163" s="7">
        <v>220.75</v>
      </c>
      <c r="K163" s="18">
        <f>$H163*$I163</f>
        <v>3994.24</v>
      </c>
      <c r="L163" s="1">
        <f t="shared" si="2"/>
        <v>462.23999999999978</v>
      </c>
    </row>
    <row r="164" spans="1:12" x14ac:dyDescent="0.25">
      <c r="A164" s="7" t="s">
        <v>186</v>
      </c>
      <c r="B164" s="7" t="s">
        <v>48</v>
      </c>
      <c r="C164" s="7" t="s">
        <v>18</v>
      </c>
      <c r="D164" s="7" t="s">
        <v>42</v>
      </c>
      <c r="E164" s="7" t="s">
        <v>24</v>
      </c>
      <c r="F164" s="7" t="s">
        <v>20</v>
      </c>
      <c r="G164" s="1">
        <v>45084</v>
      </c>
      <c r="H164" s="7">
        <v>38</v>
      </c>
      <c r="I164" s="7">
        <v>335.15</v>
      </c>
      <c r="J164" s="7">
        <v>332.55</v>
      </c>
      <c r="K164" s="18">
        <f>$H164*$I164</f>
        <v>12735.699999999999</v>
      </c>
      <c r="L164" s="1">
        <f t="shared" si="2"/>
        <v>98.799999999998704</v>
      </c>
    </row>
    <row r="165" spans="1:12" x14ac:dyDescent="0.25">
      <c r="A165" s="7" t="s">
        <v>187</v>
      </c>
      <c r="B165" s="7" t="s">
        <v>22</v>
      </c>
      <c r="C165" s="7" t="s">
        <v>31</v>
      </c>
      <c r="D165" s="7" t="s">
        <v>42</v>
      </c>
      <c r="E165" s="7" t="s">
        <v>24</v>
      </c>
      <c r="F165" s="7" t="s">
        <v>28</v>
      </c>
      <c r="G165" s="1">
        <v>45085</v>
      </c>
      <c r="H165" s="7">
        <v>404</v>
      </c>
      <c r="I165" s="7">
        <v>290.70999999999998</v>
      </c>
      <c r="J165" s="7">
        <v>29.35</v>
      </c>
      <c r="K165" s="18">
        <f>$H165*$I165</f>
        <v>117446.84</v>
      </c>
      <c r="L165" s="1">
        <f t="shared" si="2"/>
        <v>105589.43999999999</v>
      </c>
    </row>
    <row r="166" spans="1:12" x14ac:dyDescent="0.25">
      <c r="A166" s="7" t="s">
        <v>188</v>
      </c>
      <c r="B166" s="7" t="s">
        <v>17</v>
      </c>
      <c r="C166" s="7" t="s">
        <v>12</v>
      </c>
      <c r="D166" s="7" t="s">
        <v>19</v>
      </c>
      <c r="E166" s="7" t="s">
        <v>14</v>
      </c>
      <c r="F166" s="7" t="s">
        <v>20</v>
      </c>
      <c r="G166" s="1">
        <v>45086</v>
      </c>
      <c r="H166" s="7">
        <v>42</v>
      </c>
      <c r="I166" s="7">
        <v>177.54</v>
      </c>
      <c r="J166" s="7">
        <v>170.87</v>
      </c>
      <c r="K166" s="18">
        <f>$H166*$I166</f>
        <v>7456.6799999999994</v>
      </c>
      <c r="L166" s="1">
        <f t="shared" si="2"/>
        <v>280.13999999999947</v>
      </c>
    </row>
    <row r="167" spans="1:12" x14ac:dyDescent="0.25">
      <c r="A167" s="7" t="s">
        <v>189</v>
      </c>
      <c r="B167" s="7" t="s">
        <v>11</v>
      </c>
      <c r="C167" s="7" t="s">
        <v>26</v>
      </c>
      <c r="D167" s="7" t="s">
        <v>27</v>
      </c>
      <c r="E167" s="7" t="s">
        <v>24</v>
      </c>
      <c r="F167" s="7" t="s">
        <v>20</v>
      </c>
      <c r="G167" s="1">
        <v>45087</v>
      </c>
      <c r="H167" s="7">
        <v>143</v>
      </c>
      <c r="I167" s="7">
        <v>83.85</v>
      </c>
      <c r="J167" s="7">
        <v>34.880000000000003</v>
      </c>
      <c r="K167" s="18">
        <f>$H167*$I167</f>
        <v>11990.55</v>
      </c>
      <c r="L167" s="1">
        <f t="shared" si="2"/>
        <v>7002.7099999999991</v>
      </c>
    </row>
    <row r="168" spans="1:12" x14ac:dyDescent="0.25">
      <c r="A168" s="7" t="s">
        <v>190</v>
      </c>
      <c r="B168" s="7" t="s">
        <v>22</v>
      </c>
      <c r="C168" s="7" t="s">
        <v>26</v>
      </c>
      <c r="D168" s="7" t="s">
        <v>23</v>
      </c>
      <c r="E168" s="7" t="s">
        <v>14</v>
      </c>
      <c r="F168" s="7" t="s">
        <v>15</v>
      </c>
      <c r="G168" s="1">
        <v>45088</v>
      </c>
      <c r="H168" s="7">
        <v>376</v>
      </c>
      <c r="I168" s="7">
        <v>304.45</v>
      </c>
      <c r="J168" s="7">
        <v>206.83</v>
      </c>
      <c r="K168" s="18">
        <f>$H168*$I168</f>
        <v>114473.2</v>
      </c>
      <c r="L168" s="1">
        <f t="shared" si="2"/>
        <v>36705.119999999988</v>
      </c>
    </row>
    <row r="169" spans="1:12" x14ac:dyDescent="0.25">
      <c r="A169" s="7" t="s">
        <v>191</v>
      </c>
      <c r="B169" s="7" t="s">
        <v>17</v>
      </c>
      <c r="C169" s="7" t="s">
        <v>50</v>
      </c>
      <c r="D169" s="7" t="s">
        <v>42</v>
      </c>
      <c r="E169" s="7" t="s">
        <v>14</v>
      </c>
      <c r="F169" s="7" t="s">
        <v>15</v>
      </c>
      <c r="G169" s="1">
        <v>45089</v>
      </c>
      <c r="H169" s="7">
        <v>88</v>
      </c>
      <c r="I169" s="7">
        <v>162.47</v>
      </c>
      <c r="J169" s="7">
        <v>359.76</v>
      </c>
      <c r="K169" s="18">
        <f>$H169*$I169</f>
        <v>14297.36</v>
      </c>
      <c r="L169" s="1">
        <f t="shared" si="2"/>
        <v>-17361.52</v>
      </c>
    </row>
    <row r="170" spans="1:12" x14ac:dyDescent="0.25">
      <c r="A170" s="7" t="s">
        <v>192</v>
      </c>
      <c r="B170" s="7" t="s">
        <v>17</v>
      </c>
      <c r="C170" s="7" t="s">
        <v>26</v>
      </c>
      <c r="D170" s="7" t="s">
        <v>13</v>
      </c>
      <c r="E170" s="7" t="s">
        <v>14</v>
      </c>
      <c r="F170" s="7" t="s">
        <v>20</v>
      </c>
      <c r="G170" s="1">
        <v>45090</v>
      </c>
      <c r="H170" s="7">
        <v>425</v>
      </c>
      <c r="I170" s="7">
        <v>433.89</v>
      </c>
      <c r="J170" s="7">
        <v>313.43</v>
      </c>
      <c r="K170" s="18">
        <f>$H170*$I170</f>
        <v>184403.25</v>
      </c>
      <c r="L170" s="1">
        <f t="shared" si="2"/>
        <v>51195.499999999993</v>
      </c>
    </row>
    <row r="171" spans="1:12" x14ac:dyDescent="0.25">
      <c r="A171" s="7" t="s">
        <v>193</v>
      </c>
      <c r="B171" s="7" t="s">
        <v>48</v>
      </c>
      <c r="C171" s="7" t="s">
        <v>50</v>
      </c>
      <c r="D171" s="7" t="s">
        <v>13</v>
      </c>
      <c r="E171" s="7" t="s">
        <v>24</v>
      </c>
      <c r="F171" s="7" t="s">
        <v>15</v>
      </c>
      <c r="G171" s="1">
        <v>45091</v>
      </c>
      <c r="H171" s="7">
        <v>444</v>
      </c>
      <c r="I171" s="7">
        <v>496.7</v>
      </c>
      <c r="J171" s="7">
        <v>92.68</v>
      </c>
      <c r="K171" s="18">
        <f>$H171*$I171</f>
        <v>220534.8</v>
      </c>
      <c r="L171" s="1">
        <f t="shared" si="2"/>
        <v>179384.88</v>
      </c>
    </row>
    <row r="172" spans="1:12" x14ac:dyDescent="0.25">
      <c r="A172" s="7" t="s">
        <v>194</v>
      </c>
      <c r="B172" s="7" t="s">
        <v>22</v>
      </c>
      <c r="C172" s="7" t="s">
        <v>18</v>
      </c>
      <c r="D172" s="7" t="s">
        <v>19</v>
      </c>
      <c r="E172" s="7" t="s">
        <v>14</v>
      </c>
      <c r="F172" s="7" t="s">
        <v>28</v>
      </c>
      <c r="G172" s="1">
        <v>45092</v>
      </c>
      <c r="H172" s="7">
        <v>468</v>
      </c>
      <c r="I172" s="7">
        <v>377.45</v>
      </c>
      <c r="J172" s="7">
        <v>390.44</v>
      </c>
      <c r="K172" s="18">
        <f>$H172*$I172</f>
        <v>176646.6</v>
      </c>
      <c r="L172" s="1">
        <f t="shared" si="2"/>
        <v>-6079.3200000000043</v>
      </c>
    </row>
    <row r="173" spans="1:12" x14ac:dyDescent="0.25">
      <c r="A173" s="7" t="s">
        <v>195</v>
      </c>
      <c r="B173" s="7" t="s">
        <v>17</v>
      </c>
      <c r="C173" s="7" t="s">
        <v>12</v>
      </c>
      <c r="D173" s="7" t="s">
        <v>27</v>
      </c>
      <c r="E173" s="7" t="s">
        <v>14</v>
      </c>
      <c r="F173" s="7" t="s">
        <v>28</v>
      </c>
      <c r="G173" s="1">
        <v>45093</v>
      </c>
      <c r="H173" s="7">
        <v>67</v>
      </c>
      <c r="I173" s="7">
        <v>49.79</v>
      </c>
      <c r="J173" s="7">
        <v>267.61</v>
      </c>
      <c r="K173" s="18">
        <f>$H173*$I173</f>
        <v>3335.93</v>
      </c>
      <c r="L173" s="1">
        <f t="shared" si="2"/>
        <v>-14593.940000000002</v>
      </c>
    </row>
    <row r="174" spans="1:12" x14ac:dyDescent="0.25">
      <c r="A174" s="7" t="s">
        <v>196</v>
      </c>
      <c r="B174" s="7" t="s">
        <v>11</v>
      </c>
      <c r="C174" s="7" t="s">
        <v>50</v>
      </c>
      <c r="D174" s="7" t="s">
        <v>42</v>
      </c>
      <c r="E174" s="7" t="s">
        <v>24</v>
      </c>
      <c r="F174" s="7" t="s">
        <v>15</v>
      </c>
      <c r="G174" s="1">
        <v>45094</v>
      </c>
      <c r="H174" s="7">
        <v>480</v>
      </c>
      <c r="I174" s="7">
        <v>147.9</v>
      </c>
      <c r="J174" s="7">
        <v>6.15</v>
      </c>
      <c r="K174" s="18">
        <f>$H174*$I174</f>
        <v>70992</v>
      </c>
      <c r="L174" s="1">
        <f t="shared" si="2"/>
        <v>68040</v>
      </c>
    </row>
    <row r="175" spans="1:12" x14ac:dyDescent="0.25">
      <c r="A175" s="7" t="s">
        <v>197</v>
      </c>
      <c r="B175" s="7" t="s">
        <v>11</v>
      </c>
      <c r="C175" s="7" t="s">
        <v>18</v>
      </c>
      <c r="D175" s="7" t="s">
        <v>27</v>
      </c>
      <c r="E175" s="7" t="s">
        <v>24</v>
      </c>
      <c r="F175" s="7" t="s">
        <v>28</v>
      </c>
      <c r="G175" s="1">
        <v>45095</v>
      </c>
      <c r="H175" s="7">
        <v>35</v>
      </c>
      <c r="I175" s="7">
        <v>59.01</v>
      </c>
      <c r="J175" s="7">
        <v>103.65</v>
      </c>
      <c r="K175" s="18">
        <f>$H175*$I175</f>
        <v>2065.35</v>
      </c>
      <c r="L175" s="1">
        <f t="shared" si="2"/>
        <v>-1562.4000000000003</v>
      </c>
    </row>
    <row r="176" spans="1:12" x14ac:dyDescent="0.25">
      <c r="A176" s="7" t="s">
        <v>198</v>
      </c>
      <c r="B176" s="7" t="s">
        <v>48</v>
      </c>
      <c r="C176" s="7" t="s">
        <v>26</v>
      </c>
      <c r="D176" s="7" t="s">
        <v>42</v>
      </c>
      <c r="E176" s="7" t="s">
        <v>24</v>
      </c>
      <c r="F176" s="7" t="s">
        <v>15</v>
      </c>
      <c r="G176" s="1">
        <v>45096</v>
      </c>
      <c r="H176" s="7">
        <v>491</v>
      </c>
      <c r="I176" s="7">
        <v>327</v>
      </c>
      <c r="J176" s="7">
        <v>105.76</v>
      </c>
      <c r="K176" s="18">
        <f>$H176*$I176</f>
        <v>160557</v>
      </c>
      <c r="L176" s="1">
        <f t="shared" si="2"/>
        <v>108628.84000000001</v>
      </c>
    </row>
    <row r="177" spans="1:12" x14ac:dyDescent="0.25">
      <c r="A177" s="7" t="s">
        <v>199</v>
      </c>
      <c r="B177" s="7" t="s">
        <v>17</v>
      </c>
      <c r="C177" s="7" t="s">
        <v>26</v>
      </c>
      <c r="D177" s="7" t="s">
        <v>19</v>
      </c>
      <c r="E177" s="7" t="s">
        <v>24</v>
      </c>
      <c r="F177" s="7" t="s">
        <v>20</v>
      </c>
      <c r="G177" s="1">
        <v>45097</v>
      </c>
      <c r="H177" s="7">
        <v>439</v>
      </c>
      <c r="I177" s="7">
        <v>383.77</v>
      </c>
      <c r="J177" s="7">
        <v>29.56</v>
      </c>
      <c r="K177" s="18">
        <f>$H177*$I177</f>
        <v>168475.03</v>
      </c>
      <c r="L177" s="1">
        <f t="shared" si="2"/>
        <v>155498.19</v>
      </c>
    </row>
    <row r="178" spans="1:12" x14ac:dyDescent="0.25">
      <c r="A178" s="7" t="s">
        <v>200</v>
      </c>
      <c r="B178" s="7" t="s">
        <v>22</v>
      </c>
      <c r="C178" s="7" t="s">
        <v>18</v>
      </c>
      <c r="D178" s="7" t="s">
        <v>19</v>
      </c>
      <c r="E178" s="7" t="s">
        <v>14</v>
      </c>
      <c r="F178" s="7" t="s">
        <v>20</v>
      </c>
      <c r="G178" s="1">
        <v>45098</v>
      </c>
      <c r="H178" s="7">
        <v>235</v>
      </c>
      <c r="I178" s="7">
        <v>463.21</v>
      </c>
      <c r="J178" s="7">
        <v>384.01</v>
      </c>
      <c r="K178" s="18">
        <f>$H178*$I178</f>
        <v>108854.34999999999</v>
      </c>
      <c r="L178" s="1">
        <f t="shared" si="2"/>
        <v>18611.999999999996</v>
      </c>
    </row>
    <row r="179" spans="1:12" x14ac:dyDescent="0.25">
      <c r="A179" s="7" t="s">
        <v>201</v>
      </c>
      <c r="B179" s="7" t="s">
        <v>11</v>
      </c>
      <c r="C179" s="7" t="s">
        <v>26</v>
      </c>
      <c r="D179" s="7" t="s">
        <v>13</v>
      </c>
      <c r="E179" s="7" t="s">
        <v>14</v>
      </c>
      <c r="F179" s="7" t="s">
        <v>28</v>
      </c>
      <c r="G179" s="1">
        <v>45099</v>
      </c>
      <c r="H179" s="7">
        <v>294</v>
      </c>
      <c r="I179" s="7">
        <v>221.9</v>
      </c>
      <c r="J179" s="7">
        <v>192.35</v>
      </c>
      <c r="K179" s="18">
        <f>$H179*$I179</f>
        <v>65238.6</v>
      </c>
      <c r="L179" s="1">
        <f t="shared" si="2"/>
        <v>8687.7000000000025</v>
      </c>
    </row>
    <row r="180" spans="1:12" x14ac:dyDescent="0.25">
      <c r="A180" s="7" t="s">
        <v>202</v>
      </c>
      <c r="B180" s="7" t="s">
        <v>17</v>
      </c>
      <c r="C180" s="7" t="s">
        <v>18</v>
      </c>
      <c r="D180" s="7" t="s">
        <v>27</v>
      </c>
      <c r="E180" s="7" t="s">
        <v>14</v>
      </c>
      <c r="F180" s="7" t="s">
        <v>15</v>
      </c>
      <c r="G180" s="1">
        <v>45100</v>
      </c>
      <c r="H180" s="7">
        <v>13</v>
      </c>
      <c r="I180" s="7">
        <v>451.18</v>
      </c>
      <c r="J180" s="7">
        <v>358.53</v>
      </c>
      <c r="K180" s="18">
        <f>$H180*$I180</f>
        <v>5865.34</v>
      </c>
      <c r="L180" s="1">
        <f t="shared" si="2"/>
        <v>1204.4500000000005</v>
      </c>
    </row>
    <row r="181" spans="1:12" x14ac:dyDescent="0.25">
      <c r="A181" s="7" t="s">
        <v>203</v>
      </c>
      <c r="B181" s="7" t="s">
        <v>17</v>
      </c>
      <c r="C181" s="7" t="s">
        <v>50</v>
      </c>
      <c r="D181" s="7" t="s">
        <v>13</v>
      </c>
      <c r="E181" s="7" t="s">
        <v>14</v>
      </c>
      <c r="F181" s="7" t="s">
        <v>15</v>
      </c>
      <c r="G181" s="1">
        <v>45101</v>
      </c>
      <c r="H181" s="7">
        <v>474</v>
      </c>
      <c r="I181" s="7">
        <v>439.56</v>
      </c>
      <c r="J181" s="7">
        <v>130.24</v>
      </c>
      <c r="K181" s="18">
        <f>$H181*$I181</f>
        <v>208351.44</v>
      </c>
      <c r="L181" s="1">
        <f t="shared" si="2"/>
        <v>146617.68</v>
      </c>
    </row>
    <row r="182" spans="1:12" x14ac:dyDescent="0.25">
      <c r="A182" s="7" t="s">
        <v>204</v>
      </c>
      <c r="B182" s="7" t="s">
        <v>48</v>
      </c>
      <c r="C182" s="7" t="s">
        <v>50</v>
      </c>
      <c r="D182" s="7" t="s">
        <v>27</v>
      </c>
      <c r="E182" s="7" t="s">
        <v>24</v>
      </c>
      <c r="F182" s="7" t="s">
        <v>28</v>
      </c>
      <c r="G182" s="1">
        <v>45102</v>
      </c>
      <c r="H182" s="7">
        <v>108</v>
      </c>
      <c r="I182" s="7">
        <v>162.01</v>
      </c>
      <c r="J182" s="7">
        <v>51.84</v>
      </c>
      <c r="K182" s="18">
        <f>$H182*$I182</f>
        <v>17497.079999999998</v>
      </c>
      <c r="L182" s="1">
        <f t="shared" si="2"/>
        <v>11898.359999999999</v>
      </c>
    </row>
    <row r="183" spans="1:12" x14ac:dyDescent="0.25">
      <c r="A183" s="7" t="s">
        <v>205</v>
      </c>
      <c r="B183" s="7" t="s">
        <v>11</v>
      </c>
      <c r="C183" s="7" t="s">
        <v>18</v>
      </c>
      <c r="D183" s="7" t="s">
        <v>13</v>
      </c>
      <c r="E183" s="7" t="s">
        <v>14</v>
      </c>
      <c r="F183" s="7" t="s">
        <v>20</v>
      </c>
      <c r="G183" s="1">
        <v>45103</v>
      </c>
      <c r="H183" s="7">
        <v>406</v>
      </c>
      <c r="I183" s="7">
        <v>435.11</v>
      </c>
      <c r="J183" s="7">
        <v>190.79</v>
      </c>
      <c r="K183" s="18">
        <f>$H183*$I183</f>
        <v>176654.66</v>
      </c>
      <c r="L183" s="1">
        <f t="shared" si="2"/>
        <v>99193.920000000013</v>
      </c>
    </row>
    <row r="184" spans="1:12" x14ac:dyDescent="0.25">
      <c r="A184" s="7" t="s">
        <v>206</v>
      </c>
      <c r="B184" s="7" t="s">
        <v>11</v>
      </c>
      <c r="C184" s="7" t="s">
        <v>50</v>
      </c>
      <c r="D184" s="7" t="s">
        <v>23</v>
      </c>
      <c r="E184" s="7" t="s">
        <v>14</v>
      </c>
      <c r="F184" s="7" t="s">
        <v>28</v>
      </c>
      <c r="G184" s="1">
        <v>45104</v>
      </c>
      <c r="H184" s="7">
        <v>498</v>
      </c>
      <c r="I184" s="7">
        <v>190.96</v>
      </c>
      <c r="J184" s="7">
        <v>47.35</v>
      </c>
      <c r="K184" s="18">
        <f>$H184*$I184</f>
        <v>95098.08</v>
      </c>
      <c r="L184" s="1">
        <f t="shared" si="2"/>
        <v>71517.780000000013</v>
      </c>
    </row>
    <row r="185" spans="1:12" x14ac:dyDescent="0.25">
      <c r="A185" s="7" t="s">
        <v>207</v>
      </c>
      <c r="B185" s="7" t="s">
        <v>22</v>
      </c>
      <c r="C185" s="7" t="s">
        <v>50</v>
      </c>
      <c r="D185" s="7" t="s">
        <v>23</v>
      </c>
      <c r="E185" s="7" t="s">
        <v>24</v>
      </c>
      <c r="F185" s="7" t="s">
        <v>20</v>
      </c>
      <c r="G185" s="1">
        <v>45105</v>
      </c>
      <c r="H185" s="7">
        <v>48</v>
      </c>
      <c r="I185" s="7">
        <v>151.94999999999999</v>
      </c>
      <c r="J185" s="7">
        <v>195.43</v>
      </c>
      <c r="K185" s="18">
        <f>$H185*$I185</f>
        <v>7293.5999999999995</v>
      </c>
      <c r="L185" s="1">
        <f t="shared" si="2"/>
        <v>-2087.0400000000009</v>
      </c>
    </row>
    <row r="186" spans="1:12" x14ac:dyDescent="0.25">
      <c r="A186" s="7" t="s">
        <v>208</v>
      </c>
      <c r="B186" s="7" t="s">
        <v>11</v>
      </c>
      <c r="C186" s="7" t="s">
        <v>50</v>
      </c>
      <c r="D186" s="7" t="s">
        <v>23</v>
      </c>
      <c r="E186" s="7" t="s">
        <v>14</v>
      </c>
      <c r="F186" s="7" t="s">
        <v>15</v>
      </c>
      <c r="G186" s="1">
        <v>45106</v>
      </c>
      <c r="H186" s="7">
        <v>280</v>
      </c>
      <c r="I186" s="7">
        <v>326.29000000000002</v>
      </c>
      <c r="J186" s="7">
        <v>368.28</v>
      </c>
      <c r="K186" s="18">
        <f>$H186*$I186</f>
        <v>91361.200000000012</v>
      </c>
      <c r="L186" s="1">
        <f t="shared" si="2"/>
        <v>-11757.199999999986</v>
      </c>
    </row>
    <row r="187" spans="1:12" x14ac:dyDescent="0.25">
      <c r="A187" s="7" t="s">
        <v>209</v>
      </c>
      <c r="B187" s="7" t="s">
        <v>22</v>
      </c>
      <c r="C187" s="7" t="s">
        <v>31</v>
      </c>
      <c r="D187" s="7" t="s">
        <v>23</v>
      </c>
      <c r="E187" s="7" t="s">
        <v>14</v>
      </c>
      <c r="F187" s="7" t="s">
        <v>20</v>
      </c>
      <c r="G187" s="1">
        <v>45107</v>
      </c>
      <c r="H187" s="7">
        <v>384</v>
      </c>
      <c r="I187" s="7">
        <v>167.55</v>
      </c>
      <c r="J187" s="7">
        <v>209.27</v>
      </c>
      <c r="K187" s="18">
        <f>$H187*$I187</f>
        <v>64339.200000000004</v>
      </c>
      <c r="L187" s="1">
        <f t="shared" si="2"/>
        <v>-16020.48</v>
      </c>
    </row>
    <row r="188" spans="1:12" x14ac:dyDescent="0.25">
      <c r="A188" s="7" t="s">
        <v>210</v>
      </c>
      <c r="B188" s="7" t="s">
        <v>11</v>
      </c>
      <c r="C188" s="7" t="s">
        <v>12</v>
      </c>
      <c r="D188" s="7" t="s">
        <v>42</v>
      </c>
      <c r="E188" s="7" t="s">
        <v>14</v>
      </c>
      <c r="F188" s="7" t="s">
        <v>28</v>
      </c>
      <c r="G188" s="1">
        <v>45108</v>
      </c>
      <c r="H188" s="7">
        <v>294</v>
      </c>
      <c r="I188" s="7">
        <v>316.95</v>
      </c>
      <c r="J188" s="7">
        <v>247.37</v>
      </c>
      <c r="K188" s="18">
        <f>$H188*$I188</f>
        <v>93183.3</v>
      </c>
      <c r="L188" s="1">
        <f t="shared" si="2"/>
        <v>20456.519999999997</v>
      </c>
    </row>
    <row r="189" spans="1:12" x14ac:dyDescent="0.25">
      <c r="A189" s="7" t="s">
        <v>211</v>
      </c>
      <c r="B189" s="7" t="s">
        <v>48</v>
      </c>
      <c r="C189" s="7" t="s">
        <v>26</v>
      </c>
      <c r="D189" s="7" t="s">
        <v>23</v>
      </c>
      <c r="E189" s="7" t="s">
        <v>14</v>
      </c>
      <c r="F189" s="7" t="s">
        <v>15</v>
      </c>
      <c r="G189" s="1">
        <v>45109</v>
      </c>
      <c r="H189" s="7">
        <v>166</v>
      </c>
      <c r="I189" s="7">
        <v>306.87</v>
      </c>
      <c r="J189" s="7">
        <v>64.34</v>
      </c>
      <c r="K189" s="18">
        <f>$H189*$I189</f>
        <v>50940.42</v>
      </c>
      <c r="L189" s="1">
        <f t="shared" si="2"/>
        <v>40259.980000000003</v>
      </c>
    </row>
    <row r="190" spans="1:12" x14ac:dyDescent="0.25">
      <c r="A190" s="7" t="s">
        <v>212</v>
      </c>
      <c r="B190" s="7" t="s">
        <v>11</v>
      </c>
      <c r="C190" s="7" t="s">
        <v>31</v>
      </c>
      <c r="D190" s="7" t="s">
        <v>19</v>
      </c>
      <c r="E190" s="7" t="s">
        <v>14</v>
      </c>
      <c r="F190" s="7" t="s">
        <v>28</v>
      </c>
      <c r="G190" s="1">
        <v>45110</v>
      </c>
      <c r="H190" s="7">
        <v>84</v>
      </c>
      <c r="I190" s="7">
        <v>283.89999999999998</v>
      </c>
      <c r="J190" s="7">
        <v>19.41</v>
      </c>
      <c r="K190" s="18">
        <f>$H190*$I190</f>
        <v>23847.599999999999</v>
      </c>
      <c r="L190" s="1">
        <f t="shared" si="2"/>
        <v>22217.159999999996</v>
      </c>
    </row>
    <row r="191" spans="1:12" x14ac:dyDescent="0.25">
      <c r="A191" s="7" t="s">
        <v>213</v>
      </c>
      <c r="B191" s="7" t="s">
        <v>22</v>
      </c>
      <c r="C191" s="7" t="s">
        <v>50</v>
      </c>
      <c r="D191" s="7" t="s">
        <v>19</v>
      </c>
      <c r="E191" s="7" t="s">
        <v>14</v>
      </c>
      <c r="F191" s="7" t="s">
        <v>28</v>
      </c>
      <c r="G191" s="1">
        <v>45111</v>
      </c>
      <c r="H191" s="7">
        <v>381</v>
      </c>
      <c r="I191" s="7">
        <v>193.31</v>
      </c>
      <c r="J191" s="7">
        <v>46.1</v>
      </c>
      <c r="K191" s="18">
        <f>$H191*$I191</f>
        <v>73651.11</v>
      </c>
      <c r="L191" s="1">
        <f t="shared" si="2"/>
        <v>56087.01</v>
      </c>
    </row>
    <row r="192" spans="1:12" x14ac:dyDescent="0.25">
      <c r="A192" s="7" t="s">
        <v>214</v>
      </c>
      <c r="B192" s="7" t="s">
        <v>22</v>
      </c>
      <c r="C192" s="7" t="s">
        <v>18</v>
      </c>
      <c r="D192" s="7" t="s">
        <v>42</v>
      </c>
      <c r="E192" s="7" t="s">
        <v>24</v>
      </c>
      <c r="F192" s="7" t="s">
        <v>20</v>
      </c>
      <c r="G192" s="1">
        <v>45112</v>
      </c>
      <c r="H192" s="7">
        <v>297</v>
      </c>
      <c r="I192" s="7">
        <v>276.51</v>
      </c>
      <c r="J192" s="7">
        <v>240.22</v>
      </c>
      <c r="K192" s="18">
        <f>$H192*$I192</f>
        <v>82123.47</v>
      </c>
      <c r="L192" s="1">
        <f t="shared" si="2"/>
        <v>10778.129999999997</v>
      </c>
    </row>
    <row r="193" spans="1:12" x14ac:dyDescent="0.25">
      <c r="A193" s="7" t="s">
        <v>215</v>
      </c>
      <c r="B193" s="7" t="s">
        <v>48</v>
      </c>
      <c r="C193" s="7" t="s">
        <v>50</v>
      </c>
      <c r="D193" s="7" t="s">
        <v>23</v>
      </c>
      <c r="E193" s="7" t="s">
        <v>24</v>
      </c>
      <c r="F193" s="7" t="s">
        <v>28</v>
      </c>
      <c r="G193" s="1">
        <v>45113</v>
      </c>
      <c r="H193" s="7">
        <v>139</v>
      </c>
      <c r="I193" s="7">
        <v>300.26</v>
      </c>
      <c r="J193" s="7">
        <v>39.81</v>
      </c>
      <c r="K193" s="18">
        <f>$H193*$I193</f>
        <v>41736.14</v>
      </c>
      <c r="L193" s="1">
        <f t="shared" si="2"/>
        <v>36202.549999999996</v>
      </c>
    </row>
    <row r="194" spans="1:12" x14ac:dyDescent="0.25">
      <c r="A194" s="7" t="s">
        <v>216</v>
      </c>
      <c r="B194" s="7" t="s">
        <v>11</v>
      </c>
      <c r="C194" s="7" t="s">
        <v>12</v>
      </c>
      <c r="D194" s="7" t="s">
        <v>23</v>
      </c>
      <c r="E194" s="7" t="s">
        <v>14</v>
      </c>
      <c r="F194" s="7" t="s">
        <v>20</v>
      </c>
      <c r="G194" s="1">
        <v>45114</v>
      </c>
      <c r="H194" s="7">
        <v>184</v>
      </c>
      <c r="I194" s="7">
        <v>275.12</v>
      </c>
      <c r="J194" s="7">
        <v>151.65</v>
      </c>
      <c r="K194" s="18">
        <f>$H194*$I194</f>
        <v>50622.080000000002</v>
      </c>
      <c r="L194" s="1">
        <f t="shared" si="2"/>
        <v>22718.48</v>
      </c>
    </row>
    <row r="195" spans="1:12" x14ac:dyDescent="0.25">
      <c r="A195" s="7" t="s">
        <v>217</v>
      </c>
      <c r="B195" s="7" t="s">
        <v>11</v>
      </c>
      <c r="C195" s="7" t="s">
        <v>50</v>
      </c>
      <c r="D195" s="7" t="s">
        <v>23</v>
      </c>
      <c r="E195" s="7" t="s">
        <v>14</v>
      </c>
      <c r="F195" s="7" t="s">
        <v>15</v>
      </c>
      <c r="G195" s="1">
        <v>45115</v>
      </c>
      <c r="H195" s="7">
        <v>471</v>
      </c>
      <c r="I195" s="7">
        <v>224.99</v>
      </c>
      <c r="J195" s="7">
        <v>220.94</v>
      </c>
      <c r="K195" s="18">
        <f>$H195*$I195</f>
        <v>105970.29000000001</v>
      </c>
      <c r="L195" s="1">
        <f t="shared" si="2"/>
        <v>1907.5500000000054</v>
      </c>
    </row>
    <row r="196" spans="1:12" x14ac:dyDescent="0.25">
      <c r="A196" s="7" t="s">
        <v>218</v>
      </c>
      <c r="B196" s="7" t="s">
        <v>48</v>
      </c>
      <c r="C196" s="7" t="s">
        <v>18</v>
      </c>
      <c r="D196" s="7" t="s">
        <v>13</v>
      </c>
      <c r="E196" s="7" t="s">
        <v>24</v>
      </c>
      <c r="F196" s="7" t="s">
        <v>20</v>
      </c>
      <c r="G196" s="1">
        <v>45116</v>
      </c>
      <c r="H196" s="7">
        <v>93</v>
      </c>
      <c r="I196" s="7">
        <v>12.26</v>
      </c>
      <c r="J196" s="7">
        <v>156.68</v>
      </c>
      <c r="K196" s="18">
        <f>$H196*$I196</f>
        <v>1140.18</v>
      </c>
      <c r="L196" s="1">
        <f t="shared" si="2"/>
        <v>-13431.060000000001</v>
      </c>
    </row>
    <row r="197" spans="1:12" x14ac:dyDescent="0.25">
      <c r="A197" s="7" t="s">
        <v>219</v>
      </c>
      <c r="B197" s="7" t="s">
        <v>11</v>
      </c>
      <c r="C197" s="7" t="s">
        <v>12</v>
      </c>
      <c r="D197" s="7" t="s">
        <v>27</v>
      </c>
      <c r="E197" s="7" t="s">
        <v>14</v>
      </c>
      <c r="F197" s="7" t="s">
        <v>15</v>
      </c>
      <c r="G197" s="1">
        <v>45117</v>
      </c>
      <c r="H197" s="7">
        <v>31</v>
      </c>
      <c r="I197" s="7">
        <v>295.60000000000002</v>
      </c>
      <c r="J197" s="7">
        <v>67.150000000000006</v>
      </c>
      <c r="K197" s="18">
        <f>$H197*$I197</f>
        <v>9163.6</v>
      </c>
      <c r="L197" s="1">
        <f t="shared" si="2"/>
        <v>7081.9500000000007</v>
      </c>
    </row>
    <row r="198" spans="1:12" x14ac:dyDescent="0.25">
      <c r="A198" s="7" t="s">
        <v>220</v>
      </c>
      <c r="B198" s="7" t="s">
        <v>11</v>
      </c>
      <c r="C198" s="7" t="s">
        <v>50</v>
      </c>
      <c r="D198" s="7" t="s">
        <v>13</v>
      </c>
      <c r="E198" s="7" t="s">
        <v>14</v>
      </c>
      <c r="F198" s="7" t="s">
        <v>20</v>
      </c>
      <c r="G198" s="1">
        <v>45118</v>
      </c>
      <c r="H198" s="7">
        <v>468</v>
      </c>
      <c r="I198" s="7">
        <v>88.38</v>
      </c>
      <c r="J198" s="7">
        <v>110.97</v>
      </c>
      <c r="K198" s="18">
        <f>$H198*$I198</f>
        <v>41361.839999999997</v>
      </c>
      <c r="L198" s="1">
        <f t="shared" si="2"/>
        <v>-10572.12</v>
      </c>
    </row>
    <row r="199" spans="1:12" x14ac:dyDescent="0.25">
      <c r="A199" s="7" t="s">
        <v>221</v>
      </c>
      <c r="B199" s="7" t="s">
        <v>22</v>
      </c>
      <c r="C199" s="7" t="s">
        <v>12</v>
      </c>
      <c r="D199" s="7" t="s">
        <v>27</v>
      </c>
      <c r="E199" s="7" t="s">
        <v>14</v>
      </c>
      <c r="F199" s="7" t="s">
        <v>28</v>
      </c>
      <c r="G199" s="1">
        <v>45119</v>
      </c>
      <c r="H199" s="7">
        <v>36</v>
      </c>
      <c r="I199" s="7">
        <v>323.08</v>
      </c>
      <c r="J199" s="7">
        <v>371.47</v>
      </c>
      <c r="K199" s="18">
        <f>$H199*$I199</f>
        <v>11630.88</v>
      </c>
      <c r="L199" s="1">
        <f t="shared" si="2"/>
        <v>-1742.0400000000016</v>
      </c>
    </row>
    <row r="200" spans="1:12" x14ac:dyDescent="0.25">
      <c r="A200" s="7" t="s">
        <v>222</v>
      </c>
      <c r="B200" s="7" t="s">
        <v>11</v>
      </c>
      <c r="C200" s="7" t="s">
        <v>26</v>
      </c>
      <c r="D200" s="7" t="s">
        <v>23</v>
      </c>
      <c r="E200" s="7" t="s">
        <v>24</v>
      </c>
      <c r="F200" s="7" t="s">
        <v>20</v>
      </c>
      <c r="G200" s="1">
        <v>45120</v>
      </c>
      <c r="H200" s="7">
        <v>204</v>
      </c>
      <c r="I200" s="7">
        <v>380.88</v>
      </c>
      <c r="J200" s="7">
        <v>271.04000000000002</v>
      </c>
      <c r="K200" s="18">
        <f>$H200*$I200</f>
        <v>77699.520000000004</v>
      </c>
      <c r="L200" s="1">
        <f t="shared" ref="L200:L263" si="3">($I200-$J200)*$H200</f>
        <v>22407.359999999993</v>
      </c>
    </row>
    <row r="201" spans="1:12" x14ac:dyDescent="0.25">
      <c r="A201" s="7" t="s">
        <v>223</v>
      </c>
      <c r="B201" s="7" t="s">
        <v>11</v>
      </c>
      <c r="C201" s="7" t="s">
        <v>26</v>
      </c>
      <c r="D201" s="7" t="s">
        <v>23</v>
      </c>
      <c r="E201" s="7" t="s">
        <v>14</v>
      </c>
      <c r="F201" s="7" t="s">
        <v>20</v>
      </c>
      <c r="G201" s="1">
        <v>45121</v>
      </c>
      <c r="H201" s="7">
        <v>346</v>
      </c>
      <c r="I201" s="7">
        <v>252.72</v>
      </c>
      <c r="J201" s="7">
        <v>199.43</v>
      </c>
      <c r="K201" s="18">
        <f>$H201*$I201</f>
        <v>87441.12</v>
      </c>
      <c r="L201" s="1">
        <f t="shared" si="3"/>
        <v>18438.339999999997</v>
      </c>
    </row>
    <row r="202" spans="1:12" x14ac:dyDescent="0.25">
      <c r="A202" s="7" t="s">
        <v>224</v>
      </c>
      <c r="B202" s="7" t="s">
        <v>48</v>
      </c>
      <c r="C202" s="7" t="s">
        <v>50</v>
      </c>
      <c r="D202" s="7" t="s">
        <v>13</v>
      </c>
      <c r="E202" s="7" t="s">
        <v>24</v>
      </c>
      <c r="F202" s="7" t="s">
        <v>15</v>
      </c>
      <c r="G202" s="1">
        <v>45122</v>
      </c>
      <c r="H202" s="7">
        <v>391</v>
      </c>
      <c r="I202" s="7">
        <v>273.47000000000003</v>
      </c>
      <c r="J202" s="7">
        <v>7.06</v>
      </c>
      <c r="K202" s="18">
        <f>$H202*$I202</f>
        <v>106926.77</v>
      </c>
      <c r="L202" s="1">
        <f t="shared" si="3"/>
        <v>104166.31000000001</v>
      </c>
    </row>
    <row r="203" spans="1:12" x14ac:dyDescent="0.25">
      <c r="A203" s="7" t="s">
        <v>225</v>
      </c>
      <c r="B203" s="7" t="s">
        <v>48</v>
      </c>
      <c r="C203" s="7" t="s">
        <v>12</v>
      </c>
      <c r="D203" s="7" t="s">
        <v>13</v>
      </c>
      <c r="E203" s="7" t="s">
        <v>14</v>
      </c>
      <c r="F203" s="7" t="s">
        <v>28</v>
      </c>
      <c r="G203" s="1">
        <v>45123</v>
      </c>
      <c r="H203" s="7">
        <v>245</v>
      </c>
      <c r="I203" s="7">
        <v>475.98</v>
      </c>
      <c r="J203" s="7">
        <v>396.98</v>
      </c>
      <c r="K203" s="18">
        <f>$H203*$I203</f>
        <v>116615.1</v>
      </c>
      <c r="L203" s="1">
        <f t="shared" si="3"/>
        <v>19355</v>
      </c>
    </row>
    <row r="204" spans="1:12" x14ac:dyDescent="0.25">
      <c r="A204" s="7" t="s">
        <v>226</v>
      </c>
      <c r="B204" s="7" t="s">
        <v>17</v>
      </c>
      <c r="C204" s="7" t="s">
        <v>18</v>
      </c>
      <c r="D204" s="7" t="s">
        <v>27</v>
      </c>
      <c r="E204" s="7" t="s">
        <v>24</v>
      </c>
      <c r="F204" s="7" t="s">
        <v>20</v>
      </c>
      <c r="G204" s="1">
        <v>45124</v>
      </c>
      <c r="H204" s="7">
        <v>449</v>
      </c>
      <c r="I204" s="7">
        <v>424.35</v>
      </c>
      <c r="J204" s="7">
        <v>269.24</v>
      </c>
      <c r="K204" s="18">
        <f>$H204*$I204</f>
        <v>190533.15000000002</v>
      </c>
      <c r="L204" s="1">
        <f t="shared" si="3"/>
        <v>69644.39</v>
      </c>
    </row>
    <row r="205" spans="1:12" x14ac:dyDescent="0.25">
      <c r="A205" s="7" t="s">
        <v>227</v>
      </c>
      <c r="B205" s="7" t="s">
        <v>22</v>
      </c>
      <c r="C205" s="7" t="s">
        <v>50</v>
      </c>
      <c r="D205" s="7" t="s">
        <v>19</v>
      </c>
      <c r="E205" s="7" t="s">
        <v>24</v>
      </c>
      <c r="F205" s="7" t="s">
        <v>28</v>
      </c>
      <c r="G205" s="1">
        <v>45125</v>
      </c>
      <c r="H205" s="7">
        <v>101</v>
      </c>
      <c r="I205" s="7">
        <v>457.55</v>
      </c>
      <c r="J205" s="7">
        <v>128.13999999999999</v>
      </c>
      <c r="K205" s="18">
        <f>$H205*$I205</f>
        <v>46212.55</v>
      </c>
      <c r="L205" s="1">
        <f t="shared" si="3"/>
        <v>33270.410000000003</v>
      </c>
    </row>
    <row r="206" spans="1:12" x14ac:dyDescent="0.25">
      <c r="A206" s="7" t="s">
        <v>228</v>
      </c>
      <c r="B206" s="7" t="s">
        <v>11</v>
      </c>
      <c r="C206" s="7" t="s">
        <v>26</v>
      </c>
      <c r="D206" s="7" t="s">
        <v>27</v>
      </c>
      <c r="E206" s="7" t="s">
        <v>14</v>
      </c>
      <c r="F206" s="7" t="s">
        <v>20</v>
      </c>
      <c r="G206" s="1">
        <v>45126</v>
      </c>
      <c r="H206" s="7">
        <v>255.9</v>
      </c>
      <c r="I206" s="7">
        <v>407.81</v>
      </c>
      <c r="J206" s="7">
        <v>351.95</v>
      </c>
      <c r="K206" s="18">
        <f>$H206*$I206</f>
        <v>104358.579</v>
      </c>
      <c r="L206" s="1">
        <f t="shared" si="3"/>
        <v>14294.574000000004</v>
      </c>
    </row>
    <row r="207" spans="1:12" x14ac:dyDescent="0.25">
      <c r="A207" s="7" t="s">
        <v>229</v>
      </c>
      <c r="B207" s="7" t="s">
        <v>11</v>
      </c>
      <c r="C207" s="7" t="s">
        <v>26</v>
      </c>
      <c r="D207" s="7" t="s">
        <v>13</v>
      </c>
      <c r="E207" s="7" t="s">
        <v>24</v>
      </c>
      <c r="F207" s="7" t="s">
        <v>20</v>
      </c>
      <c r="G207" s="1">
        <v>45127</v>
      </c>
      <c r="H207" s="7">
        <v>30</v>
      </c>
      <c r="I207" s="7">
        <v>58.91</v>
      </c>
      <c r="J207" s="7">
        <v>104.86</v>
      </c>
      <c r="K207" s="18">
        <f>$H207*$I207</f>
        <v>1767.3</v>
      </c>
      <c r="L207" s="1">
        <f t="shared" si="3"/>
        <v>-1378.5</v>
      </c>
    </row>
    <row r="208" spans="1:12" x14ac:dyDescent="0.25">
      <c r="A208" s="7" t="s">
        <v>230</v>
      </c>
      <c r="B208" s="7" t="s">
        <v>17</v>
      </c>
      <c r="C208" s="7" t="s">
        <v>50</v>
      </c>
      <c r="D208" s="7" t="s">
        <v>13</v>
      </c>
      <c r="E208" s="7" t="s">
        <v>14</v>
      </c>
      <c r="F208" s="7" t="s">
        <v>28</v>
      </c>
      <c r="G208" s="1">
        <v>45128</v>
      </c>
      <c r="H208" s="7">
        <v>312</v>
      </c>
      <c r="I208" s="7">
        <v>78.75</v>
      </c>
      <c r="J208" s="7">
        <v>218.52</v>
      </c>
      <c r="K208" s="18">
        <f>$H208*$I208</f>
        <v>24570</v>
      </c>
      <c r="L208" s="1">
        <f t="shared" si="3"/>
        <v>-43608.240000000005</v>
      </c>
    </row>
    <row r="209" spans="1:12" x14ac:dyDescent="0.25">
      <c r="A209" s="7" t="s">
        <v>231</v>
      </c>
      <c r="B209" s="7" t="s">
        <v>11</v>
      </c>
      <c r="C209" s="7" t="s">
        <v>12</v>
      </c>
      <c r="D209" s="7" t="s">
        <v>42</v>
      </c>
      <c r="E209" s="7" t="s">
        <v>24</v>
      </c>
      <c r="F209" s="7" t="s">
        <v>20</v>
      </c>
      <c r="G209" s="1">
        <v>45129</v>
      </c>
      <c r="H209" s="7">
        <v>473</v>
      </c>
      <c r="I209" s="7">
        <v>265.68</v>
      </c>
      <c r="J209" s="7">
        <v>255.16</v>
      </c>
      <c r="K209" s="18">
        <f>$H209*$I209</f>
        <v>125666.64</v>
      </c>
      <c r="L209" s="1">
        <f t="shared" si="3"/>
        <v>4975.9600000000046</v>
      </c>
    </row>
    <row r="210" spans="1:12" x14ac:dyDescent="0.25">
      <c r="A210" s="7" t="s">
        <v>232</v>
      </c>
      <c r="B210" s="7" t="s">
        <v>22</v>
      </c>
      <c r="C210" s="7" t="s">
        <v>26</v>
      </c>
      <c r="D210" s="7" t="s">
        <v>13</v>
      </c>
      <c r="E210" s="7" t="s">
        <v>14</v>
      </c>
      <c r="F210" s="7" t="s">
        <v>28</v>
      </c>
      <c r="G210" s="1">
        <v>45130</v>
      </c>
      <c r="H210" s="7">
        <v>366</v>
      </c>
      <c r="I210" s="7">
        <v>126.8</v>
      </c>
      <c r="J210" s="7">
        <v>89.98</v>
      </c>
      <c r="K210" s="18">
        <f>$H210*$I210</f>
        <v>46408.799999999996</v>
      </c>
      <c r="L210" s="1">
        <f t="shared" si="3"/>
        <v>13476.119999999997</v>
      </c>
    </row>
    <row r="211" spans="1:12" x14ac:dyDescent="0.25">
      <c r="A211" s="7" t="s">
        <v>233</v>
      </c>
      <c r="B211" s="7" t="s">
        <v>17</v>
      </c>
      <c r="C211" s="7" t="s">
        <v>12</v>
      </c>
      <c r="D211" s="7" t="s">
        <v>42</v>
      </c>
      <c r="E211" s="7" t="s">
        <v>14</v>
      </c>
      <c r="F211" s="7" t="s">
        <v>20</v>
      </c>
      <c r="G211" s="1">
        <v>45131</v>
      </c>
      <c r="H211" s="7">
        <v>452</v>
      </c>
      <c r="I211" s="7">
        <v>240.96</v>
      </c>
      <c r="J211" s="7">
        <v>391.4</v>
      </c>
      <c r="K211" s="18">
        <f>$H211*$I211</f>
        <v>108913.92</v>
      </c>
      <c r="L211" s="1">
        <f t="shared" si="3"/>
        <v>-67998.87999999999</v>
      </c>
    </row>
    <row r="212" spans="1:12" x14ac:dyDescent="0.25">
      <c r="A212" s="7" t="s">
        <v>234</v>
      </c>
      <c r="B212" s="7" t="s">
        <v>22</v>
      </c>
      <c r="C212" s="7" t="s">
        <v>26</v>
      </c>
      <c r="D212" s="7" t="s">
        <v>19</v>
      </c>
      <c r="E212" s="7" t="s">
        <v>24</v>
      </c>
      <c r="F212" s="7" t="s">
        <v>15</v>
      </c>
      <c r="G212" s="1">
        <v>45132</v>
      </c>
      <c r="H212" s="7">
        <v>93</v>
      </c>
      <c r="I212" s="7">
        <v>200.21</v>
      </c>
      <c r="J212" s="7">
        <v>299.77999999999997</v>
      </c>
      <c r="K212" s="18">
        <f>$H212*$I212</f>
        <v>18619.530000000002</v>
      </c>
      <c r="L212" s="1">
        <f t="shared" si="3"/>
        <v>-9260.0099999999966</v>
      </c>
    </row>
    <row r="213" spans="1:12" x14ac:dyDescent="0.25">
      <c r="A213" s="7" t="s">
        <v>235</v>
      </c>
      <c r="B213" s="7" t="s">
        <v>17</v>
      </c>
      <c r="C213" s="7" t="s">
        <v>26</v>
      </c>
      <c r="D213" s="7" t="s">
        <v>27</v>
      </c>
      <c r="E213" s="7" t="s">
        <v>14</v>
      </c>
      <c r="F213" s="7" t="s">
        <v>28</v>
      </c>
      <c r="G213" s="1">
        <v>45133</v>
      </c>
      <c r="H213" s="7">
        <v>271</v>
      </c>
      <c r="I213" s="7">
        <v>276.95999999999998</v>
      </c>
      <c r="J213" s="7">
        <v>224.01</v>
      </c>
      <c r="K213" s="18">
        <f>$H213*$I213</f>
        <v>75056.159999999989</v>
      </c>
      <c r="L213" s="1">
        <f t="shared" si="3"/>
        <v>14349.449999999997</v>
      </c>
    </row>
    <row r="214" spans="1:12" x14ac:dyDescent="0.25">
      <c r="A214" s="7" t="s">
        <v>236</v>
      </c>
      <c r="B214" s="7" t="s">
        <v>17</v>
      </c>
      <c r="C214" s="7" t="s">
        <v>31</v>
      </c>
      <c r="D214" s="7" t="s">
        <v>27</v>
      </c>
      <c r="E214" s="7" t="s">
        <v>14</v>
      </c>
      <c r="F214" s="7" t="s">
        <v>20</v>
      </c>
      <c r="G214" s="1">
        <v>45134</v>
      </c>
      <c r="H214" s="7">
        <v>156</v>
      </c>
      <c r="I214" s="7">
        <v>374.7</v>
      </c>
      <c r="J214" s="7">
        <v>73.88</v>
      </c>
      <c r="K214" s="18">
        <f>$H214*$I214</f>
        <v>58453.2</v>
      </c>
      <c r="L214" s="1">
        <f t="shared" si="3"/>
        <v>46927.92</v>
      </c>
    </row>
    <row r="215" spans="1:12" x14ac:dyDescent="0.25">
      <c r="A215" s="7" t="s">
        <v>237</v>
      </c>
      <c r="B215" s="7" t="s">
        <v>48</v>
      </c>
      <c r="C215" s="7" t="s">
        <v>26</v>
      </c>
      <c r="D215" s="7" t="s">
        <v>42</v>
      </c>
      <c r="E215" s="7" t="s">
        <v>24</v>
      </c>
      <c r="F215" s="7" t="s">
        <v>20</v>
      </c>
      <c r="G215" s="1">
        <v>45135</v>
      </c>
      <c r="H215" s="7">
        <v>450</v>
      </c>
      <c r="I215" s="7">
        <v>359.17</v>
      </c>
      <c r="J215" s="7">
        <v>23.44</v>
      </c>
      <c r="K215" s="18">
        <f>$H215*$I215</f>
        <v>161626.5</v>
      </c>
      <c r="L215" s="1">
        <f t="shared" si="3"/>
        <v>151078.5</v>
      </c>
    </row>
    <row r="216" spans="1:12" x14ac:dyDescent="0.25">
      <c r="A216" s="7" t="s">
        <v>238</v>
      </c>
      <c r="B216" s="7" t="s">
        <v>22</v>
      </c>
      <c r="C216" s="7" t="s">
        <v>18</v>
      </c>
      <c r="D216" s="7" t="s">
        <v>27</v>
      </c>
      <c r="E216" s="7" t="s">
        <v>14</v>
      </c>
      <c r="F216" s="7" t="s">
        <v>15</v>
      </c>
      <c r="G216" s="1">
        <v>45136</v>
      </c>
      <c r="H216" s="7">
        <v>462</v>
      </c>
      <c r="I216" s="7">
        <v>263.01</v>
      </c>
      <c r="J216" s="7">
        <v>129.38</v>
      </c>
      <c r="K216" s="18">
        <f>$H216*$I216</f>
        <v>121510.62</v>
      </c>
      <c r="L216" s="1">
        <f t="shared" si="3"/>
        <v>61737.06</v>
      </c>
    </row>
    <row r="217" spans="1:12" x14ac:dyDescent="0.25">
      <c r="A217" s="7" t="s">
        <v>239</v>
      </c>
      <c r="B217" s="7" t="s">
        <v>11</v>
      </c>
      <c r="C217" s="7" t="s">
        <v>50</v>
      </c>
      <c r="D217" s="7" t="s">
        <v>27</v>
      </c>
      <c r="E217" s="7" t="s">
        <v>14</v>
      </c>
      <c r="F217" s="7" t="s">
        <v>28</v>
      </c>
      <c r="G217" s="1">
        <v>45137</v>
      </c>
      <c r="H217" s="7">
        <v>396</v>
      </c>
      <c r="I217" s="7">
        <v>412.08</v>
      </c>
      <c r="J217" s="7">
        <v>301.77</v>
      </c>
      <c r="K217" s="18">
        <f>$H217*$I217</f>
        <v>163183.67999999999</v>
      </c>
      <c r="L217" s="1">
        <f t="shared" si="3"/>
        <v>43682.76</v>
      </c>
    </row>
    <row r="218" spans="1:12" x14ac:dyDescent="0.25">
      <c r="A218" s="7" t="s">
        <v>240</v>
      </c>
      <c r="B218" s="7" t="s">
        <v>11</v>
      </c>
      <c r="C218" s="7" t="s">
        <v>50</v>
      </c>
      <c r="D218" s="7" t="s">
        <v>23</v>
      </c>
      <c r="E218" s="7" t="s">
        <v>24</v>
      </c>
      <c r="F218" s="7" t="s">
        <v>20</v>
      </c>
      <c r="G218" s="1">
        <v>45138</v>
      </c>
      <c r="H218" s="7">
        <v>266</v>
      </c>
      <c r="I218" s="7">
        <v>218.28</v>
      </c>
      <c r="J218" s="7">
        <v>109.19</v>
      </c>
      <c r="K218" s="18">
        <f>$H218*$I218</f>
        <v>58062.48</v>
      </c>
      <c r="L218" s="1">
        <f t="shared" si="3"/>
        <v>29017.940000000002</v>
      </c>
    </row>
    <row r="219" spans="1:12" x14ac:dyDescent="0.25">
      <c r="A219" s="7" t="s">
        <v>241</v>
      </c>
      <c r="B219" s="7" t="s">
        <v>22</v>
      </c>
      <c r="C219" s="7" t="s">
        <v>12</v>
      </c>
      <c r="D219" s="7" t="s">
        <v>42</v>
      </c>
      <c r="E219" s="7" t="s">
        <v>24</v>
      </c>
      <c r="F219" s="7" t="s">
        <v>15</v>
      </c>
      <c r="G219" s="1">
        <v>45139</v>
      </c>
      <c r="H219" s="7">
        <v>67</v>
      </c>
      <c r="I219" s="7">
        <v>448.87</v>
      </c>
      <c r="J219" s="7">
        <v>216.74</v>
      </c>
      <c r="K219" s="18">
        <f>$H219*$I219</f>
        <v>30074.29</v>
      </c>
      <c r="L219" s="1">
        <f t="shared" si="3"/>
        <v>15552.71</v>
      </c>
    </row>
    <row r="220" spans="1:12" x14ac:dyDescent="0.25">
      <c r="A220" s="7" t="s">
        <v>242</v>
      </c>
      <c r="B220" s="7" t="s">
        <v>11</v>
      </c>
      <c r="C220" s="7" t="s">
        <v>26</v>
      </c>
      <c r="D220" s="7" t="s">
        <v>27</v>
      </c>
      <c r="E220" s="7" t="s">
        <v>14</v>
      </c>
      <c r="F220" s="7" t="s">
        <v>20</v>
      </c>
      <c r="G220" s="1">
        <v>45140</v>
      </c>
      <c r="H220" s="7">
        <v>389</v>
      </c>
      <c r="I220" s="7">
        <v>40.28</v>
      </c>
      <c r="J220" s="7">
        <v>291.72000000000003</v>
      </c>
      <c r="K220" s="18">
        <f>$H220*$I220</f>
        <v>15668.92</v>
      </c>
      <c r="L220" s="1">
        <f t="shared" si="3"/>
        <v>-97810.16</v>
      </c>
    </row>
    <row r="221" spans="1:12" x14ac:dyDescent="0.25">
      <c r="A221" s="7" t="s">
        <v>243</v>
      </c>
      <c r="B221" s="7" t="s">
        <v>11</v>
      </c>
      <c r="C221" s="7" t="s">
        <v>18</v>
      </c>
      <c r="D221" s="7" t="s">
        <v>42</v>
      </c>
      <c r="E221" s="7" t="s">
        <v>14</v>
      </c>
      <c r="F221" s="7" t="s">
        <v>28</v>
      </c>
      <c r="G221" s="1">
        <v>45141</v>
      </c>
      <c r="H221" s="7">
        <v>431</v>
      </c>
      <c r="I221" s="7">
        <v>477.56</v>
      </c>
      <c r="J221" s="7">
        <v>44.96</v>
      </c>
      <c r="K221" s="18">
        <f>$H221*$I221</f>
        <v>205828.36000000002</v>
      </c>
      <c r="L221" s="1">
        <f t="shared" si="3"/>
        <v>186450.6</v>
      </c>
    </row>
    <row r="222" spans="1:12" x14ac:dyDescent="0.25">
      <c r="A222" s="7" t="s">
        <v>244</v>
      </c>
      <c r="B222" s="7" t="s">
        <v>22</v>
      </c>
      <c r="C222" s="7" t="s">
        <v>12</v>
      </c>
      <c r="D222" s="7" t="s">
        <v>42</v>
      </c>
      <c r="E222" s="7" t="s">
        <v>24</v>
      </c>
      <c r="F222" s="7" t="s">
        <v>20</v>
      </c>
      <c r="G222" s="1">
        <v>45142</v>
      </c>
      <c r="H222" s="7">
        <v>24</v>
      </c>
      <c r="I222" s="7">
        <v>329.07</v>
      </c>
      <c r="J222" s="7">
        <v>274.75</v>
      </c>
      <c r="K222" s="18">
        <f>$H222*$I222</f>
        <v>7897.68</v>
      </c>
      <c r="L222" s="1">
        <f t="shared" si="3"/>
        <v>1303.6799999999998</v>
      </c>
    </row>
    <row r="223" spans="1:12" x14ac:dyDescent="0.25">
      <c r="A223" s="7" t="s">
        <v>245</v>
      </c>
      <c r="B223" s="7" t="s">
        <v>17</v>
      </c>
      <c r="C223" s="7" t="s">
        <v>31</v>
      </c>
      <c r="D223" s="7" t="s">
        <v>23</v>
      </c>
      <c r="E223" s="7" t="s">
        <v>24</v>
      </c>
      <c r="F223" s="7" t="s">
        <v>20</v>
      </c>
      <c r="G223" s="1">
        <v>45143</v>
      </c>
      <c r="H223" s="7">
        <v>171</v>
      </c>
      <c r="I223" s="7">
        <v>193.14</v>
      </c>
      <c r="J223" s="7">
        <v>38.56</v>
      </c>
      <c r="K223" s="18">
        <f>$H223*$I223</f>
        <v>33026.939999999995</v>
      </c>
      <c r="L223" s="1">
        <f t="shared" si="3"/>
        <v>26433.179999999997</v>
      </c>
    </row>
    <row r="224" spans="1:12" x14ac:dyDescent="0.25">
      <c r="A224" s="7" t="s">
        <v>246</v>
      </c>
      <c r="B224" s="7" t="s">
        <v>22</v>
      </c>
      <c r="C224" s="7" t="s">
        <v>12</v>
      </c>
      <c r="D224" s="7" t="s">
        <v>13</v>
      </c>
      <c r="E224" s="7" t="s">
        <v>14</v>
      </c>
      <c r="F224" s="7" t="s">
        <v>20</v>
      </c>
      <c r="G224" s="1">
        <v>45144</v>
      </c>
      <c r="H224" s="7">
        <v>454</v>
      </c>
      <c r="I224" s="7">
        <v>102.59</v>
      </c>
      <c r="J224" s="7">
        <v>386.12</v>
      </c>
      <c r="K224" s="18">
        <f>$H224*$I224</f>
        <v>46575.86</v>
      </c>
      <c r="L224" s="1">
        <f t="shared" si="3"/>
        <v>-128722.61999999998</v>
      </c>
    </row>
    <row r="225" spans="1:12" x14ac:dyDescent="0.25">
      <c r="A225" s="7" t="s">
        <v>247</v>
      </c>
      <c r="B225" s="7" t="s">
        <v>17</v>
      </c>
      <c r="C225" s="7" t="s">
        <v>12</v>
      </c>
      <c r="D225" s="7" t="s">
        <v>42</v>
      </c>
      <c r="E225" s="7" t="s">
        <v>24</v>
      </c>
      <c r="F225" s="7" t="s">
        <v>20</v>
      </c>
      <c r="G225" s="1">
        <v>45145</v>
      </c>
      <c r="H225" s="7">
        <v>172</v>
      </c>
      <c r="I225" s="7">
        <v>242.2</v>
      </c>
      <c r="J225" s="7">
        <v>196.38</v>
      </c>
      <c r="K225" s="18">
        <f>$H225*$I225</f>
        <v>41658.400000000001</v>
      </c>
      <c r="L225" s="1">
        <f t="shared" si="3"/>
        <v>7881.0399999999991</v>
      </c>
    </row>
    <row r="226" spans="1:12" x14ac:dyDescent="0.25">
      <c r="A226" s="7" t="s">
        <v>248</v>
      </c>
      <c r="B226" s="7" t="s">
        <v>11</v>
      </c>
      <c r="C226" s="7" t="s">
        <v>26</v>
      </c>
      <c r="D226" s="7" t="s">
        <v>27</v>
      </c>
      <c r="E226" s="7" t="s">
        <v>14</v>
      </c>
      <c r="F226" s="7" t="s">
        <v>15</v>
      </c>
      <c r="G226" s="1">
        <v>45146</v>
      </c>
      <c r="H226" s="7">
        <v>329</v>
      </c>
      <c r="I226" s="7">
        <v>101.31</v>
      </c>
      <c r="J226" s="7">
        <v>61.97</v>
      </c>
      <c r="K226" s="18">
        <f>$H226*$I226</f>
        <v>33330.99</v>
      </c>
      <c r="L226" s="1">
        <f t="shared" si="3"/>
        <v>12942.86</v>
      </c>
    </row>
    <row r="227" spans="1:12" x14ac:dyDescent="0.25">
      <c r="A227" s="7" t="s">
        <v>249</v>
      </c>
      <c r="B227" s="7" t="s">
        <v>11</v>
      </c>
      <c r="C227" s="7" t="s">
        <v>31</v>
      </c>
      <c r="D227" s="7" t="s">
        <v>19</v>
      </c>
      <c r="E227" s="7" t="s">
        <v>14</v>
      </c>
      <c r="F227" s="7" t="s">
        <v>15</v>
      </c>
      <c r="G227" s="1">
        <v>45147</v>
      </c>
      <c r="H227" s="7">
        <v>290</v>
      </c>
      <c r="I227" s="7">
        <v>87.33</v>
      </c>
      <c r="J227" s="7">
        <v>138.27000000000001</v>
      </c>
      <c r="K227" s="18">
        <f>$H227*$I227</f>
        <v>25325.7</v>
      </c>
      <c r="L227" s="1">
        <f t="shared" si="3"/>
        <v>-14772.600000000004</v>
      </c>
    </row>
    <row r="228" spans="1:12" x14ac:dyDescent="0.25">
      <c r="A228" s="7" t="s">
        <v>250</v>
      </c>
      <c r="B228" s="7" t="s">
        <v>11</v>
      </c>
      <c r="C228" s="7" t="s">
        <v>12</v>
      </c>
      <c r="D228" s="7" t="s">
        <v>42</v>
      </c>
      <c r="E228" s="7" t="s">
        <v>14</v>
      </c>
      <c r="F228" s="7" t="s">
        <v>28</v>
      </c>
      <c r="G228" s="1">
        <v>45148</v>
      </c>
      <c r="H228" s="7">
        <v>289</v>
      </c>
      <c r="I228" s="7">
        <v>310.58999999999997</v>
      </c>
      <c r="J228" s="7">
        <v>166.54</v>
      </c>
      <c r="K228" s="18">
        <f>$H228*$I228</f>
        <v>89760.51</v>
      </c>
      <c r="L228" s="1">
        <f t="shared" si="3"/>
        <v>41630.449999999997</v>
      </c>
    </row>
    <row r="229" spans="1:12" x14ac:dyDescent="0.25">
      <c r="A229" s="7" t="s">
        <v>251</v>
      </c>
      <c r="B229" s="7" t="s">
        <v>48</v>
      </c>
      <c r="C229" s="7" t="s">
        <v>18</v>
      </c>
      <c r="D229" s="7" t="s">
        <v>42</v>
      </c>
      <c r="E229" s="7" t="s">
        <v>14</v>
      </c>
      <c r="F229" s="7" t="s">
        <v>15</v>
      </c>
      <c r="G229" s="1">
        <v>45149</v>
      </c>
      <c r="H229" s="7">
        <v>21</v>
      </c>
      <c r="I229" s="7">
        <v>263.93</v>
      </c>
      <c r="J229" s="7">
        <v>303.76</v>
      </c>
      <c r="K229" s="18">
        <f>$H229*$I229</f>
        <v>5542.53</v>
      </c>
      <c r="L229" s="1">
        <f t="shared" si="3"/>
        <v>-836.42999999999961</v>
      </c>
    </row>
    <row r="230" spans="1:12" x14ac:dyDescent="0.25">
      <c r="A230" s="7" t="s">
        <v>252</v>
      </c>
      <c r="B230" s="7" t="s">
        <v>17</v>
      </c>
      <c r="C230" s="7" t="s">
        <v>18</v>
      </c>
      <c r="D230" s="7" t="s">
        <v>23</v>
      </c>
      <c r="E230" s="7" t="s">
        <v>14</v>
      </c>
      <c r="F230" s="7" t="s">
        <v>15</v>
      </c>
      <c r="G230" s="1">
        <v>45150</v>
      </c>
      <c r="H230" s="7">
        <v>283</v>
      </c>
      <c r="I230" s="7">
        <v>336.7</v>
      </c>
      <c r="J230" s="7">
        <v>297.88</v>
      </c>
      <c r="K230" s="18">
        <f>$H230*$I230</f>
        <v>95286.099999999991</v>
      </c>
      <c r="L230" s="1">
        <f t="shared" si="3"/>
        <v>10986.059999999998</v>
      </c>
    </row>
    <row r="231" spans="1:12" x14ac:dyDescent="0.25">
      <c r="A231" s="7" t="s">
        <v>253</v>
      </c>
      <c r="B231" s="7" t="s">
        <v>48</v>
      </c>
      <c r="C231" s="7" t="s">
        <v>50</v>
      </c>
      <c r="D231" s="7" t="s">
        <v>13</v>
      </c>
      <c r="E231" s="7" t="s">
        <v>24</v>
      </c>
      <c r="F231" s="7" t="s">
        <v>28</v>
      </c>
      <c r="G231" s="1">
        <v>45151</v>
      </c>
      <c r="H231" s="7">
        <v>280</v>
      </c>
      <c r="I231" s="7">
        <v>465.15</v>
      </c>
      <c r="J231" s="7">
        <v>245.55</v>
      </c>
      <c r="K231" s="18">
        <f>$H231*$I231</f>
        <v>130242</v>
      </c>
      <c r="L231" s="1">
        <f t="shared" si="3"/>
        <v>61487.999999999993</v>
      </c>
    </row>
    <row r="232" spans="1:12" x14ac:dyDescent="0.25">
      <c r="A232" s="7" t="s">
        <v>254</v>
      </c>
      <c r="B232" s="7" t="s">
        <v>48</v>
      </c>
      <c r="C232" s="7" t="s">
        <v>31</v>
      </c>
      <c r="D232" s="7" t="s">
        <v>19</v>
      </c>
      <c r="E232" s="7" t="s">
        <v>24</v>
      </c>
      <c r="F232" s="7" t="s">
        <v>15</v>
      </c>
      <c r="G232" s="1">
        <v>45152</v>
      </c>
      <c r="H232" s="7">
        <v>217</v>
      </c>
      <c r="I232" s="7">
        <v>268.47000000000003</v>
      </c>
      <c r="J232" s="7">
        <v>44.16</v>
      </c>
      <c r="K232" s="18">
        <f>$H232*$I232</f>
        <v>58257.990000000005</v>
      </c>
      <c r="L232" s="1">
        <f t="shared" si="3"/>
        <v>48675.270000000004</v>
      </c>
    </row>
    <row r="233" spans="1:12" x14ac:dyDescent="0.25">
      <c r="A233" s="7" t="s">
        <v>255</v>
      </c>
      <c r="B233" s="7" t="s">
        <v>22</v>
      </c>
      <c r="C233" s="7" t="s">
        <v>31</v>
      </c>
      <c r="D233" s="7" t="s">
        <v>27</v>
      </c>
      <c r="E233" s="7" t="s">
        <v>24</v>
      </c>
      <c r="F233" s="7" t="s">
        <v>15</v>
      </c>
      <c r="G233" s="1">
        <v>45153</v>
      </c>
      <c r="H233" s="7">
        <v>36</v>
      </c>
      <c r="I233" s="7">
        <v>292.56</v>
      </c>
      <c r="J233" s="7">
        <v>62.32</v>
      </c>
      <c r="K233" s="18">
        <f>$H233*$I233</f>
        <v>10532.16</v>
      </c>
      <c r="L233" s="1">
        <f t="shared" si="3"/>
        <v>8288.64</v>
      </c>
    </row>
    <row r="234" spans="1:12" x14ac:dyDescent="0.25">
      <c r="A234" s="7" t="s">
        <v>256</v>
      </c>
      <c r="B234" s="7" t="s">
        <v>48</v>
      </c>
      <c r="C234" s="7" t="s">
        <v>50</v>
      </c>
      <c r="D234" s="7" t="s">
        <v>19</v>
      </c>
      <c r="E234" s="7" t="s">
        <v>24</v>
      </c>
      <c r="F234" s="7" t="s">
        <v>28</v>
      </c>
      <c r="G234" s="1">
        <v>45154</v>
      </c>
      <c r="H234" s="7">
        <v>255.9</v>
      </c>
      <c r="I234" s="7">
        <v>49.37</v>
      </c>
      <c r="J234" s="7">
        <v>39.32</v>
      </c>
      <c r="K234" s="18">
        <f>$H234*$I234</f>
        <v>12633.782999999999</v>
      </c>
      <c r="L234" s="1">
        <f t="shared" si="3"/>
        <v>2571.7949999999992</v>
      </c>
    </row>
    <row r="235" spans="1:12" x14ac:dyDescent="0.25">
      <c r="A235" s="7" t="s">
        <v>257</v>
      </c>
      <c r="B235" s="7" t="s">
        <v>22</v>
      </c>
      <c r="C235" s="7" t="s">
        <v>12</v>
      </c>
      <c r="D235" s="7" t="s">
        <v>27</v>
      </c>
      <c r="E235" s="7" t="s">
        <v>14</v>
      </c>
      <c r="F235" s="7" t="s">
        <v>28</v>
      </c>
      <c r="G235" s="1">
        <v>45155</v>
      </c>
      <c r="H235" s="7">
        <v>69</v>
      </c>
      <c r="I235" s="7">
        <v>360.23</v>
      </c>
      <c r="J235" s="7">
        <v>231.71</v>
      </c>
      <c r="K235" s="18">
        <f>$H235*$I235</f>
        <v>24855.870000000003</v>
      </c>
      <c r="L235" s="1">
        <f t="shared" si="3"/>
        <v>8867.880000000001</v>
      </c>
    </row>
    <row r="236" spans="1:12" x14ac:dyDescent="0.25">
      <c r="A236" s="7" t="s">
        <v>258</v>
      </c>
      <c r="B236" s="7" t="s">
        <v>22</v>
      </c>
      <c r="C236" s="7" t="s">
        <v>31</v>
      </c>
      <c r="D236" s="7" t="s">
        <v>13</v>
      </c>
      <c r="E236" s="7" t="s">
        <v>14</v>
      </c>
      <c r="F236" s="7" t="s">
        <v>28</v>
      </c>
      <c r="G236" s="1">
        <v>45156</v>
      </c>
      <c r="H236" s="7">
        <v>439</v>
      </c>
      <c r="I236" s="7">
        <v>202.95</v>
      </c>
      <c r="J236" s="7">
        <v>351.1</v>
      </c>
      <c r="K236" s="18">
        <f>$H236*$I236</f>
        <v>89095.049999999988</v>
      </c>
      <c r="L236" s="1">
        <f t="shared" si="3"/>
        <v>-65037.850000000013</v>
      </c>
    </row>
    <row r="237" spans="1:12" x14ac:dyDescent="0.25">
      <c r="A237" s="7" t="s">
        <v>259</v>
      </c>
      <c r="B237" s="7" t="s">
        <v>48</v>
      </c>
      <c r="C237" s="7" t="s">
        <v>18</v>
      </c>
      <c r="D237" s="7" t="s">
        <v>27</v>
      </c>
      <c r="E237" s="7" t="s">
        <v>14</v>
      </c>
      <c r="F237" s="7" t="s">
        <v>20</v>
      </c>
      <c r="G237" s="1">
        <v>45157</v>
      </c>
      <c r="H237" s="7">
        <v>482</v>
      </c>
      <c r="I237" s="7">
        <v>488.48</v>
      </c>
      <c r="J237" s="7">
        <v>174.65</v>
      </c>
      <c r="K237" s="18">
        <f>$H237*$I237</f>
        <v>235447.36000000002</v>
      </c>
      <c r="L237" s="1">
        <f t="shared" si="3"/>
        <v>151266.06000000003</v>
      </c>
    </row>
    <row r="238" spans="1:12" x14ac:dyDescent="0.25">
      <c r="A238" s="7" t="s">
        <v>260</v>
      </c>
      <c r="B238" s="7" t="s">
        <v>17</v>
      </c>
      <c r="C238" s="7" t="s">
        <v>18</v>
      </c>
      <c r="D238" s="7" t="s">
        <v>23</v>
      </c>
      <c r="E238" s="7" t="s">
        <v>14</v>
      </c>
      <c r="F238" s="7" t="s">
        <v>20</v>
      </c>
      <c r="G238" s="1">
        <v>45158</v>
      </c>
      <c r="H238" s="7">
        <v>154</v>
      </c>
      <c r="I238" s="7">
        <v>412.47</v>
      </c>
      <c r="J238" s="7">
        <v>66.02</v>
      </c>
      <c r="K238" s="18">
        <f>$H238*$I238</f>
        <v>63520.380000000005</v>
      </c>
      <c r="L238" s="1">
        <f t="shared" si="3"/>
        <v>53353.30000000001</v>
      </c>
    </row>
    <row r="239" spans="1:12" x14ac:dyDescent="0.25">
      <c r="A239" s="7" t="s">
        <v>261</v>
      </c>
      <c r="B239" s="7" t="s">
        <v>17</v>
      </c>
      <c r="C239" s="7" t="s">
        <v>26</v>
      </c>
      <c r="D239" s="7" t="s">
        <v>23</v>
      </c>
      <c r="E239" s="7" t="s">
        <v>24</v>
      </c>
      <c r="F239" s="7" t="s">
        <v>28</v>
      </c>
      <c r="G239" s="1">
        <v>45159</v>
      </c>
      <c r="H239" s="7">
        <v>102</v>
      </c>
      <c r="I239" s="7">
        <v>263.63</v>
      </c>
      <c r="J239" s="7">
        <v>224.1</v>
      </c>
      <c r="K239" s="18">
        <f>$H239*$I239</f>
        <v>26890.26</v>
      </c>
      <c r="L239" s="1">
        <f t="shared" si="3"/>
        <v>4032.06</v>
      </c>
    </row>
    <row r="240" spans="1:12" x14ac:dyDescent="0.25">
      <c r="A240" s="7" t="s">
        <v>262</v>
      </c>
      <c r="B240" s="7" t="s">
        <v>17</v>
      </c>
      <c r="C240" s="7" t="s">
        <v>31</v>
      </c>
      <c r="D240" s="7" t="s">
        <v>23</v>
      </c>
      <c r="E240" s="7" t="s">
        <v>14</v>
      </c>
      <c r="F240" s="7" t="s">
        <v>28</v>
      </c>
      <c r="G240" s="1">
        <v>45160</v>
      </c>
      <c r="H240" s="7">
        <v>318</v>
      </c>
      <c r="I240" s="7">
        <v>66</v>
      </c>
      <c r="J240" s="7">
        <v>325.08</v>
      </c>
      <c r="K240" s="18">
        <f>$H240*$I240</f>
        <v>20988</v>
      </c>
      <c r="L240" s="1">
        <f t="shared" si="3"/>
        <v>-82387.439999999988</v>
      </c>
    </row>
    <row r="241" spans="1:12" x14ac:dyDescent="0.25">
      <c r="A241" s="7" t="s">
        <v>263</v>
      </c>
      <c r="B241" s="7" t="s">
        <v>17</v>
      </c>
      <c r="C241" s="7" t="s">
        <v>12</v>
      </c>
      <c r="D241" s="7" t="s">
        <v>23</v>
      </c>
      <c r="E241" s="7" t="s">
        <v>14</v>
      </c>
      <c r="F241" s="7" t="s">
        <v>28</v>
      </c>
      <c r="G241" s="1">
        <v>45161</v>
      </c>
      <c r="H241" s="7">
        <v>17</v>
      </c>
      <c r="I241" s="7">
        <v>430.41</v>
      </c>
      <c r="J241" s="7">
        <v>297.2</v>
      </c>
      <c r="K241" s="18">
        <f>$H241*$I241</f>
        <v>7316.97</v>
      </c>
      <c r="L241" s="1">
        <f t="shared" si="3"/>
        <v>2264.5700000000006</v>
      </c>
    </row>
    <row r="242" spans="1:12" x14ac:dyDescent="0.25">
      <c r="A242" s="7" t="s">
        <v>264</v>
      </c>
      <c r="B242" s="7" t="s">
        <v>17</v>
      </c>
      <c r="C242" s="7" t="s">
        <v>50</v>
      </c>
      <c r="D242" s="7" t="s">
        <v>19</v>
      </c>
      <c r="E242" s="7" t="s">
        <v>24</v>
      </c>
      <c r="F242" s="7" t="s">
        <v>20</v>
      </c>
      <c r="G242" s="1">
        <v>45162</v>
      </c>
      <c r="H242" s="7">
        <v>88</v>
      </c>
      <c r="I242" s="7">
        <v>400.89</v>
      </c>
      <c r="J242" s="7">
        <v>352.82</v>
      </c>
      <c r="K242" s="18">
        <f>$H242*$I242</f>
        <v>35278.32</v>
      </c>
      <c r="L242" s="1">
        <f t="shared" si="3"/>
        <v>4230.16</v>
      </c>
    </row>
    <row r="243" spans="1:12" x14ac:dyDescent="0.25">
      <c r="A243" s="7" t="s">
        <v>265</v>
      </c>
      <c r="B243" s="7" t="s">
        <v>48</v>
      </c>
      <c r="C243" s="7" t="s">
        <v>50</v>
      </c>
      <c r="D243" s="7" t="s">
        <v>13</v>
      </c>
      <c r="E243" s="7" t="s">
        <v>24</v>
      </c>
      <c r="F243" s="7" t="s">
        <v>20</v>
      </c>
      <c r="G243" s="1">
        <v>45163</v>
      </c>
      <c r="H243" s="7">
        <v>36</v>
      </c>
      <c r="I243" s="7">
        <v>96.37</v>
      </c>
      <c r="J243" s="7">
        <v>112.61</v>
      </c>
      <c r="K243" s="18">
        <f>$H243*$I243</f>
        <v>3469.32</v>
      </c>
      <c r="L243" s="1">
        <f t="shared" si="3"/>
        <v>-584.63999999999987</v>
      </c>
    </row>
    <row r="244" spans="1:12" x14ac:dyDescent="0.25">
      <c r="A244" s="7" t="s">
        <v>266</v>
      </c>
      <c r="B244" s="7" t="s">
        <v>48</v>
      </c>
      <c r="C244" s="7" t="s">
        <v>12</v>
      </c>
      <c r="D244" s="7" t="s">
        <v>27</v>
      </c>
      <c r="E244" s="7" t="s">
        <v>24</v>
      </c>
      <c r="F244" s="7" t="s">
        <v>15</v>
      </c>
      <c r="G244" s="1">
        <v>45164</v>
      </c>
      <c r="H244" s="7">
        <v>183</v>
      </c>
      <c r="I244" s="7">
        <v>151.16</v>
      </c>
      <c r="J244" s="7">
        <v>79.19</v>
      </c>
      <c r="K244" s="18">
        <f>$H244*$I244</f>
        <v>27662.28</v>
      </c>
      <c r="L244" s="1">
        <f t="shared" si="3"/>
        <v>13170.51</v>
      </c>
    </row>
    <row r="245" spans="1:12" x14ac:dyDescent="0.25">
      <c r="A245" s="7" t="s">
        <v>267</v>
      </c>
      <c r="B245" s="7" t="s">
        <v>11</v>
      </c>
      <c r="C245" s="7" t="s">
        <v>26</v>
      </c>
      <c r="D245" s="7" t="s">
        <v>27</v>
      </c>
      <c r="E245" s="7" t="s">
        <v>24</v>
      </c>
      <c r="F245" s="7" t="s">
        <v>15</v>
      </c>
      <c r="G245" s="1">
        <v>45165</v>
      </c>
      <c r="H245" s="7">
        <v>59</v>
      </c>
      <c r="I245" s="7">
        <v>397.74</v>
      </c>
      <c r="J245" s="7">
        <v>352.17</v>
      </c>
      <c r="K245" s="18">
        <f>$H245*$I245</f>
        <v>23466.66</v>
      </c>
      <c r="L245" s="1">
        <f t="shared" si="3"/>
        <v>2688.6299999999997</v>
      </c>
    </row>
    <row r="246" spans="1:12" x14ac:dyDescent="0.25">
      <c r="A246" s="7" t="s">
        <v>268</v>
      </c>
      <c r="B246" s="7" t="s">
        <v>17</v>
      </c>
      <c r="C246" s="7" t="s">
        <v>50</v>
      </c>
      <c r="D246" s="7" t="s">
        <v>23</v>
      </c>
      <c r="E246" s="7" t="s">
        <v>14</v>
      </c>
      <c r="F246" s="7" t="s">
        <v>28</v>
      </c>
      <c r="G246" s="1">
        <v>45166</v>
      </c>
      <c r="H246" s="7">
        <v>208</v>
      </c>
      <c r="I246" s="7">
        <v>96.69</v>
      </c>
      <c r="J246" s="7">
        <v>263.70999999999998</v>
      </c>
      <c r="K246" s="18">
        <f>$H246*$I246</f>
        <v>20111.52</v>
      </c>
      <c r="L246" s="1">
        <f t="shared" si="3"/>
        <v>-34740.159999999996</v>
      </c>
    </row>
    <row r="247" spans="1:12" x14ac:dyDescent="0.25">
      <c r="A247" s="7" t="s">
        <v>269</v>
      </c>
      <c r="B247" s="7" t="s">
        <v>48</v>
      </c>
      <c r="C247" s="7" t="s">
        <v>31</v>
      </c>
      <c r="D247" s="7" t="s">
        <v>23</v>
      </c>
      <c r="E247" s="7" t="s">
        <v>14</v>
      </c>
      <c r="F247" s="7" t="s">
        <v>20</v>
      </c>
      <c r="G247" s="1">
        <v>45167</v>
      </c>
      <c r="H247" s="7">
        <v>396</v>
      </c>
      <c r="I247" s="7">
        <v>459.29</v>
      </c>
      <c r="J247" s="7">
        <v>125.75</v>
      </c>
      <c r="K247" s="18">
        <f>$H247*$I247</f>
        <v>181878.84</v>
      </c>
      <c r="L247" s="1">
        <f t="shared" si="3"/>
        <v>132081.84</v>
      </c>
    </row>
    <row r="248" spans="1:12" x14ac:dyDescent="0.25">
      <c r="A248" s="7" t="s">
        <v>270</v>
      </c>
      <c r="B248" s="7" t="s">
        <v>11</v>
      </c>
      <c r="C248" s="7" t="s">
        <v>26</v>
      </c>
      <c r="D248" s="7" t="s">
        <v>42</v>
      </c>
      <c r="E248" s="7" t="s">
        <v>24</v>
      </c>
      <c r="F248" s="7" t="s">
        <v>20</v>
      </c>
      <c r="G248" s="1">
        <v>45168</v>
      </c>
      <c r="H248" s="7">
        <v>358</v>
      </c>
      <c r="I248" s="7">
        <v>215.14</v>
      </c>
      <c r="J248" s="7">
        <v>297.45</v>
      </c>
      <c r="K248" s="18">
        <f>$H248*$I248</f>
        <v>77020.12</v>
      </c>
      <c r="L248" s="1">
        <f t="shared" si="3"/>
        <v>-29466.98</v>
      </c>
    </row>
    <row r="249" spans="1:12" x14ac:dyDescent="0.25">
      <c r="A249" s="7" t="s">
        <v>271</v>
      </c>
      <c r="B249" s="7" t="s">
        <v>17</v>
      </c>
      <c r="C249" s="7" t="s">
        <v>31</v>
      </c>
      <c r="D249" s="7" t="s">
        <v>13</v>
      </c>
      <c r="E249" s="7" t="s">
        <v>14</v>
      </c>
      <c r="F249" s="7" t="s">
        <v>20</v>
      </c>
      <c r="G249" s="1">
        <v>45169</v>
      </c>
      <c r="H249" s="7">
        <v>457</v>
      </c>
      <c r="I249" s="7">
        <v>48.08</v>
      </c>
      <c r="J249" s="7">
        <v>326.42</v>
      </c>
      <c r="K249" s="18">
        <f>$H249*$I249</f>
        <v>21972.559999999998</v>
      </c>
      <c r="L249" s="1">
        <f t="shared" si="3"/>
        <v>-127201.38000000002</v>
      </c>
    </row>
    <row r="250" spans="1:12" x14ac:dyDescent="0.25">
      <c r="A250" s="7" t="s">
        <v>272</v>
      </c>
      <c r="B250" s="7" t="s">
        <v>22</v>
      </c>
      <c r="C250" s="7" t="s">
        <v>18</v>
      </c>
      <c r="D250" s="7" t="s">
        <v>19</v>
      </c>
      <c r="E250" s="7" t="s">
        <v>14</v>
      </c>
      <c r="F250" s="7" t="s">
        <v>28</v>
      </c>
      <c r="G250" s="1">
        <v>45170</v>
      </c>
      <c r="H250" s="7">
        <v>437</v>
      </c>
      <c r="I250" s="7">
        <v>408.8</v>
      </c>
      <c r="J250" s="7">
        <v>246.76</v>
      </c>
      <c r="K250" s="18">
        <f>$H250*$I250</f>
        <v>178645.6</v>
      </c>
      <c r="L250" s="1">
        <f t="shared" si="3"/>
        <v>70811.48000000001</v>
      </c>
    </row>
    <row r="251" spans="1:12" x14ac:dyDescent="0.25">
      <c r="A251" s="7" t="s">
        <v>273</v>
      </c>
      <c r="B251" s="7" t="s">
        <v>11</v>
      </c>
      <c r="C251" s="7" t="s">
        <v>26</v>
      </c>
      <c r="D251" s="7" t="s">
        <v>27</v>
      </c>
      <c r="E251" s="7" t="s">
        <v>14</v>
      </c>
      <c r="F251" s="7" t="s">
        <v>15</v>
      </c>
      <c r="G251" s="1">
        <v>45171</v>
      </c>
      <c r="H251" s="7">
        <v>190</v>
      </c>
      <c r="I251" s="7">
        <v>189.89</v>
      </c>
      <c r="J251" s="7">
        <v>275.77999999999997</v>
      </c>
      <c r="K251" s="18">
        <f>$H251*$I251</f>
        <v>36079.1</v>
      </c>
      <c r="L251" s="1">
        <f t="shared" si="3"/>
        <v>-16319.099999999997</v>
      </c>
    </row>
    <row r="252" spans="1:12" x14ac:dyDescent="0.25">
      <c r="A252" s="7" t="s">
        <v>274</v>
      </c>
      <c r="B252" s="7" t="s">
        <v>48</v>
      </c>
      <c r="C252" s="7" t="s">
        <v>50</v>
      </c>
      <c r="D252" s="7" t="s">
        <v>42</v>
      </c>
      <c r="E252" s="7" t="s">
        <v>24</v>
      </c>
      <c r="F252" s="7" t="s">
        <v>28</v>
      </c>
      <c r="G252" s="1">
        <v>45172</v>
      </c>
      <c r="H252" s="7">
        <v>33</v>
      </c>
      <c r="I252" s="7">
        <v>265.62</v>
      </c>
      <c r="J252" s="7">
        <v>151.35</v>
      </c>
      <c r="K252" s="18">
        <f>$H252*$I252</f>
        <v>8765.4600000000009</v>
      </c>
      <c r="L252" s="1">
        <f t="shared" si="3"/>
        <v>3770.9100000000003</v>
      </c>
    </row>
    <row r="253" spans="1:12" x14ac:dyDescent="0.25">
      <c r="A253" s="7" t="s">
        <v>275</v>
      </c>
      <c r="B253" s="7" t="s">
        <v>22</v>
      </c>
      <c r="C253" s="7" t="s">
        <v>26</v>
      </c>
      <c r="D253" s="7" t="s">
        <v>42</v>
      </c>
      <c r="E253" s="7" t="s">
        <v>14</v>
      </c>
      <c r="F253" s="7" t="s">
        <v>15</v>
      </c>
      <c r="G253" s="1">
        <v>45173</v>
      </c>
      <c r="H253" s="7">
        <v>325</v>
      </c>
      <c r="I253" s="7">
        <v>60.59</v>
      </c>
      <c r="J253" s="7">
        <v>216.4</v>
      </c>
      <c r="K253" s="18">
        <f>$H253*$I253</f>
        <v>19691.75</v>
      </c>
      <c r="L253" s="1">
        <f t="shared" si="3"/>
        <v>-50638.25</v>
      </c>
    </row>
    <row r="254" spans="1:12" x14ac:dyDescent="0.25">
      <c r="A254" s="7" t="s">
        <v>276</v>
      </c>
      <c r="B254" s="7" t="s">
        <v>22</v>
      </c>
      <c r="C254" s="7" t="s">
        <v>26</v>
      </c>
      <c r="D254" s="7" t="s">
        <v>27</v>
      </c>
      <c r="E254" s="7" t="s">
        <v>24</v>
      </c>
      <c r="F254" s="7" t="s">
        <v>15</v>
      </c>
      <c r="G254" s="1">
        <v>45174</v>
      </c>
      <c r="H254" s="7">
        <v>387</v>
      </c>
      <c r="I254" s="7">
        <v>6.28</v>
      </c>
      <c r="J254" s="7">
        <v>210.62</v>
      </c>
      <c r="K254" s="18">
        <f>$H254*$I254</f>
        <v>2430.36</v>
      </c>
      <c r="L254" s="1">
        <f t="shared" si="3"/>
        <v>-79079.58</v>
      </c>
    </row>
    <row r="255" spans="1:12" x14ac:dyDescent="0.25">
      <c r="A255" s="7" t="s">
        <v>277</v>
      </c>
      <c r="B255" s="7" t="s">
        <v>22</v>
      </c>
      <c r="C255" s="7" t="s">
        <v>26</v>
      </c>
      <c r="D255" s="7" t="s">
        <v>19</v>
      </c>
      <c r="E255" s="7" t="s">
        <v>14</v>
      </c>
      <c r="F255" s="7" t="s">
        <v>28</v>
      </c>
      <c r="G255" s="1">
        <v>45175</v>
      </c>
      <c r="H255" s="7">
        <v>396</v>
      </c>
      <c r="I255" s="7">
        <v>320.8</v>
      </c>
      <c r="J255" s="7">
        <v>339.52</v>
      </c>
      <c r="K255" s="18">
        <f>$H255*$I255</f>
        <v>127036.8</v>
      </c>
      <c r="L255" s="1">
        <f t="shared" si="3"/>
        <v>-7413.1199999999881</v>
      </c>
    </row>
    <row r="256" spans="1:12" x14ac:dyDescent="0.25">
      <c r="A256" s="7" t="s">
        <v>278</v>
      </c>
      <c r="B256" s="7" t="s">
        <v>11</v>
      </c>
      <c r="C256" s="7" t="s">
        <v>26</v>
      </c>
      <c r="D256" s="7" t="s">
        <v>42</v>
      </c>
      <c r="E256" s="7" t="s">
        <v>14</v>
      </c>
      <c r="F256" s="7" t="s">
        <v>15</v>
      </c>
      <c r="G256" s="1">
        <v>45176</v>
      </c>
      <c r="H256" s="7">
        <v>413</v>
      </c>
      <c r="I256" s="7">
        <v>260.01</v>
      </c>
      <c r="J256" s="7">
        <v>336.31</v>
      </c>
      <c r="K256" s="18">
        <f>$H256*$I256</f>
        <v>107384.12999999999</v>
      </c>
      <c r="L256" s="1">
        <f t="shared" si="3"/>
        <v>-31511.900000000005</v>
      </c>
    </row>
    <row r="257" spans="1:12" x14ac:dyDescent="0.25">
      <c r="A257" s="7" t="s">
        <v>279</v>
      </c>
      <c r="B257" s="7" t="s">
        <v>48</v>
      </c>
      <c r="C257" s="7" t="s">
        <v>31</v>
      </c>
      <c r="D257" s="7" t="s">
        <v>42</v>
      </c>
      <c r="E257" s="7" t="s">
        <v>14</v>
      </c>
      <c r="F257" s="7" t="s">
        <v>15</v>
      </c>
      <c r="G257" s="1">
        <v>45177</v>
      </c>
      <c r="H257" s="7">
        <v>255.9</v>
      </c>
      <c r="I257" s="7">
        <v>298.8</v>
      </c>
      <c r="J257" s="7">
        <v>333.41</v>
      </c>
      <c r="K257" s="18">
        <f>$H257*$I257</f>
        <v>76462.92</v>
      </c>
      <c r="L257" s="1">
        <f t="shared" si="3"/>
        <v>-8856.6990000000042</v>
      </c>
    </row>
    <row r="258" spans="1:12" x14ac:dyDescent="0.25">
      <c r="A258" s="7" t="s">
        <v>280</v>
      </c>
      <c r="B258" s="7" t="s">
        <v>22</v>
      </c>
      <c r="C258" s="7" t="s">
        <v>18</v>
      </c>
      <c r="D258" s="7" t="s">
        <v>13</v>
      </c>
      <c r="E258" s="7" t="s">
        <v>24</v>
      </c>
      <c r="F258" s="7" t="s">
        <v>20</v>
      </c>
      <c r="G258" s="1">
        <v>45178</v>
      </c>
      <c r="H258" s="7">
        <v>24</v>
      </c>
      <c r="I258" s="7">
        <v>397.9</v>
      </c>
      <c r="J258" s="7">
        <v>6.39</v>
      </c>
      <c r="K258" s="18">
        <f>$H258*$I258</f>
        <v>9549.5999999999985</v>
      </c>
      <c r="L258" s="1">
        <f t="shared" si="3"/>
        <v>9396.24</v>
      </c>
    </row>
    <row r="259" spans="1:12" x14ac:dyDescent="0.25">
      <c r="A259" s="7" t="s">
        <v>281</v>
      </c>
      <c r="B259" s="7" t="s">
        <v>17</v>
      </c>
      <c r="C259" s="7" t="s">
        <v>12</v>
      </c>
      <c r="D259" s="7" t="s">
        <v>13</v>
      </c>
      <c r="E259" s="7" t="s">
        <v>14</v>
      </c>
      <c r="F259" s="7" t="s">
        <v>15</v>
      </c>
      <c r="G259" s="1">
        <v>45179</v>
      </c>
      <c r="H259" s="7">
        <v>162</v>
      </c>
      <c r="I259" s="7">
        <v>325.07</v>
      </c>
      <c r="J259" s="7">
        <v>300.32</v>
      </c>
      <c r="K259" s="18">
        <f>$H259*$I259</f>
        <v>52661.34</v>
      </c>
      <c r="L259" s="1">
        <f t="shared" si="3"/>
        <v>4009.5</v>
      </c>
    </row>
    <row r="260" spans="1:12" x14ac:dyDescent="0.25">
      <c r="A260" s="7" t="s">
        <v>282</v>
      </c>
      <c r="B260" s="7" t="s">
        <v>22</v>
      </c>
      <c r="C260" s="7" t="s">
        <v>26</v>
      </c>
      <c r="D260" s="7" t="s">
        <v>42</v>
      </c>
      <c r="E260" s="7" t="s">
        <v>24</v>
      </c>
      <c r="F260" s="7" t="s">
        <v>28</v>
      </c>
      <c r="G260" s="1">
        <v>45180</v>
      </c>
      <c r="H260" s="7">
        <v>231</v>
      </c>
      <c r="I260" s="7">
        <v>91.51</v>
      </c>
      <c r="J260" s="7">
        <v>303.95</v>
      </c>
      <c r="K260" s="18">
        <f>$H260*$I260</f>
        <v>21138.81</v>
      </c>
      <c r="L260" s="1">
        <f t="shared" si="3"/>
        <v>-49073.64</v>
      </c>
    </row>
    <row r="261" spans="1:12" x14ac:dyDescent="0.25">
      <c r="A261" s="7" t="s">
        <v>283</v>
      </c>
      <c r="B261" s="7" t="s">
        <v>22</v>
      </c>
      <c r="C261" s="7" t="s">
        <v>50</v>
      </c>
      <c r="D261" s="7" t="s">
        <v>19</v>
      </c>
      <c r="E261" s="7" t="s">
        <v>24</v>
      </c>
      <c r="F261" s="7" t="s">
        <v>28</v>
      </c>
      <c r="G261" s="1">
        <v>45181</v>
      </c>
      <c r="H261" s="7">
        <v>215</v>
      </c>
      <c r="I261" s="7">
        <v>183.58</v>
      </c>
      <c r="J261" s="7">
        <v>271.99</v>
      </c>
      <c r="K261" s="18">
        <f>$H261*$I261</f>
        <v>39469.700000000004</v>
      </c>
      <c r="L261" s="1">
        <f t="shared" si="3"/>
        <v>-19008.149999999998</v>
      </c>
    </row>
    <row r="262" spans="1:12" x14ac:dyDescent="0.25">
      <c r="A262" s="7" t="s">
        <v>284</v>
      </c>
      <c r="B262" s="7" t="s">
        <v>11</v>
      </c>
      <c r="C262" s="7" t="s">
        <v>26</v>
      </c>
      <c r="D262" s="7" t="s">
        <v>27</v>
      </c>
      <c r="E262" s="7" t="s">
        <v>24</v>
      </c>
      <c r="F262" s="7" t="s">
        <v>15</v>
      </c>
      <c r="G262" s="1">
        <v>45182</v>
      </c>
      <c r="H262" s="7">
        <v>464</v>
      </c>
      <c r="I262" s="7">
        <v>453.42</v>
      </c>
      <c r="J262" s="7">
        <v>302.99</v>
      </c>
      <c r="K262" s="18">
        <f>$H262*$I262</f>
        <v>210386.88</v>
      </c>
      <c r="L262" s="1">
        <f t="shared" si="3"/>
        <v>69799.520000000004</v>
      </c>
    </row>
    <row r="263" spans="1:12" x14ac:dyDescent="0.25">
      <c r="A263" s="7" t="s">
        <v>285</v>
      </c>
      <c r="B263" s="7" t="s">
        <v>11</v>
      </c>
      <c r="C263" s="7" t="s">
        <v>50</v>
      </c>
      <c r="D263" s="7" t="s">
        <v>23</v>
      </c>
      <c r="E263" s="7" t="s">
        <v>14</v>
      </c>
      <c r="F263" s="7" t="s">
        <v>20</v>
      </c>
      <c r="G263" s="1">
        <v>45183</v>
      </c>
      <c r="H263" s="7">
        <v>282</v>
      </c>
      <c r="I263" s="7">
        <v>249.64</v>
      </c>
      <c r="J263" s="7">
        <v>337.1</v>
      </c>
      <c r="K263" s="18">
        <f>$H263*$I263</f>
        <v>70398.48</v>
      </c>
      <c r="L263" s="1">
        <f t="shared" si="3"/>
        <v>-24663.720000000008</v>
      </c>
    </row>
    <row r="264" spans="1:12" x14ac:dyDescent="0.25">
      <c r="A264" s="7" t="s">
        <v>286</v>
      </c>
      <c r="B264" s="7" t="s">
        <v>48</v>
      </c>
      <c r="C264" s="7" t="s">
        <v>31</v>
      </c>
      <c r="D264" s="7" t="s">
        <v>42</v>
      </c>
      <c r="E264" s="7" t="s">
        <v>14</v>
      </c>
      <c r="F264" s="7" t="s">
        <v>20</v>
      </c>
      <c r="G264" s="1">
        <v>45184</v>
      </c>
      <c r="H264" s="7">
        <v>391</v>
      </c>
      <c r="I264" s="7">
        <v>280.54000000000002</v>
      </c>
      <c r="J264" s="7">
        <v>189.19</v>
      </c>
      <c r="K264" s="18">
        <f>$H264*$I264</f>
        <v>109691.14000000001</v>
      </c>
      <c r="L264" s="1">
        <f t="shared" ref="L264:L327" si="4">($I264-$J264)*$H264</f>
        <v>35717.850000000006</v>
      </c>
    </row>
    <row r="265" spans="1:12" x14ac:dyDescent="0.25">
      <c r="A265" s="7" t="s">
        <v>287</v>
      </c>
      <c r="B265" s="7" t="s">
        <v>17</v>
      </c>
      <c r="C265" s="7" t="s">
        <v>50</v>
      </c>
      <c r="D265" s="7" t="s">
        <v>13</v>
      </c>
      <c r="E265" s="7" t="s">
        <v>14</v>
      </c>
      <c r="F265" s="7" t="s">
        <v>15</v>
      </c>
      <c r="G265" s="1">
        <v>45185</v>
      </c>
      <c r="H265" s="7">
        <v>245</v>
      </c>
      <c r="I265" s="7">
        <v>131.54</v>
      </c>
      <c r="J265" s="7">
        <v>201.82</v>
      </c>
      <c r="K265" s="18">
        <f>$H265*$I265</f>
        <v>32227.3</v>
      </c>
      <c r="L265" s="1">
        <f t="shared" si="4"/>
        <v>-17218.599999999999</v>
      </c>
    </row>
    <row r="266" spans="1:12" x14ac:dyDescent="0.25">
      <c r="A266" s="7" t="s">
        <v>288</v>
      </c>
      <c r="B266" s="7" t="s">
        <v>11</v>
      </c>
      <c r="C266" s="7" t="s">
        <v>12</v>
      </c>
      <c r="D266" s="7" t="s">
        <v>27</v>
      </c>
      <c r="E266" s="7" t="s">
        <v>14</v>
      </c>
      <c r="F266" s="7" t="s">
        <v>15</v>
      </c>
      <c r="G266" s="1">
        <v>45186</v>
      </c>
      <c r="H266" s="7">
        <v>349</v>
      </c>
      <c r="I266" s="7">
        <v>154.52000000000001</v>
      </c>
      <c r="J266" s="7">
        <v>51.64</v>
      </c>
      <c r="K266" s="18">
        <f>$H266*$I266</f>
        <v>53927.48</v>
      </c>
      <c r="L266" s="1">
        <f t="shared" si="4"/>
        <v>35905.120000000003</v>
      </c>
    </row>
    <row r="267" spans="1:12" x14ac:dyDescent="0.25">
      <c r="A267" s="7" t="s">
        <v>289</v>
      </c>
      <c r="B267" s="7" t="s">
        <v>22</v>
      </c>
      <c r="C267" s="7" t="s">
        <v>18</v>
      </c>
      <c r="D267" s="7" t="s">
        <v>19</v>
      </c>
      <c r="E267" s="7" t="s">
        <v>24</v>
      </c>
      <c r="F267" s="7" t="s">
        <v>28</v>
      </c>
      <c r="G267" s="1">
        <v>45187</v>
      </c>
      <c r="H267" s="7">
        <v>237</v>
      </c>
      <c r="I267" s="7">
        <v>249.64</v>
      </c>
      <c r="J267" s="7">
        <v>155.38</v>
      </c>
      <c r="K267" s="18">
        <f>$H267*$I267</f>
        <v>59164.68</v>
      </c>
      <c r="L267" s="1">
        <f t="shared" si="4"/>
        <v>22339.62</v>
      </c>
    </row>
    <row r="268" spans="1:12" x14ac:dyDescent="0.25">
      <c r="A268" s="7" t="s">
        <v>290</v>
      </c>
      <c r="B268" s="7" t="s">
        <v>48</v>
      </c>
      <c r="C268" s="7" t="s">
        <v>50</v>
      </c>
      <c r="D268" s="7" t="s">
        <v>27</v>
      </c>
      <c r="E268" s="7" t="s">
        <v>24</v>
      </c>
      <c r="F268" s="7" t="s">
        <v>15</v>
      </c>
      <c r="G268" s="1">
        <v>45188</v>
      </c>
      <c r="H268" s="7">
        <v>18</v>
      </c>
      <c r="I268" s="7">
        <v>426.33</v>
      </c>
      <c r="J268" s="7">
        <v>258.06</v>
      </c>
      <c r="K268" s="18">
        <f>$H268*$I268</f>
        <v>7673.94</v>
      </c>
      <c r="L268" s="1">
        <f t="shared" si="4"/>
        <v>3028.8599999999997</v>
      </c>
    </row>
    <row r="269" spans="1:12" x14ac:dyDescent="0.25">
      <c r="A269" s="7" t="s">
        <v>291</v>
      </c>
      <c r="B269" s="7" t="s">
        <v>22</v>
      </c>
      <c r="C269" s="7" t="s">
        <v>50</v>
      </c>
      <c r="D269" s="7" t="s">
        <v>42</v>
      </c>
      <c r="E269" s="7" t="s">
        <v>24</v>
      </c>
      <c r="F269" s="7" t="s">
        <v>20</v>
      </c>
      <c r="G269" s="1">
        <v>45189</v>
      </c>
      <c r="H269" s="7">
        <v>175</v>
      </c>
      <c r="I269" s="7">
        <v>337.36</v>
      </c>
      <c r="J269" s="7">
        <v>312.60000000000002</v>
      </c>
      <c r="K269" s="18">
        <f>$H269*$I269</f>
        <v>59038</v>
      </c>
      <c r="L269" s="1">
        <f t="shared" si="4"/>
        <v>4332.9999999999982</v>
      </c>
    </row>
    <row r="270" spans="1:12" x14ac:dyDescent="0.25">
      <c r="A270" s="7" t="s">
        <v>292</v>
      </c>
      <c r="B270" s="7" t="s">
        <v>22</v>
      </c>
      <c r="C270" s="7" t="s">
        <v>18</v>
      </c>
      <c r="D270" s="7" t="s">
        <v>42</v>
      </c>
      <c r="E270" s="7" t="s">
        <v>14</v>
      </c>
      <c r="F270" s="7" t="s">
        <v>15</v>
      </c>
      <c r="G270" s="1">
        <v>45190</v>
      </c>
      <c r="H270" s="7">
        <v>441</v>
      </c>
      <c r="I270" s="7">
        <v>405.72</v>
      </c>
      <c r="J270" s="7">
        <v>88.45</v>
      </c>
      <c r="K270" s="18">
        <f>$H270*$I270</f>
        <v>178922.52000000002</v>
      </c>
      <c r="L270" s="1">
        <f t="shared" si="4"/>
        <v>139916.07</v>
      </c>
    </row>
    <row r="271" spans="1:12" x14ac:dyDescent="0.25">
      <c r="A271" s="7" t="s">
        <v>293</v>
      </c>
      <c r="B271" s="7" t="s">
        <v>11</v>
      </c>
      <c r="C271" s="7" t="s">
        <v>12</v>
      </c>
      <c r="D271" s="7" t="s">
        <v>23</v>
      </c>
      <c r="E271" s="7" t="s">
        <v>24</v>
      </c>
      <c r="F271" s="7" t="s">
        <v>28</v>
      </c>
      <c r="G271" s="1">
        <v>45191</v>
      </c>
      <c r="H271" s="7">
        <v>453</v>
      </c>
      <c r="I271" s="7">
        <v>384.49</v>
      </c>
      <c r="J271" s="7">
        <v>56.85</v>
      </c>
      <c r="K271" s="18">
        <f>$H271*$I271</f>
        <v>174173.97</v>
      </c>
      <c r="L271" s="1">
        <f t="shared" si="4"/>
        <v>148420.91999999998</v>
      </c>
    </row>
    <row r="272" spans="1:12" x14ac:dyDescent="0.25">
      <c r="A272" s="7" t="s">
        <v>294</v>
      </c>
      <c r="B272" s="7" t="s">
        <v>48</v>
      </c>
      <c r="C272" s="7" t="s">
        <v>26</v>
      </c>
      <c r="D272" s="7" t="s">
        <v>27</v>
      </c>
      <c r="E272" s="7" t="s">
        <v>14</v>
      </c>
      <c r="F272" s="7" t="s">
        <v>28</v>
      </c>
      <c r="G272" s="1">
        <v>45192</v>
      </c>
      <c r="H272" s="7">
        <v>328</v>
      </c>
      <c r="I272" s="7">
        <v>79.099999999999994</v>
      </c>
      <c r="J272" s="7">
        <v>265.89</v>
      </c>
      <c r="K272" s="18">
        <f>$H272*$I272</f>
        <v>25944.799999999999</v>
      </c>
      <c r="L272" s="1">
        <f t="shared" si="4"/>
        <v>-61267.119999999995</v>
      </c>
    </row>
    <row r="273" spans="1:12" x14ac:dyDescent="0.25">
      <c r="A273" s="7" t="s">
        <v>295</v>
      </c>
      <c r="B273" s="7" t="s">
        <v>17</v>
      </c>
      <c r="C273" s="7" t="s">
        <v>50</v>
      </c>
      <c r="D273" s="7" t="s">
        <v>42</v>
      </c>
      <c r="E273" s="7" t="s">
        <v>24</v>
      </c>
      <c r="F273" s="7" t="s">
        <v>28</v>
      </c>
      <c r="G273" s="1">
        <v>45193</v>
      </c>
      <c r="H273" s="7">
        <v>223</v>
      </c>
      <c r="I273" s="7">
        <v>214.85</v>
      </c>
      <c r="J273" s="7">
        <v>2.75</v>
      </c>
      <c r="K273" s="18">
        <f>$H273*$I273</f>
        <v>47911.549999999996</v>
      </c>
      <c r="L273" s="1">
        <f t="shared" si="4"/>
        <v>47298.299999999996</v>
      </c>
    </row>
    <row r="274" spans="1:12" x14ac:dyDescent="0.25">
      <c r="A274" s="7" t="s">
        <v>296</v>
      </c>
      <c r="B274" s="7" t="s">
        <v>17</v>
      </c>
      <c r="C274" s="7" t="s">
        <v>18</v>
      </c>
      <c r="D274" s="7" t="s">
        <v>13</v>
      </c>
      <c r="E274" s="7" t="s">
        <v>14</v>
      </c>
      <c r="F274" s="7" t="s">
        <v>28</v>
      </c>
      <c r="G274" s="1">
        <v>45194</v>
      </c>
      <c r="H274" s="7">
        <v>126</v>
      </c>
      <c r="I274" s="7">
        <v>80.73</v>
      </c>
      <c r="J274" s="7">
        <v>72.989999999999995</v>
      </c>
      <c r="K274" s="18">
        <f>$H274*$I274</f>
        <v>10171.980000000001</v>
      </c>
      <c r="L274" s="1">
        <f t="shared" si="4"/>
        <v>975.24000000000115</v>
      </c>
    </row>
    <row r="275" spans="1:12" x14ac:dyDescent="0.25">
      <c r="A275" s="7" t="s">
        <v>297</v>
      </c>
      <c r="B275" s="7" t="s">
        <v>11</v>
      </c>
      <c r="C275" s="7" t="s">
        <v>31</v>
      </c>
      <c r="D275" s="7" t="s">
        <v>19</v>
      </c>
      <c r="E275" s="7" t="s">
        <v>14</v>
      </c>
      <c r="F275" s="7" t="s">
        <v>28</v>
      </c>
      <c r="G275" s="1">
        <v>45195</v>
      </c>
      <c r="H275" s="7">
        <v>395</v>
      </c>
      <c r="I275" s="7">
        <v>121.44</v>
      </c>
      <c r="J275" s="7">
        <v>13.57</v>
      </c>
      <c r="K275" s="18">
        <f>$H275*$I275</f>
        <v>47968.799999999996</v>
      </c>
      <c r="L275" s="1">
        <f t="shared" si="4"/>
        <v>42608.65</v>
      </c>
    </row>
    <row r="276" spans="1:12" x14ac:dyDescent="0.25">
      <c r="A276" s="7" t="s">
        <v>298</v>
      </c>
      <c r="B276" s="7" t="s">
        <v>11</v>
      </c>
      <c r="C276" s="7" t="s">
        <v>18</v>
      </c>
      <c r="D276" s="7" t="s">
        <v>27</v>
      </c>
      <c r="E276" s="7" t="s">
        <v>24</v>
      </c>
      <c r="F276" s="7" t="s">
        <v>15</v>
      </c>
      <c r="G276" s="1">
        <v>45196</v>
      </c>
      <c r="H276" s="7">
        <v>353</v>
      </c>
      <c r="I276" s="7">
        <v>435.28</v>
      </c>
      <c r="J276" s="7">
        <v>68.42</v>
      </c>
      <c r="K276" s="18">
        <f>$H276*$I276</f>
        <v>153653.84</v>
      </c>
      <c r="L276" s="1">
        <f t="shared" si="4"/>
        <v>129501.57999999999</v>
      </c>
    </row>
    <row r="277" spans="1:12" x14ac:dyDescent="0.25">
      <c r="A277" s="7" t="s">
        <v>299</v>
      </c>
      <c r="B277" s="7" t="s">
        <v>48</v>
      </c>
      <c r="C277" s="7" t="s">
        <v>31</v>
      </c>
      <c r="D277" s="7" t="s">
        <v>27</v>
      </c>
      <c r="E277" s="7" t="s">
        <v>24</v>
      </c>
      <c r="F277" s="7" t="s">
        <v>15</v>
      </c>
      <c r="G277" s="1">
        <v>45197</v>
      </c>
      <c r="H277" s="7">
        <v>81</v>
      </c>
      <c r="I277" s="7">
        <v>239.08</v>
      </c>
      <c r="J277" s="7">
        <v>74.17</v>
      </c>
      <c r="K277" s="18">
        <f>$H277*$I277</f>
        <v>19365.48</v>
      </c>
      <c r="L277" s="1">
        <f t="shared" si="4"/>
        <v>13357.710000000003</v>
      </c>
    </row>
    <row r="278" spans="1:12" x14ac:dyDescent="0.25">
      <c r="A278" s="7" t="s">
        <v>300</v>
      </c>
      <c r="B278" s="7" t="s">
        <v>17</v>
      </c>
      <c r="C278" s="7" t="s">
        <v>12</v>
      </c>
      <c r="D278" s="7" t="s">
        <v>23</v>
      </c>
      <c r="E278" s="7" t="s">
        <v>24</v>
      </c>
      <c r="F278" s="7" t="s">
        <v>15</v>
      </c>
      <c r="G278" s="1">
        <v>45198</v>
      </c>
      <c r="H278" s="7">
        <v>404</v>
      </c>
      <c r="I278" s="7">
        <v>270</v>
      </c>
      <c r="J278" s="7">
        <v>156.29</v>
      </c>
      <c r="K278" s="18">
        <f>$H278*$I278</f>
        <v>109080</v>
      </c>
      <c r="L278" s="1">
        <f t="shared" si="4"/>
        <v>45938.840000000004</v>
      </c>
    </row>
    <row r="279" spans="1:12" x14ac:dyDescent="0.25">
      <c r="A279" s="7" t="s">
        <v>301</v>
      </c>
      <c r="B279" s="7" t="s">
        <v>17</v>
      </c>
      <c r="C279" s="7" t="s">
        <v>26</v>
      </c>
      <c r="D279" s="7" t="s">
        <v>23</v>
      </c>
      <c r="E279" s="7" t="s">
        <v>24</v>
      </c>
      <c r="F279" s="7" t="s">
        <v>15</v>
      </c>
      <c r="G279" s="1">
        <v>45199</v>
      </c>
      <c r="H279" s="7">
        <v>73</v>
      </c>
      <c r="I279" s="7">
        <v>93.33</v>
      </c>
      <c r="J279" s="7">
        <v>162.13</v>
      </c>
      <c r="K279" s="18">
        <f>$H279*$I279</f>
        <v>6813.09</v>
      </c>
      <c r="L279" s="1">
        <f t="shared" si="4"/>
        <v>-5022.3999999999996</v>
      </c>
    </row>
    <row r="280" spans="1:12" x14ac:dyDescent="0.25">
      <c r="A280" s="7" t="s">
        <v>302</v>
      </c>
      <c r="B280" s="7" t="s">
        <v>17</v>
      </c>
      <c r="C280" s="7" t="s">
        <v>18</v>
      </c>
      <c r="D280" s="7" t="s">
        <v>13</v>
      </c>
      <c r="E280" s="7" t="s">
        <v>14</v>
      </c>
      <c r="F280" s="7" t="s">
        <v>28</v>
      </c>
      <c r="G280" s="1">
        <v>45200</v>
      </c>
      <c r="H280" s="7">
        <v>214</v>
      </c>
      <c r="I280" s="7">
        <v>159.57</v>
      </c>
      <c r="J280" s="7">
        <v>349.96</v>
      </c>
      <c r="K280" s="18">
        <f>$H280*$I280</f>
        <v>34147.979999999996</v>
      </c>
      <c r="L280" s="1">
        <f t="shared" si="4"/>
        <v>-40743.46</v>
      </c>
    </row>
    <row r="281" spans="1:12" x14ac:dyDescent="0.25">
      <c r="A281" s="7" t="s">
        <v>303</v>
      </c>
      <c r="B281" s="7" t="s">
        <v>22</v>
      </c>
      <c r="C281" s="7" t="s">
        <v>50</v>
      </c>
      <c r="D281" s="7" t="s">
        <v>13</v>
      </c>
      <c r="E281" s="7" t="s">
        <v>24</v>
      </c>
      <c r="F281" s="7" t="s">
        <v>20</v>
      </c>
      <c r="G281" s="1">
        <v>45201</v>
      </c>
      <c r="H281" s="7">
        <v>218</v>
      </c>
      <c r="I281" s="7">
        <v>118.97</v>
      </c>
      <c r="J281" s="7">
        <v>205.02</v>
      </c>
      <c r="K281" s="18">
        <f>$H281*$I281</f>
        <v>25935.46</v>
      </c>
      <c r="L281" s="1">
        <f t="shared" si="4"/>
        <v>-18758.900000000001</v>
      </c>
    </row>
    <row r="282" spans="1:12" x14ac:dyDescent="0.25">
      <c r="A282" s="7" t="s">
        <v>304</v>
      </c>
      <c r="B282" s="7" t="s">
        <v>17</v>
      </c>
      <c r="C282" s="7" t="s">
        <v>12</v>
      </c>
      <c r="D282" s="7" t="s">
        <v>42</v>
      </c>
      <c r="E282" s="7" t="s">
        <v>24</v>
      </c>
      <c r="F282" s="7" t="s">
        <v>15</v>
      </c>
      <c r="G282" s="1">
        <v>45202</v>
      </c>
      <c r="H282" s="7">
        <v>81</v>
      </c>
      <c r="I282" s="7">
        <v>107.06</v>
      </c>
      <c r="J282" s="7">
        <v>289.92</v>
      </c>
      <c r="K282" s="18">
        <f>$H282*$I282</f>
        <v>8671.86</v>
      </c>
      <c r="L282" s="1">
        <f t="shared" si="4"/>
        <v>-14811.660000000002</v>
      </c>
    </row>
    <row r="283" spans="1:12" x14ac:dyDescent="0.25">
      <c r="A283" s="7" t="s">
        <v>305</v>
      </c>
      <c r="B283" s="7" t="s">
        <v>22</v>
      </c>
      <c r="C283" s="7" t="s">
        <v>18</v>
      </c>
      <c r="D283" s="7" t="s">
        <v>42</v>
      </c>
      <c r="E283" s="7" t="s">
        <v>24</v>
      </c>
      <c r="F283" s="7" t="s">
        <v>20</v>
      </c>
      <c r="G283" s="1">
        <v>45203</v>
      </c>
      <c r="H283" s="7">
        <v>286</v>
      </c>
      <c r="I283" s="7">
        <v>320.79000000000002</v>
      </c>
      <c r="J283" s="7">
        <v>43.45</v>
      </c>
      <c r="K283" s="18">
        <f>$H283*$I283</f>
        <v>91745.94</v>
      </c>
      <c r="L283" s="1">
        <f t="shared" si="4"/>
        <v>79319.240000000005</v>
      </c>
    </row>
    <row r="284" spans="1:12" x14ac:dyDescent="0.25">
      <c r="A284" s="7" t="s">
        <v>306</v>
      </c>
      <c r="B284" s="7" t="s">
        <v>48</v>
      </c>
      <c r="C284" s="7" t="s">
        <v>50</v>
      </c>
      <c r="D284" s="7" t="s">
        <v>13</v>
      </c>
      <c r="E284" s="7" t="s">
        <v>14</v>
      </c>
      <c r="F284" s="7" t="s">
        <v>15</v>
      </c>
      <c r="G284" s="1">
        <v>45204</v>
      </c>
      <c r="H284" s="7">
        <v>283</v>
      </c>
      <c r="I284" s="7">
        <v>132.16</v>
      </c>
      <c r="J284" s="7">
        <v>91.72</v>
      </c>
      <c r="K284" s="18">
        <f>$H284*$I284</f>
        <v>37401.279999999999</v>
      </c>
      <c r="L284" s="1">
        <f t="shared" si="4"/>
        <v>11444.519999999999</v>
      </c>
    </row>
    <row r="285" spans="1:12" x14ac:dyDescent="0.25">
      <c r="A285" s="7" t="s">
        <v>307</v>
      </c>
      <c r="B285" s="7" t="s">
        <v>22</v>
      </c>
      <c r="C285" s="7" t="s">
        <v>18</v>
      </c>
      <c r="D285" s="7" t="s">
        <v>13</v>
      </c>
      <c r="E285" s="7" t="s">
        <v>14</v>
      </c>
      <c r="F285" s="7" t="s">
        <v>15</v>
      </c>
      <c r="G285" s="1">
        <v>45205</v>
      </c>
      <c r="H285" s="7">
        <v>487</v>
      </c>
      <c r="I285" s="7">
        <v>317.85000000000002</v>
      </c>
      <c r="J285" s="7">
        <v>281.77</v>
      </c>
      <c r="K285" s="18">
        <f>$H285*$I285</f>
        <v>154792.95000000001</v>
      </c>
      <c r="L285" s="1">
        <f t="shared" si="4"/>
        <v>17570.960000000021</v>
      </c>
    </row>
    <row r="286" spans="1:12" x14ac:dyDescent="0.25">
      <c r="A286" s="7" t="s">
        <v>308</v>
      </c>
      <c r="B286" s="7" t="s">
        <v>48</v>
      </c>
      <c r="C286" s="7" t="s">
        <v>31</v>
      </c>
      <c r="D286" s="7" t="s">
        <v>19</v>
      </c>
      <c r="E286" s="7" t="s">
        <v>24</v>
      </c>
      <c r="F286" s="7" t="s">
        <v>20</v>
      </c>
      <c r="G286" s="1">
        <v>45206</v>
      </c>
      <c r="H286" s="7">
        <v>329</v>
      </c>
      <c r="I286" s="7">
        <v>33.94</v>
      </c>
      <c r="J286" s="7">
        <v>23.02</v>
      </c>
      <c r="K286" s="18">
        <f>$H286*$I286</f>
        <v>11166.259999999998</v>
      </c>
      <c r="L286" s="1">
        <f t="shared" si="4"/>
        <v>3592.6799999999994</v>
      </c>
    </row>
    <row r="287" spans="1:12" x14ac:dyDescent="0.25">
      <c r="A287" s="7" t="s">
        <v>309</v>
      </c>
      <c r="B287" s="7" t="s">
        <v>17</v>
      </c>
      <c r="C287" s="7" t="s">
        <v>18</v>
      </c>
      <c r="D287" s="7" t="s">
        <v>23</v>
      </c>
      <c r="E287" s="7" t="s">
        <v>14</v>
      </c>
      <c r="F287" s="7" t="s">
        <v>28</v>
      </c>
      <c r="G287" s="1">
        <v>45207</v>
      </c>
      <c r="H287" s="7">
        <v>347</v>
      </c>
      <c r="I287" s="7">
        <v>75.180000000000007</v>
      </c>
      <c r="J287" s="7">
        <v>195.67</v>
      </c>
      <c r="K287" s="18">
        <f>$H287*$I287</f>
        <v>26087.460000000003</v>
      </c>
      <c r="L287" s="1">
        <f t="shared" si="4"/>
        <v>-41810.029999999992</v>
      </c>
    </row>
    <row r="288" spans="1:12" x14ac:dyDescent="0.25">
      <c r="A288" s="7" t="s">
        <v>310</v>
      </c>
      <c r="B288" s="7" t="s">
        <v>17</v>
      </c>
      <c r="C288" s="7" t="s">
        <v>18</v>
      </c>
      <c r="D288" s="7" t="s">
        <v>42</v>
      </c>
      <c r="E288" s="7" t="s">
        <v>24</v>
      </c>
      <c r="F288" s="7" t="s">
        <v>15</v>
      </c>
      <c r="G288" s="1">
        <v>45208</v>
      </c>
      <c r="H288" s="7">
        <v>375</v>
      </c>
      <c r="I288" s="7">
        <v>140.9</v>
      </c>
      <c r="J288" s="7">
        <v>240.55</v>
      </c>
      <c r="K288" s="18">
        <f>$H288*$I288</f>
        <v>52837.5</v>
      </c>
      <c r="L288" s="1">
        <f t="shared" si="4"/>
        <v>-37368.75</v>
      </c>
    </row>
    <row r="289" spans="1:12" x14ac:dyDescent="0.25">
      <c r="A289" s="7" t="s">
        <v>311</v>
      </c>
      <c r="B289" s="7" t="s">
        <v>48</v>
      </c>
      <c r="C289" s="7" t="s">
        <v>18</v>
      </c>
      <c r="D289" s="7" t="s">
        <v>23</v>
      </c>
      <c r="E289" s="7" t="s">
        <v>14</v>
      </c>
      <c r="F289" s="7" t="s">
        <v>15</v>
      </c>
      <c r="G289" s="1">
        <v>45209</v>
      </c>
      <c r="H289" s="7">
        <v>104</v>
      </c>
      <c r="I289" s="7">
        <v>300.54000000000002</v>
      </c>
      <c r="J289" s="7">
        <v>241.65</v>
      </c>
      <c r="K289" s="18">
        <f>$H289*$I289</f>
        <v>31256.160000000003</v>
      </c>
      <c r="L289" s="1">
        <f t="shared" si="4"/>
        <v>6124.5600000000013</v>
      </c>
    </row>
    <row r="290" spans="1:12" x14ac:dyDescent="0.25">
      <c r="A290" s="7" t="s">
        <v>312</v>
      </c>
      <c r="B290" s="7" t="s">
        <v>11</v>
      </c>
      <c r="C290" s="7" t="s">
        <v>12</v>
      </c>
      <c r="D290" s="7" t="s">
        <v>23</v>
      </c>
      <c r="E290" s="7" t="s">
        <v>14</v>
      </c>
      <c r="F290" s="7" t="s">
        <v>15</v>
      </c>
      <c r="G290" s="1">
        <v>45210</v>
      </c>
      <c r="H290" s="7">
        <v>175</v>
      </c>
      <c r="I290" s="7">
        <v>339.54</v>
      </c>
      <c r="J290" s="7">
        <v>11.13</v>
      </c>
      <c r="K290" s="18">
        <f>$H290*$I290</f>
        <v>59419.5</v>
      </c>
      <c r="L290" s="1">
        <f t="shared" si="4"/>
        <v>57471.750000000007</v>
      </c>
    </row>
    <row r="291" spans="1:12" x14ac:dyDescent="0.25">
      <c r="A291" s="7" t="s">
        <v>313</v>
      </c>
      <c r="B291" s="7" t="s">
        <v>48</v>
      </c>
      <c r="C291" s="7" t="s">
        <v>18</v>
      </c>
      <c r="D291" s="7" t="s">
        <v>13</v>
      </c>
      <c r="E291" s="7" t="s">
        <v>14</v>
      </c>
      <c r="F291" s="7" t="s">
        <v>20</v>
      </c>
      <c r="G291" s="1">
        <v>45211</v>
      </c>
      <c r="H291" s="7">
        <v>41</v>
      </c>
      <c r="I291" s="7">
        <v>224.14</v>
      </c>
      <c r="J291" s="7">
        <v>130.19999999999999</v>
      </c>
      <c r="K291" s="18">
        <f>$H291*$I291</f>
        <v>9189.74</v>
      </c>
      <c r="L291" s="1">
        <f t="shared" si="4"/>
        <v>3851.54</v>
      </c>
    </row>
    <row r="292" spans="1:12" x14ac:dyDescent="0.25">
      <c r="A292" s="7" t="s">
        <v>314</v>
      </c>
      <c r="B292" s="7" t="s">
        <v>11</v>
      </c>
      <c r="C292" s="7" t="s">
        <v>50</v>
      </c>
      <c r="D292" s="7" t="s">
        <v>19</v>
      </c>
      <c r="E292" s="7" t="s">
        <v>14</v>
      </c>
      <c r="F292" s="7" t="s">
        <v>28</v>
      </c>
      <c r="G292" s="1">
        <v>45212</v>
      </c>
      <c r="H292" s="7">
        <v>20</v>
      </c>
      <c r="I292" s="7">
        <v>225.67</v>
      </c>
      <c r="J292" s="7">
        <v>255.32</v>
      </c>
      <c r="K292" s="18">
        <f>$H292*$I292</f>
        <v>4513.3999999999996</v>
      </c>
      <c r="L292" s="1">
        <f t="shared" si="4"/>
        <v>-593.00000000000011</v>
      </c>
    </row>
    <row r="293" spans="1:12" x14ac:dyDescent="0.25">
      <c r="A293" s="7" t="s">
        <v>315</v>
      </c>
      <c r="B293" s="7" t="s">
        <v>22</v>
      </c>
      <c r="C293" s="7" t="s">
        <v>31</v>
      </c>
      <c r="D293" s="7" t="s">
        <v>27</v>
      </c>
      <c r="E293" s="7" t="s">
        <v>24</v>
      </c>
      <c r="F293" s="7" t="s">
        <v>20</v>
      </c>
      <c r="G293" s="1">
        <v>45213</v>
      </c>
      <c r="H293" s="7">
        <v>310</v>
      </c>
      <c r="I293" s="7">
        <v>363.64</v>
      </c>
      <c r="J293" s="7">
        <v>61.3</v>
      </c>
      <c r="K293" s="18">
        <f>$H293*$I293</f>
        <v>112728.4</v>
      </c>
      <c r="L293" s="1">
        <f t="shared" si="4"/>
        <v>93725.4</v>
      </c>
    </row>
    <row r="294" spans="1:12" x14ac:dyDescent="0.25">
      <c r="A294" s="7" t="s">
        <v>316</v>
      </c>
      <c r="B294" s="7" t="s">
        <v>22</v>
      </c>
      <c r="C294" s="7" t="s">
        <v>31</v>
      </c>
      <c r="D294" s="7" t="s">
        <v>19</v>
      </c>
      <c r="E294" s="7" t="s">
        <v>24</v>
      </c>
      <c r="F294" s="7" t="s">
        <v>20</v>
      </c>
      <c r="G294" s="1">
        <v>45214</v>
      </c>
      <c r="H294" s="7">
        <v>226</v>
      </c>
      <c r="I294" s="7">
        <v>249.64</v>
      </c>
      <c r="J294" s="7">
        <v>278.77999999999997</v>
      </c>
      <c r="K294" s="18">
        <f>$H294*$I294</f>
        <v>56418.64</v>
      </c>
      <c r="L294" s="1">
        <f t="shared" si="4"/>
        <v>-6585.6399999999967</v>
      </c>
    </row>
    <row r="295" spans="1:12" x14ac:dyDescent="0.25">
      <c r="A295" s="7" t="s">
        <v>317</v>
      </c>
      <c r="B295" s="7" t="s">
        <v>22</v>
      </c>
      <c r="C295" s="7" t="s">
        <v>18</v>
      </c>
      <c r="D295" s="7" t="s">
        <v>19</v>
      </c>
      <c r="E295" s="7" t="s">
        <v>24</v>
      </c>
      <c r="F295" s="7" t="s">
        <v>28</v>
      </c>
      <c r="G295" s="1">
        <v>45215</v>
      </c>
      <c r="H295" s="7">
        <v>255.9</v>
      </c>
      <c r="I295" s="7">
        <v>173.84</v>
      </c>
      <c r="J295" s="7">
        <v>298.88</v>
      </c>
      <c r="K295" s="18">
        <f>$H295*$I295</f>
        <v>44485.656000000003</v>
      </c>
      <c r="L295" s="1">
        <f t="shared" si="4"/>
        <v>-31997.735999999997</v>
      </c>
    </row>
    <row r="296" spans="1:12" x14ac:dyDescent="0.25">
      <c r="A296" s="7" t="s">
        <v>318</v>
      </c>
      <c r="B296" s="7" t="s">
        <v>17</v>
      </c>
      <c r="C296" s="7" t="s">
        <v>12</v>
      </c>
      <c r="D296" s="7" t="s">
        <v>23</v>
      </c>
      <c r="E296" s="7" t="s">
        <v>14</v>
      </c>
      <c r="F296" s="7" t="s">
        <v>20</v>
      </c>
      <c r="G296" s="1">
        <v>45216</v>
      </c>
      <c r="H296" s="7">
        <v>111</v>
      </c>
      <c r="I296" s="7">
        <v>410.26</v>
      </c>
      <c r="J296" s="7">
        <v>392.82</v>
      </c>
      <c r="K296" s="18">
        <f>$H296*$I296</f>
        <v>45538.86</v>
      </c>
      <c r="L296" s="1">
        <f t="shared" si="4"/>
        <v>1935.8399999999997</v>
      </c>
    </row>
    <row r="297" spans="1:12" x14ac:dyDescent="0.25">
      <c r="A297" s="7" t="s">
        <v>319</v>
      </c>
      <c r="B297" s="7" t="s">
        <v>22</v>
      </c>
      <c r="C297" s="7" t="s">
        <v>12</v>
      </c>
      <c r="D297" s="7" t="s">
        <v>19</v>
      </c>
      <c r="E297" s="7" t="s">
        <v>24</v>
      </c>
      <c r="F297" s="7" t="s">
        <v>28</v>
      </c>
      <c r="G297" s="1">
        <v>45217</v>
      </c>
      <c r="H297" s="7">
        <v>434</v>
      </c>
      <c r="I297" s="7">
        <v>303.58999999999997</v>
      </c>
      <c r="J297" s="7">
        <v>85.52</v>
      </c>
      <c r="K297" s="18">
        <f>$H297*$I297</f>
        <v>131758.06</v>
      </c>
      <c r="L297" s="1">
        <f t="shared" si="4"/>
        <v>94642.37999999999</v>
      </c>
    </row>
    <row r="298" spans="1:12" x14ac:dyDescent="0.25">
      <c r="A298" s="7" t="s">
        <v>320</v>
      </c>
      <c r="B298" s="7" t="s">
        <v>11</v>
      </c>
      <c r="C298" s="7" t="s">
        <v>50</v>
      </c>
      <c r="D298" s="7" t="s">
        <v>42</v>
      </c>
      <c r="E298" s="7" t="s">
        <v>24</v>
      </c>
      <c r="F298" s="7" t="s">
        <v>15</v>
      </c>
      <c r="G298" s="1">
        <v>45218</v>
      </c>
      <c r="H298" s="7">
        <v>401</v>
      </c>
      <c r="I298" s="7">
        <v>171.93</v>
      </c>
      <c r="J298" s="7">
        <v>330.4</v>
      </c>
      <c r="K298" s="18">
        <f>$H298*$I298</f>
        <v>68943.930000000008</v>
      </c>
      <c r="L298" s="1">
        <f t="shared" si="4"/>
        <v>-63546.469999999987</v>
      </c>
    </row>
    <row r="299" spans="1:12" x14ac:dyDescent="0.25">
      <c r="A299" s="7" t="s">
        <v>321</v>
      </c>
      <c r="B299" s="7" t="s">
        <v>22</v>
      </c>
      <c r="C299" s="7" t="s">
        <v>18</v>
      </c>
      <c r="D299" s="7" t="s">
        <v>23</v>
      </c>
      <c r="E299" s="7" t="s">
        <v>24</v>
      </c>
      <c r="F299" s="7" t="s">
        <v>28</v>
      </c>
      <c r="G299" s="1">
        <v>45219</v>
      </c>
      <c r="H299" s="7">
        <v>276</v>
      </c>
      <c r="I299" s="7">
        <v>453.23</v>
      </c>
      <c r="J299" s="7">
        <v>209.08</v>
      </c>
      <c r="K299" s="18">
        <f>$H299*$I299</f>
        <v>125091.48000000001</v>
      </c>
      <c r="L299" s="1">
        <f t="shared" si="4"/>
        <v>67385.400000000009</v>
      </c>
    </row>
    <row r="300" spans="1:12" x14ac:dyDescent="0.25">
      <c r="A300" s="7" t="s">
        <v>322</v>
      </c>
      <c r="B300" s="7" t="s">
        <v>48</v>
      </c>
      <c r="C300" s="7" t="s">
        <v>31</v>
      </c>
      <c r="D300" s="7" t="s">
        <v>42</v>
      </c>
      <c r="E300" s="7" t="s">
        <v>14</v>
      </c>
      <c r="F300" s="7" t="s">
        <v>15</v>
      </c>
      <c r="G300" s="1">
        <v>45220</v>
      </c>
      <c r="H300" s="7">
        <v>255.9</v>
      </c>
      <c r="I300" s="7">
        <v>387.45</v>
      </c>
      <c r="J300" s="7">
        <v>150.63999999999999</v>
      </c>
      <c r="K300" s="18">
        <f>$H300*$I300</f>
        <v>99148.455000000002</v>
      </c>
      <c r="L300" s="1">
        <f t="shared" si="4"/>
        <v>60599.679000000004</v>
      </c>
    </row>
    <row r="301" spans="1:12" x14ac:dyDescent="0.25">
      <c r="A301" s="7" t="s">
        <v>323</v>
      </c>
      <c r="B301" s="7" t="s">
        <v>48</v>
      </c>
      <c r="C301" s="7" t="s">
        <v>12</v>
      </c>
      <c r="D301" s="7" t="s">
        <v>27</v>
      </c>
      <c r="E301" s="7" t="s">
        <v>14</v>
      </c>
      <c r="F301" s="7" t="s">
        <v>20</v>
      </c>
      <c r="G301" s="1">
        <v>45221</v>
      </c>
      <c r="H301" s="7">
        <v>188</v>
      </c>
      <c r="I301" s="7">
        <v>136.12</v>
      </c>
      <c r="J301" s="7">
        <v>50.71</v>
      </c>
      <c r="K301" s="18">
        <f>$H301*$I301</f>
        <v>25590.560000000001</v>
      </c>
      <c r="L301" s="1">
        <f t="shared" si="4"/>
        <v>16057.08</v>
      </c>
    </row>
    <row r="302" spans="1:12" x14ac:dyDescent="0.25">
      <c r="A302" s="7" t="s">
        <v>324</v>
      </c>
      <c r="B302" s="7" t="s">
        <v>17</v>
      </c>
      <c r="C302" s="7" t="s">
        <v>18</v>
      </c>
      <c r="D302" s="7" t="s">
        <v>23</v>
      </c>
      <c r="E302" s="7" t="s">
        <v>14</v>
      </c>
      <c r="F302" s="7" t="s">
        <v>20</v>
      </c>
      <c r="G302" s="1">
        <v>45222</v>
      </c>
      <c r="H302" s="7">
        <v>97</v>
      </c>
      <c r="I302" s="7">
        <v>324.42</v>
      </c>
      <c r="J302" s="7">
        <v>294.73</v>
      </c>
      <c r="K302" s="18">
        <f>$H302*$I302</f>
        <v>31468.74</v>
      </c>
      <c r="L302" s="1">
        <f t="shared" si="4"/>
        <v>2879.93</v>
      </c>
    </row>
    <row r="303" spans="1:12" x14ac:dyDescent="0.25">
      <c r="A303" s="7" t="s">
        <v>325</v>
      </c>
      <c r="B303" s="7" t="s">
        <v>48</v>
      </c>
      <c r="C303" s="7" t="s">
        <v>12</v>
      </c>
      <c r="D303" s="7" t="s">
        <v>27</v>
      </c>
      <c r="E303" s="7" t="s">
        <v>24</v>
      </c>
      <c r="F303" s="7" t="s">
        <v>15</v>
      </c>
      <c r="G303" s="1">
        <v>45223</v>
      </c>
      <c r="H303" s="7">
        <v>50</v>
      </c>
      <c r="I303" s="7">
        <v>299.89999999999998</v>
      </c>
      <c r="J303" s="7">
        <v>95.87</v>
      </c>
      <c r="K303" s="18">
        <f>$H303*$I303</f>
        <v>14994.999999999998</v>
      </c>
      <c r="L303" s="1">
        <f t="shared" si="4"/>
        <v>10201.499999999998</v>
      </c>
    </row>
    <row r="304" spans="1:12" x14ac:dyDescent="0.25">
      <c r="A304" s="7" t="s">
        <v>326</v>
      </c>
      <c r="B304" s="7" t="s">
        <v>11</v>
      </c>
      <c r="C304" s="7" t="s">
        <v>12</v>
      </c>
      <c r="D304" s="7" t="s">
        <v>23</v>
      </c>
      <c r="E304" s="7" t="s">
        <v>24</v>
      </c>
      <c r="F304" s="7" t="s">
        <v>20</v>
      </c>
      <c r="G304" s="1">
        <v>45224</v>
      </c>
      <c r="H304" s="7">
        <v>410</v>
      </c>
      <c r="I304" s="7">
        <v>203.59</v>
      </c>
      <c r="J304" s="7">
        <v>149.83000000000001</v>
      </c>
      <c r="K304" s="18">
        <f>$H304*$I304</f>
        <v>83471.899999999994</v>
      </c>
      <c r="L304" s="1">
        <f t="shared" si="4"/>
        <v>22041.599999999995</v>
      </c>
    </row>
    <row r="305" spans="1:12" x14ac:dyDescent="0.25">
      <c r="A305" s="7" t="s">
        <v>327</v>
      </c>
      <c r="B305" s="7" t="s">
        <v>22</v>
      </c>
      <c r="C305" s="7" t="s">
        <v>31</v>
      </c>
      <c r="D305" s="7" t="s">
        <v>13</v>
      </c>
      <c r="E305" s="7" t="s">
        <v>24</v>
      </c>
      <c r="F305" s="7" t="s">
        <v>28</v>
      </c>
      <c r="G305" s="1">
        <v>45225</v>
      </c>
      <c r="H305" s="7">
        <v>85</v>
      </c>
      <c r="I305" s="7">
        <v>186.64</v>
      </c>
      <c r="J305" s="7">
        <v>26.89</v>
      </c>
      <c r="K305" s="18">
        <f>$H305*$I305</f>
        <v>15864.4</v>
      </c>
      <c r="L305" s="1">
        <f t="shared" si="4"/>
        <v>13578.75</v>
      </c>
    </row>
    <row r="306" spans="1:12" x14ac:dyDescent="0.25">
      <c r="A306" s="7" t="s">
        <v>328</v>
      </c>
      <c r="B306" s="7" t="s">
        <v>17</v>
      </c>
      <c r="C306" s="7" t="s">
        <v>26</v>
      </c>
      <c r="D306" s="7" t="s">
        <v>19</v>
      </c>
      <c r="E306" s="7" t="s">
        <v>14</v>
      </c>
      <c r="F306" s="7" t="s">
        <v>15</v>
      </c>
      <c r="G306" s="1">
        <v>45226</v>
      </c>
      <c r="H306" s="7">
        <v>386</v>
      </c>
      <c r="I306" s="7">
        <v>175.06</v>
      </c>
      <c r="J306" s="7">
        <v>320.94</v>
      </c>
      <c r="K306" s="18">
        <f>$H306*$I306</f>
        <v>67573.16</v>
      </c>
      <c r="L306" s="1">
        <f t="shared" si="4"/>
        <v>-56309.68</v>
      </c>
    </row>
    <row r="307" spans="1:12" x14ac:dyDescent="0.25">
      <c r="A307" s="7" t="s">
        <v>329</v>
      </c>
      <c r="B307" s="7" t="s">
        <v>22</v>
      </c>
      <c r="C307" s="7" t="s">
        <v>50</v>
      </c>
      <c r="D307" s="7" t="s">
        <v>13</v>
      </c>
      <c r="E307" s="7" t="s">
        <v>14</v>
      </c>
      <c r="F307" s="7" t="s">
        <v>20</v>
      </c>
      <c r="G307" s="1">
        <v>45227</v>
      </c>
      <c r="H307" s="7">
        <v>55</v>
      </c>
      <c r="I307" s="7">
        <v>310.49</v>
      </c>
      <c r="J307" s="7">
        <v>307.10000000000002</v>
      </c>
      <c r="K307" s="18">
        <f>$H307*$I307</f>
        <v>17076.95</v>
      </c>
      <c r="L307" s="1">
        <f t="shared" si="4"/>
        <v>186.44999999999925</v>
      </c>
    </row>
    <row r="308" spans="1:12" x14ac:dyDescent="0.25">
      <c r="A308" s="7" t="s">
        <v>330</v>
      </c>
      <c r="B308" s="7" t="s">
        <v>22</v>
      </c>
      <c r="C308" s="7" t="s">
        <v>50</v>
      </c>
      <c r="D308" s="7" t="s">
        <v>27</v>
      </c>
      <c r="E308" s="7" t="s">
        <v>24</v>
      </c>
      <c r="F308" s="7" t="s">
        <v>15</v>
      </c>
      <c r="G308" s="1">
        <v>45228</v>
      </c>
      <c r="H308" s="7">
        <v>169</v>
      </c>
      <c r="I308" s="7">
        <v>223.99</v>
      </c>
      <c r="J308" s="7">
        <v>293.98</v>
      </c>
      <c r="K308" s="18">
        <f>$H308*$I308</f>
        <v>37854.310000000005</v>
      </c>
      <c r="L308" s="1">
        <f t="shared" si="4"/>
        <v>-11828.310000000001</v>
      </c>
    </row>
    <row r="309" spans="1:12" x14ac:dyDescent="0.25">
      <c r="A309" s="7" t="s">
        <v>331</v>
      </c>
      <c r="B309" s="7" t="s">
        <v>11</v>
      </c>
      <c r="C309" s="7" t="s">
        <v>31</v>
      </c>
      <c r="D309" s="7" t="s">
        <v>19</v>
      </c>
      <c r="E309" s="7" t="s">
        <v>14</v>
      </c>
      <c r="F309" s="7" t="s">
        <v>28</v>
      </c>
      <c r="G309" s="1">
        <v>45229</v>
      </c>
      <c r="H309" s="7">
        <v>472</v>
      </c>
      <c r="I309" s="7">
        <v>416.77</v>
      </c>
      <c r="J309" s="7">
        <v>121.18</v>
      </c>
      <c r="K309" s="18">
        <f>$H309*$I309</f>
        <v>196715.44</v>
      </c>
      <c r="L309" s="1">
        <f t="shared" si="4"/>
        <v>139518.47999999998</v>
      </c>
    </row>
    <row r="310" spans="1:12" x14ac:dyDescent="0.25">
      <c r="A310" s="7" t="s">
        <v>332</v>
      </c>
      <c r="B310" s="7" t="s">
        <v>48</v>
      </c>
      <c r="C310" s="7" t="s">
        <v>12</v>
      </c>
      <c r="D310" s="7" t="s">
        <v>23</v>
      </c>
      <c r="E310" s="7" t="s">
        <v>14</v>
      </c>
      <c r="F310" s="7" t="s">
        <v>28</v>
      </c>
      <c r="G310" s="1">
        <v>45230</v>
      </c>
      <c r="H310" s="7">
        <v>89</v>
      </c>
      <c r="I310" s="7">
        <v>336.45</v>
      </c>
      <c r="J310" s="7">
        <v>71.05</v>
      </c>
      <c r="K310" s="18">
        <f>$H310*$I310</f>
        <v>29944.05</v>
      </c>
      <c r="L310" s="1">
        <f t="shared" si="4"/>
        <v>23620.6</v>
      </c>
    </row>
    <row r="311" spans="1:12" x14ac:dyDescent="0.25">
      <c r="A311" s="7" t="s">
        <v>333</v>
      </c>
      <c r="B311" s="7" t="s">
        <v>48</v>
      </c>
      <c r="C311" s="7" t="s">
        <v>18</v>
      </c>
      <c r="D311" s="7" t="s">
        <v>19</v>
      </c>
      <c r="E311" s="7" t="s">
        <v>14</v>
      </c>
      <c r="F311" s="7" t="s">
        <v>20</v>
      </c>
      <c r="G311" s="1">
        <v>45231</v>
      </c>
      <c r="H311" s="7">
        <v>319</v>
      </c>
      <c r="I311" s="7">
        <v>39.619999999999997</v>
      </c>
      <c r="J311" s="7">
        <v>255.75</v>
      </c>
      <c r="K311" s="18">
        <f>$H311*$I311</f>
        <v>12638.779999999999</v>
      </c>
      <c r="L311" s="1">
        <f t="shared" si="4"/>
        <v>-68945.47</v>
      </c>
    </row>
    <row r="312" spans="1:12" x14ac:dyDescent="0.25">
      <c r="A312" s="7" t="s">
        <v>334</v>
      </c>
      <c r="B312" s="7" t="s">
        <v>22</v>
      </c>
      <c r="C312" s="7" t="s">
        <v>12</v>
      </c>
      <c r="D312" s="7" t="s">
        <v>19</v>
      </c>
      <c r="E312" s="7" t="s">
        <v>14</v>
      </c>
      <c r="F312" s="7" t="s">
        <v>28</v>
      </c>
      <c r="G312" s="1">
        <v>45232</v>
      </c>
      <c r="H312" s="7">
        <v>95</v>
      </c>
      <c r="I312" s="7">
        <v>321.88</v>
      </c>
      <c r="J312" s="7">
        <v>199.47</v>
      </c>
      <c r="K312" s="18">
        <f>$H312*$I312</f>
        <v>30578.6</v>
      </c>
      <c r="L312" s="1">
        <f t="shared" si="4"/>
        <v>11628.949999999999</v>
      </c>
    </row>
    <row r="313" spans="1:12" x14ac:dyDescent="0.25">
      <c r="A313" s="7" t="s">
        <v>335</v>
      </c>
      <c r="B313" s="7" t="s">
        <v>17</v>
      </c>
      <c r="C313" s="7" t="s">
        <v>31</v>
      </c>
      <c r="D313" s="7" t="s">
        <v>19</v>
      </c>
      <c r="E313" s="7" t="s">
        <v>24</v>
      </c>
      <c r="F313" s="7" t="s">
        <v>15</v>
      </c>
      <c r="G313" s="1">
        <v>45233</v>
      </c>
      <c r="H313" s="7">
        <v>101</v>
      </c>
      <c r="I313" s="7">
        <v>139.22</v>
      </c>
      <c r="J313" s="7">
        <v>72.94</v>
      </c>
      <c r="K313" s="18">
        <f>$H313*$I313</f>
        <v>14061.22</v>
      </c>
      <c r="L313" s="1">
        <f t="shared" si="4"/>
        <v>6694.28</v>
      </c>
    </row>
    <row r="314" spans="1:12" x14ac:dyDescent="0.25">
      <c r="A314" s="7" t="s">
        <v>336</v>
      </c>
      <c r="B314" s="7" t="s">
        <v>48</v>
      </c>
      <c r="C314" s="7" t="s">
        <v>50</v>
      </c>
      <c r="D314" s="7" t="s">
        <v>19</v>
      </c>
      <c r="E314" s="7" t="s">
        <v>14</v>
      </c>
      <c r="F314" s="7" t="s">
        <v>28</v>
      </c>
      <c r="G314" s="1">
        <v>45234</v>
      </c>
      <c r="H314" s="7">
        <v>157</v>
      </c>
      <c r="I314" s="7">
        <v>249.64</v>
      </c>
      <c r="J314" s="7">
        <v>274.99</v>
      </c>
      <c r="K314" s="18">
        <f>$H314*$I314</f>
        <v>39193.479999999996</v>
      </c>
      <c r="L314" s="1">
        <f t="shared" si="4"/>
        <v>-3979.9500000000035</v>
      </c>
    </row>
    <row r="315" spans="1:12" x14ac:dyDescent="0.25">
      <c r="A315" s="7" t="s">
        <v>337</v>
      </c>
      <c r="B315" s="7" t="s">
        <v>17</v>
      </c>
      <c r="C315" s="7" t="s">
        <v>12</v>
      </c>
      <c r="D315" s="7" t="s">
        <v>19</v>
      </c>
      <c r="E315" s="7" t="s">
        <v>14</v>
      </c>
      <c r="F315" s="7" t="s">
        <v>15</v>
      </c>
      <c r="G315" s="1">
        <v>45235</v>
      </c>
      <c r="H315" s="7">
        <v>170</v>
      </c>
      <c r="I315" s="7">
        <v>341.67</v>
      </c>
      <c r="J315" s="7">
        <v>396.47</v>
      </c>
      <c r="K315" s="18">
        <f>$H315*$I315</f>
        <v>58083.9</v>
      </c>
      <c r="L315" s="1">
        <f t="shared" si="4"/>
        <v>-9316.0000000000018</v>
      </c>
    </row>
    <row r="316" spans="1:12" x14ac:dyDescent="0.25">
      <c r="A316" s="7" t="s">
        <v>338</v>
      </c>
      <c r="B316" s="7" t="s">
        <v>48</v>
      </c>
      <c r="C316" s="7" t="s">
        <v>50</v>
      </c>
      <c r="D316" s="7" t="s">
        <v>42</v>
      </c>
      <c r="E316" s="7" t="s">
        <v>14</v>
      </c>
      <c r="F316" s="7" t="s">
        <v>15</v>
      </c>
      <c r="G316" s="1">
        <v>45236</v>
      </c>
      <c r="H316" s="7">
        <v>211</v>
      </c>
      <c r="I316" s="7">
        <v>119.26</v>
      </c>
      <c r="J316" s="7">
        <v>299.39</v>
      </c>
      <c r="K316" s="18">
        <f>$H316*$I316</f>
        <v>25163.86</v>
      </c>
      <c r="L316" s="1">
        <f t="shared" si="4"/>
        <v>-38007.43</v>
      </c>
    </row>
    <row r="317" spans="1:12" x14ac:dyDescent="0.25">
      <c r="A317" s="7" t="s">
        <v>339</v>
      </c>
      <c r="B317" s="7" t="s">
        <v>17</v>
      </c>
      <c r="C317" s="7" t="s">
        <v>18</v>
      </c>
      <c r="D317" s="7" t="s">
        <v>27</v>
      </c>
      <c r="E317" s="7" t="s">
        <v>14</v>
      </c>
      <c r="F317" s="7" t="s">
        <v>28</v>
      </c>
      <c r="G317" s="1">
        <v>45237</v>
      </c>
      <c r="H317" s="7">
        <v>433</v>
      </c>
      <c r="I317" s="7">
        <v>231.15</v>
      </c>
      <c r="J317" s="7">
        <v>296.51</v>
      </c>
      <c r="K317" s="18">
        <f>$H317*$I317</f>
        <v>100087.95</v>
      </c>
      <c r="L317" s="1">
        <f t="shared" si="4"/>
        <v>-28300.879999999994</v>
      </c>
    </row>
    <row r="318" spans="1:12" x14ac:dyDescent="0.25">
      <c r="A318" s="7" t="s">
        <v>340</v>
      </c>
      <c r="B318" s="7" t="s">
        <v>11</v>
      </c>
      <c r="C318" s="7" t="s">
        <v>50</v>
      </c>
      <c r="D318" s="7" t="s">
        <v>13</v>
      </c>
      <c r="E318" s="7" t="s">
        <v>24</v>
      </c>
      <c r="F318" s="7" t="s">
        <v>20</v>
      </c>
      <c r="G318" s="1">
        <v>45238</v>
      </c>
      <c r="H318" s="7">
        <v>425</v>
      </c>
      <c r="I318" s="7">
        <v>99.21</v>
      </c>
      <c r="J318" s="7">
        <v>380.22</v>
      </c>
      <c r="K318" s="18">
        <f>$H318*$I318</f>
        <v>42164.25</v>
      </c>
      <c r="L318" s="1">
        <f t="shared" si="4"/>
        <v>-119429.25000000001</v>
      </c>
    </row>
    <row r="319" spans="1:12" x14ac:dyDescent="0.25">
      <c r="A319" s="7" t="s">
        <v>341</v>
      </c>
      <c r="B319" s="7" t="s">
        <v>17</v>
      </c>
      <c r="C319" s="7" t="s">
        <v>50</v>
      </c>
      <c r="D319" s="7" t="s">
        <v>23</v>
      </c>
      <c r="E319" s="7" t="s">
        <v>24</v>
      </c>
      <c r="F319" s="7" t="s">
        <v>28</v>
      </c>
      <c r="G319" s="1">
        <v>45239</v>
      </c>
      <c r="H319" s="7">
        <v>251</v>
      </c>
      <c r="I319" s="7">
        <v>30.91</v>
      </c>
      <c r="J319" s="7">
        <v>82.77</v>
      </c>
      <c r="K319" s="18">
        <f>$H319*$I319</f>
        <v>7758.41</v>
      </c>
      <c r="L319" s="1">
        <f t="shared" si="4"/>
        <v>-13016.86</v>
      </c>
    </row>
    <row r="320" spans="1:12" x14ac:dyDescent="0.25">
      <c r="A320" s="7" t="s">
        <v>342</v>
      </c>
      <c r="B320" s="7" t="s">
        <v>11</v>
      </c>
      <c r="C320" s="7" t="s">
        <v>26</v>
      </c>
      <c r="D320" s="7" t="s">
        <v>19</v>
      </c>
      <c r="E320" s="7" t="s">
        <v>14</v>
      </c>
      <c r="F320" s="7" t="s">
        <v>15</v>
      </c>
      <c r="G320" s="1">
        <v>45240</v>
      </c>
      <c r="H320" s="7">
        <v>255.9</v>
      </c>
      <c r="I320" s="7">
        <v>192.35</v>
      </c>
      <c r="J320" s="7">
        <v>227.09</v>
      </c>
      <c r="K320" s="18">
        <f>$H320*$I320</f>
        <v>49222.364999999998</v>
      </c>
      <c r="L320" s="1">
        <f t="shared" si="4"/>
        <v>-8889.9660000000022</v>
      </c>
    </row>
    <row r="321" spans="1:12" x14ac:dyDescent="0.25">
      <c r="A321" s="7" t="s">
        <v>343</v>
      </c>
      <c r="B321" s="7" t="s">
        <v>11</v>
      </c>
      <c r="C321" s="7" t="s">
        <v>26</v>
      </c>
      <c r="D321" s="7" t="s">
        <v>13</v>
      </c>
      <c r="E321" s="7" t="s">
        <v>14</v>
      </c>
      <c r="F321" s="7" t="s">
        <v>15</v>
      </c>
      <c r="G321" s="1">
        <v>45241</v>
      </c>
      <c r="H321" s="7">
        <v>11</v>
      </c>
      <c r="I321" s="7">
        <v>184.66</v>
      </c>
      <c r="J321" s="7">
        <v>391.9</v>
      </c>
      <c r="K321" s="18">
        <f>$H321*$I321</f>
        <v>2031.26</v>
      </c>
      <c r="L321" s="1">
        <f t="shared" si="4"/>
        <v>-2279.64</v>
      </c>
    </row>
    <row r="322" spans="1:12" x14ac:dyDescent="0.25">
      <c r="A322" s="7" t="s">
        <v>344</v>
      </c>
      <c r="B322" s="7" t="s">
        <v>17</v>
      </c>
      <c r="C322" s="7" t="s">
        <v>26</v>
      </c>
      <c r="D322" s="7" t="s">
        <v>23</v>
      </c>
      <c r="E322" s="7" t="s">
        <v>14</v>
      </c>
      <c r="F322" s="7" t="s">
        <v>28</v>
      </c>
      <c r="G322" s="1">
        <v>45242</v>
      </c>
      <c r="H322" s="7">
        <v>234</v>
      </c>
      <c r="I322" s="7">
        <v>497.76</v>
      </c>
      <c r="J322" s="7">
        <v>67.790000000000006</v>
      </c>
      <c r="K322" s="18">
        <f>$H322*$I322</f>
        <v>116475.84</v>
      </c>
      <c r="L322" s="1">
        <f t="shared" si="4"/>
        <v>100612.98</v>
      </c>
    </row>
    <row r="323" spans="1:12" x14ac:dyDescent="0.25">
      <c r="A323" s="7" t="s">
        <v>345</v>
      </c>
      <c r="B323" s="7" t="s">
        <v>11</v>
      </c>
      <c r="C323" s="7" t="s">
        <v>50</v>
      </c>
      <c r="D323" s="7" t="s">
        <v>23</v>
      </c>
      <c r="E323" s="7" t="s">
        <v>14</v>
      </c>
      <c r="F323" s="7" t="s">
        <v>20</v>
      </c>
      <c r="G323" s="1">
        <v>45243</v>
      </c>
      <c r="H323" s="7">
        <v>255.9</v>
      </c>
      <c r="I323" s="7">
        <v>225.94</v>
      </c>
      <c r="J323" s="7">
        <v>280.7</v>
      </c>
      <c r="K323" s="18">
        <f>$H323*$I323</f>
        <v>57818.046000000002</v>
      </c>
      <c r="L323" s="1">
        <f t="shared" si="4"/>
        <v>-14013.083999999997</v>
      </c>
    </row>
    <row r="324" spans="1:12" x14ac:dyDescent="0.25">
      <c r="A324" s="7" t="s">
        <v>346</v>
      </c>
      <c r="B324" s="7" t="s">
        <v>22</v>
      </c>
      <c r="C324" s="7" t="s">
        <v>31</v>
      </c>
      <c r="D324" s="7" t="s">
        <v>42</v>
      </c>
      <c r="E324" s="7" t="s">
        <v>14</v>
      </c>
      <c r="F324" s="7" t="s">
        <v>20</v>
      </c>
      <c r="G324" s="1">
        <v>45244</v>
      </c>
      <c r="H324" s="7">
        <v>242</v>
      </c>
      <c r="I324" s="7">
        <v>170.12</v>
      </c>
      <c r="J324" s="7">
        <v>235.15</v>
      </c>
      <c r="K324" s="18">
        <f>$H324*$I324</f>
        <v>41169.040000000001</v>
      </c>
      <c r="L324" s="1">
        <f t="shared" si="4"/>
        <v>-15737.26</v>
      </c>
    </row>
    <row r="325" spans="1:12" x14ac:dyDescent="0.25">
      <c r="A325" s="7" t="s">
        <v>347</v>
      </c>
      <c r="B325" s="7" t="s">
        <v>11</v>
      </c>
      <c r="C325" s="7" t="s">
        <v>50</v>
      </c>
      <c r="D325" s="7" t="s">
        <v>27</v>
      </c>
      <c r="E325" s="7" t="s">
        <v>14</v>
      </c>
      <c r="F325" s="7" t="s">
        <v>15</v>
      </c>
      <c r="G325" s="1">
        <v>45245</v>
      </c>
      <c r="H325" s="7">
        <v>470</v>
      </c>
      <c r="I325" s="7">
        <v>292.33999999999997</v>
      </c>
      <c r="J325" s="7">
        <v>235.42</v>
      </c>
      <c r="K325" s="18">
        <f>$H325*$I325</f>
        <v>137399.79999999999</v>
      </c>
      <c r="L325" s="1">
        <f t="shared" si="4"/>
        <v>26752.399999999994</v>
      </c>
    </row>
    <row r="326" spans="1:12" x14ac:dyDescent="0.25">
      <c r="A326" s="7" t="s">
        <v>348</v>
      </c>
      <c r="B326" s="7" t="s">
        <v>48</v>
      </c>
      <c r="C326" s="7" t="s">
        <v>31</v>
      </c>
      <c r="D326" s="7" t="s">
        <v>27</v>
      </c>
      <c r="E326" s="7" t="s">
        <v>24</v>
      </c>
      <c r="F326" s="7" t="s">
        <v>15</v>
      </c>
      <c r="G326" s="1">
        <v>45246</v>
      </c>
      <c r="H326" s="7">
        <v>423</v>
      </c>
      <c r="I326" s="7">
        <v>48.94</v>
      </c>
      <c r="J326" s="7">
        <v>279.67</v>
      </c>
      <c r="K326" s="18">
        <f>$H326*$I326</f>
        <v>20701.62</v>
      </c>
      <c r="L326" s="1">
        <f t="shared" si="4"/>
        <v>-97598.790000000008</v>
      </c>
    </row>
    <row r="327" spans="1:12" x14ac:dyDescent="0.25">
      <c r="A327" s="7" t="s">
        <v>349</v>
      </c>
      <c r="B327" s="7" t="s">
        <v>17</v>
      </c>
      <c r="C327" s="7" t="s">
        <v>31</v>
      </c>
      <c r="D327" s="7" t="s">
        <v>13</v>
      </c>
      <c r="E327" s="7" t="s">
        <v>14</v>
      </c>
      <c r="F327" s="7" t="s">
        <v>20</v>
      </c>
      <c r="G327" s="1">
        <v>45247</v>
      </c>
      <c r="H327" s="7">
        <v>426</v>
      </c>
      <c r="I327" s="7">
        <v>481.02</v>
      </c>
      <c r="J327" s="7">
        <v>371.99</v>
      </c>
      <c r="K327" s="18">
        <f>$H327*$I327</f>
        <v>204914.52</v>
      </c>
      <c r="L327" s="1">
        <f t="shared" si="4"/>
        <v>46446.779999999992</v>
      </c>
    </row>
    <row r="328" spans="1:12" x14ac:dyDescent="0.25">
      <c r="A328" s="7" t="s">
        <v>350</v>
      </c>
      <c r="B328" s="7" t="s">
        <v>22</v>
      </c>
      <c r="C328" s="7" t="s">
        <v>26</v>
      </c>
      <c r="D328" s="7" t="s">
        <v>27</v>
      </c>
      <c r="E328" s="7" t="s">
        <v>24</v>
      </c>
      <c r="F328" s="7" t="s">
        <v>28</v>
      </c>
      <c r="G328" s="1">
        <v>45248</v>
      </c>
      <c r="H328" s="7">
        <v>86</v>
      </c>
      <c r="I328" s="7">
        <v>319.31</v>
      </c>
      <c r="J328" s="7">
        <v>313.47000000000003</v>
      </c>
      <c r="K328" s="18">
        <f>$H328*$I328</f>
        <v>27460.66</v>
      </c>
      <c r="L328" s="1">
        <f t="shared" ref="L328:L356" si="5">($I328-$J328)*$H328</f>
        <v>502.23999999999785</v>
      </c>
    </row>
    <row r="329" spans="1:12" x14ac:dyDescent="0.25">
      <c r="A329" s="7" t="s">
        <v>351</v>
      </c>
      <c r="B329" s="7" t="s">
        <v>17</v>
      </c>
      <c r="C329" s="7" t="s">
        <v>12</v>
      </c>
      <c r="D329" s="7" t="s">
        <v>19</v>
      </c>
      <c r="E329" s="7" t="s">
        <v>24</v>
      </c>
      <c r="F329" s="7" t="s">
        <v>15</v>
      </c>
      <c r="G329" s="1">
        <v>45249</v>
      </c>
      <c r="H329" s="7">
        <v>125</v>
      </c>
      <c r="I329" s="7">
        <v>378.64</v>
      </c>
      <c r="J329" s="7">
        <v>24.34</v>
      </c>
      <c r="K329" s="18">
        <f>$H329*$I329</f>
        <v>47330</v>
      </c>
      <c r="L329" s="1">
        <f t="shared" si="5"/>
        <v>44287.5</v>
      </c>
    </row>
    <row r="330" spans="1:12" x14ac:dyDescent="0.25">
      <c r="A330" s="7" t="s">
        <v>352</v>
      </c>
      <c r="B330" s="7" t="s">
        <v>48</v>
      </c>
      <c r="C330" s="7" t="s">
        <v>18</v>
      </c>
      <c r="D330" s="7" t="s">
        <v>19</v>
      </c>
      <c r="E330" s="7" t="s">
        <v>14</v>
      </c>
      <c r="F330" s="7" t="s">
        <v>15</v>
      </c>
      <c r="G330" s="1">
        <v>45250</v>
      </c>
      <c r="H330" s="7">
        <v>163</v>
      </c>
      <c r="I330" s="7">
        <v>89.39</v>
      </c>
      <c r="J330" s="7">
        <v>341.39</v>
      </c>
      <c r="K330" s="18">
        <f>$H330*$I330</f>
        <v>14570.57</v>
      </c>
      <c r="L330" s="1">
        <f t="shared" si="5"/>
        <v>-41076</v>
      </c>
    </row>
    <row r="331" spans="1:12" x14ac:dyDescent="0.25">
      <c r="A331" s="7" t="s">
        <v>353</v>
      </c>
      <c r="B331" s="7" t="s">
        <v>48</v>
      </c>
      <c r="C331" s="7" t="s">
        <v>26</v>
      </c>
      <c r="D331" s="7" t="s">
        <v>13</v>
      </c>
      <c r="E331" s="7" t="s">
        <v>24</v>
      </c>
      <c r="F331" s="7" t="s">
        <v>20</v>
      </c>
      <c r="G331" s="1">
        <v>45251</v>
      </c>
      <c r="H331" s="7">
        <v>415</v>
      </c>
      <c r="I331" s="7">
        <v>207.69</v>
      </c>
      <c r="J331" s="7">
        <v>91.77</v>
      </c>
      <c r="K331" s="18">
        <f>$H331*$I331</f>
        <v>86191.35</v>
      </c>
      <c r="L331" s="1">
        <f t="shared" si="5"/>
        <v>48106.8</v>
      </c>
    </row>
    <row r="332" spans="1:12" x14ac:dyDescent="0.25">
      <c r="A332" s="7" t="s">
        <v>354</v>
      </c>
      <c r="B332" s="7" t="s">
        <v>48</v>
      </c>
      <c r="C332" s="7" t="s">
        <v>26</v>
      </c>
      <c r="D332" s="7" t="s">
        <v>27</v>
      </c>
      <c r="E332" s="7" t="s">
        <v>24</v>
      </c>
      <c r="F332" s="7" t="s">
        <v>28</v>
      </c>
      <c r="G332" s="1">
        <v>45252</v>
      </c>
      <c r="H332" s="7">
        <v>112</v>
      </c>
      <c r="I332" s="7">
        <v>214.23</v>
      </c>
      <c r="J332" s="7">
        <v>152.01</v>
      </c>
      <c r="K332" s="18">
        <f>$H332*$I332</f>
        <v>23993.759999999998</v>
      </c>
      <c r="L332" s="1">
        <f t="shared" si="5"/>
        <v>6968.6399999999994</v>
      </c>
    </row>
    <row r="333" spans="1:12" x14ac:dyDescent="0.25">
      <c r="A333" s="7" t="s">
        <v>355</v>
      </c>
      <c r="B333" s="7" t="s">
        <v>11</v>
      </c>
      <c r="C333" s="7" t="s">
        <v>12</v>
      </c>
      <c r="D333" s="7" t="s">
        <v>19</v>
      </c>
      <c r="E333" s="7" t="s">
        <v>24</v>
      </c>
      <c r="F333" s="7" t="s">
        <v>20</v>
      </c>
      <c r="G333" s="1">
        <v>45253</v>
      </c>
      <c r="H333" s="7">
        <v>203</v>
      </c>
      <c r="I333" s="7">
        <v>411.79</v>
      </c>
      <c r="J333" s="7">
        <v>185.77</v>
      </c>
      <c r="K333" s="18">
        <f>$H333*$I333</f>
        <v>83593.37000000001</v>
      </c>
      <c r="L333" s="1">
        <f t="shared" si="5"/>
        <v>45882.060000000005</v>
      </c>
    </row>
    <row r="334" spans="1:12" x14ac:dyDescent="0.25">
      <c r="A334" s="7" t="s">
        <v>356</v>
      </c>
      <c r="B334" s="7" t="s">
        <v>11</v>
      </c>
      <c r="C334" s="7" t="s">
        <v>18</v>
      </c>
      <c r="D334" s="7" t="s">
        <v>42</v>
      </c>
      <c r="E334" s="7" t="s">
        <v>24</v>
      </c>
      <c r="F334" s="7" t="s">
        <v>28</v>
      </c>
      <c r="G334" s="1">
        <v>45254</v>
      </c>
      <c r="H334" s="7">
        <v>255.9</v>
      </c>
      <c r="I334" s="7">
        <v>5.61</v>
      </c>
      <c r="J334" s="7">
        <v>193.4</v>
      </c>
      <c r="K334" s="18">
        <f>$H334*$I334</f>
        <v>1435.5990000000002</v>
      </c>
      <c r="L334" s="1">
        <f t="shared" si="5"/>
        <v>-48055.460999999996</v>
      </c>
    </row>
    <row r="335" spans="1:12" x14ac:dyDescent="0.25">
      <c r="A335" s="7" t="s">
        <v>357</v>
      </c>
      <c r="B335" s="7" t="s">
        <v>17</v>
      </c>
      <c r="C335" s="7" t="s">
        <v>50</v>
      </c>
      <c r="D335" s="7" t="s">
        <v>13</v>
      </c>
      <c r="E335" s="7" t="s">
        <v>24</v>
      </c>
      <c r="F335" s="7" t="s">
        <v>28</v>
      </c>
      <c r="G335" s="1">
        <v>45255</v>
      </c>
      <c r="H335" s="7">
        <v>368</v>
      </c>
      <c r="I335" s="7">
        <v>153.91999999999999</v>
      </c>
      <c r="J335" s="7">
        <v>175.2</v>
      </c>
      <c r="K335" s="18">
        <f>$H335*$I335</f>
        <v>56642.559999999998</v>
      </c>
      <c r="L335" s="1">
        <f t="shared" si="5"/>
        <v>-7831.0400000000009</v>
      </c>
    </row>
    <row r="336" spans="1:12" x14ac:dyDescent="0.25">
      <c r="A336" s="7" t="s">
        <v>358</v>
      </c>
      <c r="B336" s="7" t="s">
        <v>17</v>
      </c>
      <c r="C336" s="7" t="s">
        <v>50</v>
      </c>
      <c r="D336" s="7" t="s">
        <v>42</v>
      </c>
      <c r="E336" s="7" t="s">
        <v>24</v>
      </c>
      <c r="F336" s="7" t="s">
        <v>28</v>
      </c>
      <c r="G336" s="1">
        <v>45256</v>
      </c>
      <c r="H336" s="7">
        <v>99</v>
      </c>
      <c r="I336" s="7">
        <v>490.71</v>
      </c>
      <c r="J336" s="7">
        <v>375.07</v>
      </c>
      <c r="K336" s="18">
        <f>$H336*$I336</f>
        <v>48580.29</v>
      </c>
      <c r="L336" s="1">
        <f t="shared" si="5"/>
        <v>11448.359999999999</v>
      </c>
    </row>
    <row r="337" spans="1:12" x14ac:dyDescent="0.25">
      <c r="A337" s="7" t="s">
        <v>359</v>
      </c>
      <c r="B337" s="7" t="s">
        <v>22</v>
      </c>
      <c r="C337" s="7" t="s">
        <v>26</v>
      </c>
      <c r="D337" s="7" t="s">
        <v>42</v>
      </c>
      <c r="E337" s="7" t="s">
        <v>14</v>
      </c>
      <c r="F337" s="7" t="s">
        <v>15</v>
      </c>
      <c r="G337" s="1">
        <v>45257</v>
      </c>
      <c r="H337" s="7">
        <v>183</v>
      </c>
      <c r="I337" s="7">
        <v>240.07</v>
      </c>
      <c r="J337" s="7">
        <v>283</v>
      </c>
      <c r="K337" s="18">
        <f>$H337*$I337</f>
        <v>43932.81</v>
      </c>
      <c r="L337" s="1">
        <f t="shared" si="5"/>
        <v>-7856.1900000000014</v>
      </c>
    </row>
    <row r="338" spans="1:12" x14ac:dyDescent="0.25">
      <c r="A338" s="7" t="s">
        <v>360</v>
      </c>
      <c r="B338" s="7" t="s">
        <v>22</v>
      </c>
      <c r="C338" s="7" t="s">
        <v>18</v>
      </c>
      <c r="D338" s="7" t="s">
        <v>42</v>
      </c>
      <c r="E338" s="7" t="s">
        <v>24</v>
      </c>
      <c r="F338" s="7" t="s">
        <v>20</v>
      </c>
      <c r="G338" s="1">
        <v>45258</v>
      </c>
      <c r="H338" s="7">
        <v>131</v>
      </c>
      <c r="I338" s="7">
        <v>194.35</v>
      </c>
      <c r="J338" s="7">
        <v>253.21</v>
      </c>
      <c r="K338" s="18">
        <f>$H338*$I338</f>
        <v>25459.85</v>
      </c>
      <c r="L338" s="1">
        <f t="shared" si="5"/>
        <v>-7710.6600000000017</v>
      </c>
    </row>
    <row r="339" spans="1:12" x14ac:dyDescent="0.25">
      <c r="A339" s="7" t="s">
        <v>361</v>
      </c>
      <c r="B339" s="7" t="s">
        <v>17</v>
      </c>
      <c r="C339" s="7" t="s">
        <v>26</v>
      </c>
      <c r="D339" s="7" t="s">
        <v>23</v>
      </c>
      <c r="E339" s="7" t="s">
        <v>24</v>
      </c>
      <c r="F339" s="7" t="s">
        <v>20</v>
      </c>
      <c r="G339" s="1">
        <v>45259</v>
      </c>
      <c r="H339" s="7">
        <v>152</v>
      </c>
      <c r="I339" s="7">
        <v>64.319999999999993</v>
      </c>
      <c r="J339" s="7">
        <v>21.84</v>
      </c>
      <c r="K339" s="18">
        <f>$H339*$I339</f>
        <v>9776.64</v>
      </c>
      <c r="L339" s="1">
        <f t="shared" si="5"/>
        <v>6456.9599999999982</v>
      </c>
    </row>
    <row r="340" spans="1:12" x14ac:dyDescent="0.25">
      <c r="A340" s="7" t="s">
        <v>362</v>
      </c>
      <c r="B340" s="7" t="s">
        <v>11</v>
      </c>
      <c r="C340" s="7" t="s">
        <v>31</v>
      </c>
      <c r="D340" s="7" t="s">
        <v>23</v>
      </c>
      <c r="E340" s="7" t="s">
        <v>24</v>
      </c>
      <c r="F340" s="7" t="s">
        <v>28</v>
      </c>
      <c r="G340" s="1">
        <v>45260</v>
      </c>
      <c r="H340" s="7">
        <v>491</v>
      </c>
      <c r="I340" s="7">
        <v>487.21</v>
      </c>
      <c r="J340" s="7">
        <v>361.76</v>
      </c>
      <c r="K340" s="18">
        <f>$H340*$I340</f>
        <v>239220.11</v>
      </c>
      <c r="L340" s="1">
        <f t="shared" si="5"/>
        <v>61595.95</v>
      </c>
    </row>
    <row r="341" spans="1:12" x14ac:dyDescent="0.25">
      <c r="A341" s="7" t="s">
        <v>363</v>
      </c>
      <c r="B341" s="7" t="s">
        <v>48</v>
      </c>
      <c r="C341" s="7" t="s">
        <v>26</v>
      </c>
      <c r="D341" s="7" t="s">
        <v>42</v>
      </c>
      <c r="E341" s="7" t="s">
        <v>14</v>
      </c>
      <c r="F341" s="7" t="s">
        <v>15</v>
      </c>
      <c r="G341" s="1">
        <v>45261</v>
      </c>
      <c r="H341" s="7">
        <v>115</v>
      </c>
      <c r="I341" s="7">
        <v>14.91</v>
      </c>
      <c r="J341" s="7">
        <v>363.94</v>
      </c>
      <c r="K341" s="18">
        <f>$H341*$I341</f>
        <v>1714.65</v>
      </c>
      <c r="L341" s="1">
        <f t="shared" si="5"/>
        <v>-40138.449999999997</v>
      </c>
    </row>
    <row r="342" spans="1:12" x14ac:dyDescent="0.25">
      <c r="A342" s="7" t="s">
        <v>364</v>
      </c>
      <c r="B342" s="7" t="s">
        <v>17</v>
      </c>
      <c r="C342" s="7" t="s">
        <v>26</v>
      </c>
      <c r="D342" s="7" t="s">
        <v>13</v>
      </c>
      <c r="E342" s="7" t="s">
        <v>24</v>
      </c>
      <c r="F342" s="7" t="s">
        <v>15</v>
      </c>
      <c r="G342" s="1">
        <v>45262</v>
      </c>
      <c r="H342" s="7">
        <v>384</v>
      </c>
      <c r="I342" s="7">
        <v>369.9</v>
      </c>
      <c r="J342" s="7">
        <v>312.52</v>
      </c>
      <c r="K342" s="18">
        <f>$H342*$I342</f>
        <v>142041.59999999998</v>
      </c>
      <c r="L342" s="1">
        <f t="shared" si="5"/>
        <v>22033.919999999998</v>
      </c>
    </row>
    <row r="343" spans="1:12" x14ac:dyDescent="0.25">
      <c r="A343" s="7" t="s">
        <v>365</v>
      </c>
      <c r="B343" s="7" t="s">
        <v>22</v>
      </c>
      <c r="C343" s="7" t="s">
        <v>50</v>
      </c>
      <c r="D343" s="7" t="s">
        <v>19</v>
      </c>
      <c r="E343" s="7" t="s">
        <v>14</v>
      </c>
      <c r="F343" s="7" t="s">
        <v>20</v>
      </c>
      <c r="G343" s="1">
        <v>45263</v>
      </c>
      <c r="H343" s="7">
        <v>437</v>
      </c>
      <c r="I343" s="7">
        <v>385.46</v>
      </c>
      <c r="J343" s="7">
        <v>4.8</v>
      </c>
      <c r="K343" s="18">
        <f>$H343*$I343</f>
        <v>168446.02</v>
      </c>
      <c r="L343" s="1">
        <f t="shared" si="5"/>
        <v>166348.41999999998</v>
      </c>
    </row>
    <row r="344" spans="1:12" x14ac:dyDescent="0.25">
      <c r="A344" s="7" t="s">
        <v>366</v>
      </c>
      <c r="B344" s="7" t="s">
        <v>11</v>
      </c>
      <c r="C344" s="7" t="s">
        <v>50</v>
      </c>
      <c r="D344" s="7" t="s">
        <v>19</v>
      </c>
      <c r="E344" s="7" t="s">
        <v>24</v>
      </c>
      <c r="F344" s="7" t="s">
        <v>15</v>
      </c>
      <c r="G344" s="1">
        <v>45264</v>
      </c>
      <c r="H344" s="7">
        <v>314</v>
      </c>
      <c r="I344" s="7">
        <v>125.61</v>
      </c>
      <c r="J344" s="7">
        <v>24.8</v>
      </c>
      <c r="K344" s="18">
        <f>$H344*$I344</f>
        <v>39441.54</v>
      </c>
      <c r="L344" s="1">
        <f t="shared" si="5"/>
        <v>31654.34</v>
      </c>
    </row>
    <row r="345" spans="1:12" x14ac:dyDescent="0.25">
      <c r="A345" s="7" t="s">
        <v>367</v>
      </c>
      <c r="B345" s="7" t="s">
        <v>17</v>
      </c>
      <c r="C345" s="7" t="s">
        <v>50</v>
      </c>
      <c r="D345" s="7" t="s">
        <v>27</v>
      </c>
      <c r="E345" s="7" t="s">
        <v>14</v>
      </c>
      <c r="F345" s="7" t="s">
        <v>15</v>
      </c>
      <c r="G345" s="1">
        <v>45265</v>
      </c>
      <c r="H345" s="7">
        <v>369</v>
      </c>
      <c r="I345" s="7">
        <v>337.42</v>
      </c>
      <c r="J345" s="7">
        <v>91.64</v>
      </c>
      <c r="K345" s="18">
        <f>$H345*$I345</f>
        <v>124507.98000000001</v>
      </c>
      <c r="L345" s="1">
        <f t="shared" si="5"/>
        <v>90692.82</v>
      </c>
    </row>
    <row r="346" spans="1:12" x14ac:dyDescent="0.25">
      <c r="A346" s="7" t="s">
        <v>368</v>
      </c>
      <c r="B346" s="7" t="s">
        <v>17</v>
      </c>
      <c r="C346" s="7" t="s">
        <v>31</v>
      </c>
      <c r="D346" s="7" t="s">
        <v>13</v>
      </c>
      <c r="E346" s="7" t="s">
        <v>14</v>
      </c>
      <c r="F346" s="7" t="s">
        <v>28</v>
      </c>
      <c r="G346" s="1">
        <v>45266</v>
      </c>
      <c r="H346" s="7">
        <v>468</v>
      </c>
      <c r="I346" s="7">
        <v>51</v>
      </c>
      <c r="J346" s="7">
        <v>54.28</v>
      </c>
      <c r="K346" s="18">
        <f>$H346*$I346</f>
        <v>23868</v>
      </c>
      <c r="L346" s="1">
        <f t="shared" si="5"/>
        <v>-1535.0400000000004</v>
      </c>
    </row>
    <row r="347" spans="1:12" x14ac:dyDescent="0.25">
      <c r="A347" s="7" t="s">
        <v>369</v>
      </c>
      <c r="B347" s="7" t="s">
        <v>11</v>
      </c>
      <c r="C347" s="7" t="s">
        <v>50</v>
      </c>
      <c r="D347" s="7" t="s">
        <v>23</v>
      </c>
      <c r="E347" s="7" t="s">
        <v>24</v>
      </c>
      <c r="F347" s="7" t="s">
        <v>15</v>
      </c>
      <c r="G347" s="1">
        <v>45267</v>
      </c>
      <c r="H347" s="7">
        <v>326</v>
      </c>
      <c r="I347" s="7">
        <v>132.24</v>
      </c>
      <c r="J347" s="7">
        <v>160.74</v>
      </c>
      <c r="K347" s="18">
        <f>$H347*$I347</f>
        <v>43110.240000000005</v>
      </c>
      <c r="L347" s="1">
        <f t="shared" si="5"/>
        <v>-9291</v>
      </c>
    </row>
    <row r="348" spans="1:12" x14ac:dyDescent="0.25">
      <c r="A348" s="7" t="s">
        <v>370</v>
      </c>
      <c r="B348" s="7" t="s">
        <v>17</v>
      </c>
      <c r="C348" s="7" t="s">
        <v>18</v>
      </c>
      <c r="D348" s="7" t="s">
        <v>42</v>
      </c>
      <c r="E348" s="7" t="s">
        <v>24</v>
      </c>
      <c r="F348" s="7" t="s">
        <v>28</v>
      </c>
      <c r="G348" s="1">
        <v>45268</v>
      </c>
      <c r="H348" s="7">
        <v>460</v>
      </c>
      <c r="I348" s="7">
        <v>395.01</v>
      </c>
      <c r="J348" s="7">
        <v>369.2</v>
      </c>
      <c r="K348" s="18">
        <f>$H348*$I348</f>
        <v>181704.6</v>
      </c>
      <c r="L348" s="1">
        <f t="shared" si="5"/>
        <v>11872.6</v>
      </c>
    </row>
    <row r="349" spans="1:12" x14ac:dyDescent="0.25">
      <c r="A349" s="7" t="s">
        <v>371</v>
      </c>
      <c r="B349" s="7" t="s">
        <v>11</v>
      </c>
      <c r="C349" s="7" t="s">
        <v>12</v>
      </c>
      <c r="D349" s="7" t="s">
        <v>27</v>
      </c>
      <c r="E349" s="7" t="s">
        <v>14</v>
      </c>
      <c r="F349" s="7" t="s">
        <v>20</v>
      </c>
      <c r="G349" s="1">
        <v>45269</v>
      </c>
      <c r="H349" s="7">
        <v>132</v>
      </c>
      <c r="I349" s="7">
        <v>433.02</v>
      </c>
      <c r="J349" s="7">
        <v>189.88</v>
      </c>
      <c r="K349" s="18">
        <f>$H349*$I349</f>
        <v>57158.64</v>
      </c>
      <c r="L349" s="1">
        <f t="shared" si="5"/>
        <v>32094.48</v>
      </c>
    </row>
    <row r="350" spans="1:12" x14ac:dyDescent="0.25">
      <c r="A350" s="7" t="s">
        <v>372</v>
      </c>
      <c r="B350" s="7" t="s">
        <v>48</v>
      </c>
      <c r="C350" s="7" t="s">
        <v>18</v>
      </c>
      <c r="D350" s="7" t="s">
        <v>19</v>
      </c>
      <c r="E350" s="7" t="s">
        <v>24</v>
      </c>
      <c r="F350" s="7" t="s">
        <v>15</v>
      </c>
      <c r="G350" s="1">
        <v>45270</v>
      </c>
      <c r="H350" s="7">
        <v>399</v>
      </c>
      <c r="I350" s="7">
        <v>306.2</v>
      </c>
      <c r="J350" s="7">
        <v>7.33</v>
      </c>
      <c r="K350" s="18">
        <f>$H350*$I350</f>
        <v>122173.79999999999</v>
      </c>
      <c r="L350" s="1">
        <f t="shared" si="5"/>
        <v>119249.13</v>
      </c>
    </row>
    <row r="351" spans="1:12" x14ac:dyDescent="0.25">
      <c r="A351" s="7" t="s">
        <v>373</v>
      </c>
      <c r="B351" s="7" t="s">
        <v>11</v>
      </c>
      <c r="C351" s="7" t="s">
        <v>18</v>
      </c>
      <c r="D351" s="7" t="s">
        <v>23</v>
      </c>
      <c r="E351" s="7" t="s">
        <v>14</v>
      </c>
      <c r="F351" s="7" t="s">
        <v>20</v>
      </c>
      <c r="G351" s="1">
        <v>45271</v>
      </c>
      <c r="H351" s="7">
        <v>18</v>
      </c>
      <c r="I351" s="7">
        <v>255.89</v>
      </c>
      <c r="J351" s="7">
        <v>114.53</v>
      </c>
      <c r="K351" s="18">
        <f>$H351*$I351</f>
        <v>4606.0199999999995</v>
      </c>
      <c r="L351" s="1">
        <f t="shared" si="5"/>
        <v>2544.4799999999996</v>
      </c>
    </row>
    <row r="352" spans="1:12" x14ac:dyDescent="0.25">
      <c r="A352" s="7" t="s">
        <v>374</v>
      </c>
      <c r="B352" s="7" t="s">
        <v>11</v>
      </c>
      <c r="C352" s="7" t="s">
        <v>50</v>
      </c>
      <c r="D352" s="7" t="s">
        <v>23</v>
      </c>
      <c r="E352" s="7" t="s">
        <v>14</v>
      </c>
      <c r="F352" s="7" t="s">
        <v>20</v>
      </c>
      <c r="G352" s="1">
        <v>45272</v>
      </c>
      <c r="H352" s="7">
        <v>271</v>
      </c>
      <c r="I352" s="7">
        <v>83.86</v>
      </c>
      <c r="J352" s="7">
        <v>19.75</v>
      </c>
      <c r="K352" s="18">
        <f>$H352*$I352</f>
        <v>22726.06</v>
      </c>
      <c r="L352" s="1">
        <f t="shared" si="5"/>
        <v>17373.810000000001</v>
      </c>
    </row>
    <row r="353" spans="1:12" x14ac:dyDescent="0.25">
      <c r="A353" s="7" t="s">
        <v>375</v>
      </c>
      <c r="B353" s="7" t="s">
        <v>11</v>
      </c>
      <c r="C353" s="7" t="s">
        <v>12</v>
      </c>
      <c r="D353" s="7" t="s">
        <v>42</v>
      </c>
      <c r="E353" s="7" t="s">
        <v>14</v>
      </c>
      <c r="F353" s="7" t="s">
        <v>15</v>
      </c>
      <c r="G353" s="1">
        <v>45273</v>
      </c>
      <c r="H353" s="7">
        <v>82</v>
      </c>
      <c r="I353" s="7">
        <v>36.24</v>
      </c>
      <c r="J353" s="7">
        <v>16.440000000000001</v>
      </c>
      <c r="K353" s="18">
        <f>$H353*$I353</f>
        <v>2971.6800000000003</v>
      </c>
      <c r="L353" s="1">
        <f t="shared" si="5"/>
        <v>1623.6000000000001</v>
      </c>
    </row>
    <row r="354" spans="1:12" x14ac:dyDescent="0.25">
      <c r="A354" s="7" t="s">
        <v>376</v>
      </c>
      <c r="B354" s="7" t="s">
        <v>17</v>
      </c>
      <c r="C354" s="7" t="s">
        <v>12</v>
      </c>
      <c r="D354" s="7" t="s">
        <v>19</v>
      </c>
      <c r="E354" s="7" t="s">
        <v>14</v>
      </c>
      <c r="F354" s="7" t="s">
        <v>15</v>
      </c>
      <c r="G354" s="1">
        <v>45274</v>
      </c>
      <c r="H354" s="7">
        <v>368</v>
      </c>
      <c r="I354" s="7">
        <v>63.24</v>
      </c>
      <c r="J354" s="7">
        <v>111.74</v>
      </c>
      <c r="K354" s="18">
        <f>$H354*$I354</f>
        <v>23272.32</v>
      </c>
      <c r="L354" s="1">
        <f t="shared" si="5"/>
        <v>-17847.999999999996</v>
      </c>
    </row>
    <row r="355" spans="1:12" x14ac:dyDescent="0.25">
      <c r="A355" s="7" t="s">
        <v>377</v>
      </c>
      <c r="B355" s="7" t="s">
        <v>17</v>
      </c>
      <c r="C355" s="7" t="s">
        <v>12</v>
      </c>
      <c r="D355" s="7" t="s">
        <v>13</v>
      </c>
      <c r="E355" s="7" t="s">
        <v>14</v>
      </c>
      <c r="F355" s="7" t="s">
        <v>20</v>
      </c>
      <c r="G355" s="1">
        <v>45275</v>
      </c>
      <c r="H355" s="7">
        <v>232</v>
      </c>
      <c r="I355" s="7">
        <v>117.54</v>
      </c>
      <c r="J355" s="7">
        <v>111.69</v>
      </c>
      <c r="K355" s="18">
        <f>$H355*$I355</f>
        <v>27269.280000000002</v>
      </c>
      <c r="L355" s="1">
        <f t="shared" si="5"/>
        <v>1357.2000000000021</v>
      </c>
    </row>
    <row r="356" spans="1:12" x14ac:dyDescent="0.25">
      <c r="A356" s="7" t="s">
        <v>378</v>
      </c>
      <c r="B356" s="7" t="s">
        <v>11</v>
      </c>
      <c r="C356" s="7" t="s">
        <v>31</v>
      </c>
      <c r="D356" s="7" t="s">
        <v>23</v>
      </c>
      <c r="E356" s="7" t="s">
        <v>24</v>
      </c>
      <c r="F356" s="7" t="s">
        <v>15</v>
      </c>
      <c r="G356" s="1">
        <v>45276</v>
      </c>
      <c r="H356" s="7">
        <v>425</v>
      </c>
      <c r="I356" s="7">
        <v>174.13</v>
      </c>
      <c r="J356" s="7">
        <v>315.27999999999997</v>
      </c>
      <c r="K356" s="18">
        <f>$H356*$I356</f>
        <v>74005.25</v>
      </c>
      <c r="L356" s="1">
        <f t="shared" si="5"/>
        <v>-59988.749999999993</v>
      </c>
    </row>
  </sheetData>
  <pageMargins left="0.7" right="0.7" top="0.75" bottom="0.75" header="0.3" footer="0.3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D1C0D-52F1-46A4-8D33-9275485327F3}">
  <dimension ref="A2:L356"/>
  <sheetViews>
    <sheetView workbookViewId="0">
      <selection activeCell="A6" sqref="A6:L356"/>
    </sheetView>
  </sheetViews>
  <sheetFormatPr defaultRowHeight="15" x14ac:dyDescent="0.25"/>
  <sheetData>
    <row r="2" spans="1:12" ht="21" x14ac:dyDescent="0.35">
      <c r="A2" s="4" t="s">
        <v>379</v>
      </c>
      <c r="B2" s="4" t="s">
        <v>388</v>
      </c>
    </row>
    <row r="4" spans="1:12" ht="21" x14ac:dyDescent="0.35">
      <c r="A4" s="4" t="s">
        <v>381</v>
      </c>
    </row>
    <row r="6" spans="1:12" x14ac:dyDescent="0.25">
      <c r="A6" s="3" t="s">
        <v>0</v>
      </c>
      <c r="B6" s="3" t="s">
        <v>1</v>
      </c>
      <c r="C6" s="3" t="s">
        <v>2</v>
      </c>
      <c r="D6" s="3" t="s">
        <v>3</v>
      </c>
      <c r="E6" s="3" t="s">
        <v>4</v>
      </c>
      <c r="F6" s="3" t="s">
        <v>5</v>
      </c>
      <c r="G6" s="3" t="s">
        <v>6</v>
      </c>
      <c r="H6" s="3" t="s">
        <v>7</v>
      </c>
      <c r="I6" s="3" t="s">
        <v>8</v>
      </c>
      <c r="J6" s="3" t="s">
        <v>9</v>
      </c>
      <c r="K6" s="10" t="s">
        <v>390</v>
      </c>
      <c r="L6" s="10" t="s">
        <v>392</v>
      </c>
    </row>
    <row r="7" spans="1:12" x14ac:dyDescent="0.25">
      <c r="A7" s="7" t="s">
        <v>10</v>
      </c>
      <c r="B7" s="7" t="s">
        <v>11</v>
      </c>
      <c r="C7" s="7" t="s">
        <v>12</v>
      </c>
      <c r="D7" s="7" t="s">
        <v>13</v>
      </c>
      <c r="E7" s="7" t="s">
        <v>14</v>
      </c>
      <c r="F7" s="7" t="s">
        <v>15</v>
      </c>
      <c r="G7" s="1">
        <v>44927</v>
      </c>
      <c r="H7" s="1">
        <v>235</v>
      </c>
      <c r="I7" s="1">
        <v>152.91999999999999</v>
      </c>
      <c r="J7" s="1">
        <v>153.6</v>
      </c>
      <c r="K7" s="18">
        <f>$H7*$I7</f>
        <v>35936.199999999997</v>
      </c>
      <c r="L7" s="1">
        <f>($I7-$J7)*$H7</f>
        <v>-159.8000000000016</v>
      </c>
    </row>
    <row r="8" spans="1:12" x14ac:dyDescent="0.25">
      <c r="A8" s="7" t="s">
        <v>16</v>
      </c>
      <c r="B8" s="7" t="s">
        <v>17</v>
      </c>
      <c r="C8" s="7" t="s">
        <v>18</v>
      </c>
      <c r="D8" s="7" t="s">
        <v>19</v>
      </c>
      <c r="E8" s="7" t="s">
        <v>14</v>
      </c>
      <c r="F8" s="7" t="s">
        <v>20</v>
      </c>
      <c r="G8" s="1">
        <v>44928</v>
      </c>
      <c r="H8" s="1">
        <v>341</v>
      </c>
      <c r="I8" s="1">
        <v>467.92</v>
      </c>
      <c r="J8" s="1">
        <v>139.84</v>
      </c>
      <c r="K8" s="18">
        <f>$H8*$I8</f>
        <v>159560.72</v>
      </c>
      <c r="L8" s="1">
        <f t="shared" ref="L8:L71" si="0">($I8-$J8)*$H8</f>
        <v>111875.28000000001</v>
      </c>
    </row>
    <row r="9" spans="1:12" x14ac:dyDescent="0.25">
      <c r="A9" s="7" t="s">
        <v>21</v>
      </c>
      <c r="B9" s="7" t="s">
        <v>22</v>
      </c>
      <c r="C9" s="7" t="s">
        <v>18</v>
      </c>
      <c r="D9" s="7" t="s">
        <v>23</v>
      </c>
      <c r="E9" s="7" t="s">
        <v>24</v>
      </c>
      <c r="F9" s="7" t="s">
        <v>15</v>
      </c>
      <c r="G9" s="1">
        <v>44929</v>
      </c>
      <c r="H9" s="1">
        <v>179</v>
      </c>
      <c r="I9" s="1">
        <v>473.94</v>
      </c>
      <c r="J9" s="1">
        <v>97.14</v>
      </c>
      <c r="K9" s="18">
        <f>$H9*$I9</f>
        <v>84835.26</v>
      </c>
      <c r="L9" s="1">
        <f t="shared" si="0"/>
        <v>67447.199999999997</v>
      </c>
    </row>
    <row r="10" spans="1:12" x14ac:dyDescent="0.25">
      <c r="A10" s="7" t="s">
        <v>25</v>
      </c>
      <c r="B10" s="7" t="s">
        <v>11</v>
      </c>
      <c r="C10" s="7" t="s">
        <v>26</v>
      </c>
      <c r="D10" s="7" t="s">
        <v>27</v>
      </c>
      <c r="E10" s="7" t="s">
        <v>24</v>
      </c>
      <c r="F10" s="7" t="s">
        <v>28</v>
      </c>
      <c r="G10" s="1">
        <v>44930</v>
      </c>
      <c r="H10" s="7">
        <v>18</v>
      </c>
      <c r="I10" s="7">
        <v>314.52999999999997</v>
      </c>
      <c r="J10" s="7">
        <v>204.87</v>
      </c>
      <c r="K10" s="18">
        <f>$H10*$I10</f>
        <v>5661.5399999999991</v>
      </c>
      <c r="L10" s="1">
        <f t="shared" si="0"/>
        <v>1973.8799999999994</v>
      </c>
    </row>
    <row r="11" spans="1:12" x14ac:dyDescent="0.25">
      <c r="A11" s="7" t="s">
        <v>29</v>
      </c>
      <c r="B11" s="7" t="s">
        <v>11</v>
      </c>
      <c r="C11" s="7" t="s">
        <v>18</v>
      </c>
      <c r="D11" s="7" t="s">
        <v>27</v>
      </c>
      <c r="E11" s="7" t="s">
        <v>24</v>
      </c>
      <c r="F11" s="7" t="s">
        <v>28</v>
      </c>
      <c r="G11" s="1">
        <v>44931</v>
      </c>
      <c r="H11" s="7">
        <v>472</v>
      </c>
      <c r="I11" s="7">
        <v>392.79</v>
      </c>
      <c r="J11" s="7">
        <v>330.46</v>
      </c>
      <c r="K11" s="18">
        <f>$H11*$I11</f>
        <v>185396.88</v>
      </c>
      <c r="L11" s="1">
        <f t="shared" si="0"/>
        <v>29419.76000000002</v>
      </c>
    </row>
    <row r="12" spans="1:12" x14ac:dyDescent="0.25">
      <c r="A12" s="7" t="s">
        <v>30</v>
      </c>
      <c r="B12" s="7" t="s">
        <v>17</v>
      </c>
      <c r="C12" s="7" t="s">
        <v>31</v>
      </c>
      <c r="D12" s="7" t="s">
        <v>23</v>
      </c>
      <c r="E12" s="7" t="s">
        <v>14</v>
      </c>
      <c r="F12" s="7" t="s">
        <v>15</v>
      </c>
      <c r="G12" s="1">
        <v>44932</v>
      </c>
      <c r="H12" s="7">
        <v>49</v>
      </c>
      <c r="I12" s="7">
        <v>308.07</v>
      </c>
      <c r="J12" s="7">
        <v>113.32</v>
      </c>
      <c r="K12" s="18">
        <f>$H12*$I12</f>
        <v>15095.43</v>
      </c>
      <c r="L12" s="1">
        <f t="shared" si="0"/>
        <v>9542.75</v>
      </c>
    </row>
    <row r="13" spans="1:12" x14ac:dyDescent="0.25">
      <c r="A13" s="7" t="s">
        <v>32</v>
      </c>
      <c r="B13" s="7" t="s">
        <v>22</v>
      </c>
      <c r="C13" s="7" t="s">
        <v>12</v>
      </c>
      <c r="D13" s="7" t="s">
        <v>23</v>
      </c>
      <c r="E13" s="7" t="s">
        <v>14</v>
      </c>
      <c r="F13" s="7" t="s">
        <v>20</v>
      </c>
      <c r="G13" s="1">
        <v>44933</v>
      </c>
      <c r="H13" s="7">
        <v>34</v>
      </c>
      <c r="I13" s="7">
        <v>244.78</v>
      </c>
      <c r="J13" s="7">
        <v>377.07</v>
      </c>
      <c r="K13" s="18">
        <f>$H13*$I13</f>
        <v>8322.52</v>
      </c>
      <c r="L13" s="1">
        <f t="shared" si="0"/>
        <v>-4497.8599999999997</v>
      </c>
    </row>
    <row r="14" spans="1:12" x14ac:dyDescent="0.25">
      <c r="A14" s="7" t="s">
        <v>33</v>
      </c>
      <c r="B14" s="7" t="s">
        <v>22</v>
      </c>
      <c r="C14" s="7" t="s">
        <v>18</v>
      </c>
      <c r="D14" s="7" t="s">
        <v>13</v>
      </c>
      <c r="E14" s="7" t="s">
        <v>14</v>
      </c>
      <c r="F14" s="7" t="s">
        <v>15</v>
      </c>
      <c r="G14" s="1">
        <v>44934</v>
      </c>
      <c r="H14" s="7">
        <v>270</v>
      </c>
      <c r="I14" s="7">
        <v>332.11</v>
      </c>
      <c r="J14" s="7">
        <v>349.59</v>
      </c>
      <c r="K14" s="18">
        <f>$H14*$I14</f>
        <v>89669.7</v>
      </c>
      <c r="L14" s="1">
        <f t="shared" si="0"/>
        <v>-4719.5999999999894</v>
      </c>
    </row>
    <row r="15" spans="1:12" x14ac:dyDescent="0.25">
      <c r="A15" s="7" t="s">
        <v>34</v>
      </c>
      <c r="B15" s="7" t="s">
        <v>11</v>
      </c>
      <c r="C15" s="7" t="s">
        <v>18</v>
      </c>
      <c r="D15" s="7" t="s">
        <v>13</v>
      </c>
      <c r="E15" s="7" t="s">
        <v>14</v>
      </c>
      <c r="F15" s="7" t="s">
        <v>20</v>
      </c>
      <c r="G15" s="1">
        <v>44935</v>
      </c>
      <c r="H15" s="7">
        <v>404</v>
      </c>
      <c r="I15" s="7">
        <v>278.74</v>
      </c>
      <c r="J15" s="7">
        <v>66.38</v>
      </c>
      <c r="K15" s="18">
        <f>$H15*$I15</f>
        <v>112610.96</v>
      </c>
      <c r="L15" s="1">
        <f t="shared" si="0"/>
        <v>85793.44</v>
      </c>
    </row>
    <row r="16" spans="1:12" x14ac:dyDescent="0.25">
      <c r="A16" s="7" t="s">
        <v>35</v>
      </c>
      <c r="B16" s="7" t="s">
        <v>11</v>
      </c>
      <c r="C16" s="7" t="s">
        <v>26</v>
      </c>
      <c r="D16" s="7" t="s">
        <v>27</v>
      </c>
      <c r="E16" s="7" t="s">
        <v>14</v>
      </c>
      <c r="F16" s="7" t="s">
        <v>28</v>
      </c>
      <c r="G16" s="1">
        <v>44936</v>
      </c>
      <c r="H16" s="7">
        <v>452</v>
      </c>
      <c r="I16" s="7">
        <v>300.75</v>
      </c>
      <c r="J16" s="7">
        <v>314.94</v>
      </c>
      <c r="K16" s="18">
        <f>$H16*$I16</f>
        <v>135939</v>
      </c>
      <c r="L16" s="1">
        <f t="shared" si="0"/>
        <v>-6413.8799999999992</v>
      </c>
    </row>
    <row r="17" spans="1:12" x14ac:dyDescent="0.25">
      <c r="A17" s="7" t="s">
        <v>36</v>
      </c>
      <c r="B17" s="7" t="s">
        <v>11</v>
      </c>
      <c r="C17" s="7" t="s">
        <v>26</v>
      </c>
      <c r="D17" s="7" t="s">
        <v>19</v>
      </c>
      <c r="E17" s="7" t="s">
        <v>14</v>
      </c>
      <c r="F17" s="7" t="s">
        <v>20</v>
      </c>
      <c r="G17" s="1">
        <v>44937</v>
      </c>
      <c r="H17" s="7">
        <v>235</v>
      </c>
      <c r="I17" s="7">
        <v>393</v>
      </c>
      <c r="J17" s="7">
        <v>230.69</v>
      </c>
      <c r="K17" s="18">
        <f>$H17*$I17</f>
        <v>92355</v>
      </c>
      <c r="L17" s="1">
        <f t="shared" si="0"/>
        <v>38142.85</v>
      </c>
    </row>
    <row r="18" spans="1:12" x14ac:dyDescent="0.25">
      <c r="A18" s="7" t="s">
        <v>37</v>
      </c>
      <c r="B18" s="7" t="s">
        <v>11</v>
      </c>
      <c r="C18" s="7" t="s">
        <v>31</v>
      </c>
      <c r="D18" s="7" t="s">
        <v>27</v>
      </c>
      <c r="E18" s="7" t="s">
        <v>24</v>
      </c>
      <c r="F18" s="7" t="s">
        <v>28</v>
      </c>
      <c r="G18" s="1">
        <v>44938</v>
      </c>
      <c r="H18" s="7">
        <v>481</v>
      </c>
      <c r="I18" s="7">
        <v>243.05</v>
      </c>
      <c r="J18" s="7">
        <v>227.5</v>
      </c>
      <c r="K18" s="18">
        <f>$H18*$I18</f>
        <v>116907.05</v>
      </c>
      <c r="L18" s="1">
        <f t="shared" si="0"/>
        <v>7479.5500000000056</v>
      </c>
    </row>
    <row r="19" spans="1:12" x14ac:dyDescent="0.25">
      <c r="A19" s="7" t="s">
        <v>38</v>
      </c>
      <c r="B19" s="7" t="s">
        <v>11</v>
      </c>
      <c r="C19" s="7" t="s">
        <v>12</v>
      </c>
      <c r="D19" s="7" t="s">
        <v>19</v>
      </c>
      <c r="E19" s="7" t="s">
        <v>24</v>
      </c>
      <c r="F19" s="7" t="s">
        <v>20</v>
      </c>
      <c r="G19" s="1">
        <v>44939</v>
      </c>
      <c r="H19" s="7">
        <v>133</v>
      </c>
      <c r="I19" s="7">
        <v>25.17</v>
      </c>
      <c r="J19" s="7">
        <v>157.63999999999999</v>
      </c>
      <c r="K19" s="18">
        <f>$H19*$I19</f>
        <v>3347.61</v>
      </c>
      <c r="L19" s="1">
        <f t="shared" si="0"/>
        <v>-17618.509999999995</v>
      </c>
    </row>
    <row r="20" spans="1:12" x14ac:dyDescent="0.25">
      <c r="A20" s="7" t="s">
        <v>39</v>
      </c>
      <c r="B20" s="7" t="s">
        <v>11</v>
      </c>
      <c r="C20" s="7" t="s">
        <v>26</v>
      </c>
      <c r="D20" s="7" t="s">
        <v>19</v>
      </c>
      <c r="E20" s="7" t="s">
        <v>24</v>
      </c>
      <c r="F20" s="7" t="s">
        <v>20</v>
      </c>
      <c r="G20" s="1">
        <v>44940</v>
      </c>
      <c r="H20" s="7">
        <v>472</v>
      </c>
      <c r="I20" s="7">
        <v>86.18</v>
      </c>
      <c r="J20" s="7">
        <v>201.46</v>
      </c>
      <c r="K20" s="18">
        <f>$H20*$I20</f>
        <v>40676.960000000006</v>
      </c>
      <c r="L20" s="1">
        <f t="shared" si="0"/>
        <v>-54412.160000000003</v>
      </c>
    </row>
    <row r="21" spans="1:12" x14ac:dyDescent="0.25">
      <c r="A21" s="7" t="s">
        <v>40</v>
      </c>
      <c r="B21" s="7" t="s">
        <v>17</v>
      </c>
      <c r="C21" s="7" t="s">
        <v>18</v>
      </c>
      <c r="D21" s="7" t="s">
        <v>13</v>
      </c>
      <c r="E21" s="7" t="s">
        <v>24</v>
      </c>
      <c r="F21" s="7" t="s">
        <v>20</v>
      </c>
      <c r="G21" s="1">
        <v>44941</v>
      </c>
      <c r="H21" s="7">
        <v>47</v>
      </c>
      <c r="I21" s="7">
        <v>222.11</v>
      </c>
      <c r="J21" s="7">
        <v>160.08000000000001</v>
      </c>
      <c r="K21" s="18">
        <f>$H21*$I21</f>
        <v>10439.17</v>
      </c>
      <c r="L21" s="1">
        <f t="shared" si="0"/>
        <v>2915.41</v>
      </c>
    </row>
    <row r="22" spans="1:12" x14ac:dyDescent="0.25">
      <c r="A22" s="7" t="s">
        <v>41</v>
      </c>
      <c r="B22" s="7" t="s">
        <v>22</v>
      </c>
      <c r="C22" s="7" t="s">
        <v>12</v>
      </c>
      <c r="D22" s="7" t="s">
        <v>42</v>
      </c>
      <c r="E22" s="7" t="s">
        <v>14</v>
      </c>
      <c r="F22" s="7" t="s">
        <v>15</v>
      </c>
      <c r="G22" s="1">
        <v>44942</v>
      </c>
      <c r="H22" s="7">
        <v>337</v>
      </c>
      <c r="I22" s="7">
        <v>363.79</v>
      </c>
      <c r="J22" s="7">
        <v>216.81</v>
      </c>
      <c r="K22" s="18">
        <f>$H22*$I22</f>
        <v>122597.23000000001</v>
      </c>
      <c r="L22" s="1">
        <f t="shared" si="0"/>
        <v>49532.260000000009</v>
      </c>
    </row>
    <row r="23" spans="1:12" x14ac:dyDescent="0.25">
      <c r="A23" s="7" t="s">
        <v>43</v>
      </c>
      <c r="B23" s="7" t="s">
        <v>17</v>
      </c>
      <c r="C23" s="7" t="s">
        <v>12</v>
      </c>
      <c r="D23" s="7" t="s">
        <v>42</v>
      </c>
      <c r="E23" s="7" t="s">
        <v>14</v>
      </c>
      <c r="F23" s="7" t="s">
        <v>15</v>
      </c>
      <c r="G23" s="1">
        <v>44943</v>
      </c>
      <c r="H23" s="7">
        <v>260</v>
      </c>
      <c r="I23" s="7">
        <v>298.67</v>
      </c>
      <c r="J23" s="7">
        <v>251.92</v>
      </c>
      <c r="K23" s="18">
        <f>$H23*$I23</f>
        <v>77654.2</v>
      </c>
      <c r="L23" s="1">
        <f t="shared" si="0"/>
        <v>12155.000000000007</v>
      </c>
    </row>
    <row r="24" spans="1:12" x14ac:dyDescent="0.25">
      <c r="A24" s="7" t="s">
        <v>44</v>
      </c>
      <c r="B24" s="7" t="s">
        <v>17</v>
      </c>
      <c r="C24" s="7" t="s">
        <v>18</v>
      </c>
      <c r="D24" s="7" t="s">
        <v>23</v>
      </c>
      <c r="E24" s="7" t="s">
        <v>24</v>
      </c>
      <c r="F24" s="7" t="s">
        <v>28</v>
      </c>
      <c r="G24" s="1">
        <v>44944</v>
      </c>
      <c r="H24" s="7">
        <v>398</v>
      </c>
      <c r="I24" s="7">
        <v>326.89999999999998</v>
      </c>
      <c r="J24" s="7">
        <v>270.37</v>
      </c>
      <c r="K24" s="18">
        <f>$H24*$I24</f>
        <v>130106.2</v>
      </c>
      <c r="L24" s="1">
        <f t="shared" si="0"/>
        <v>22498.939999999988</v>
      </c>
    </row>
    <row r="25" spans="1:12" x14ac:dyDescent="0.25">
      <c r="A25" s="7" t="s">
        <v>45</v>
      </c>
      <c r="B25" s="7" t="s">
        <v>17</v>
      </c>
      <c r="C25" s="7" t="s">
        <v>26</v>
      </c>
      <c r="D25" s="7" t="s">
        <v>13</v>
      </c>
      <c r="E25" s="7" t="s">
        <v>14</v>
      </c>
      <c r="F25" s="7" t="s">
        <v>28</v>
      </c>
      <c r="G25" s="1">
        <v>44945</v>
      </c>
      <c r="H25" s="7">
        <v>185</v>
      </c>
      <c r="I25" s="7">
        <v>242.24</v>
      </c>
      <c r="J25" s="7">
        <v>213.93</v>
      </c>
      <c r="K25" s="18">
        <f>$H25*$I25</f>
        <v>44814.400000000001</v>
      </c>
      <c r="L25" s="1">
        <f t="shared" si="0"/>
        <v>5237.3500000000004</v>
      </c>
    </row>
    <row r="26" spans="1:12" x14ac:dyDescent="0.25">
      <c r="A26" s="7" t="s">
        <v>46</v>
      </c>
      <c r="B26" s="7" t="s">
        <v>11</v>
      </c>
      <c r="C26" s="7" t="s">
        <v>18</v>
      </c>
      <c r="D26" s="7" t="s">
        <v>19</v>
      </c>
      <c r="E26" s="7" t="s">
        <v>24</v>
      </c>
      <c r="F26" s="7" t="s">
        <v>15</v>
      </c>
      <c r="G26" s="1">
        <v>44946</v>
      </c>
      <c r="H26" s="7">
        <v>99</v>
      </c>
      <c r="I26" s="7">
        <v>309.79000000000002</v>
      </c>
      <c r="J26" s="7">
        <v>289.13</v>
      </c>
      <c r="K26" s="18">
        <f>$H26*$I26</f>
        <v>30669.210000000003</v>
      </c>
      <c r="L26" s="1">
        <f t="shared" si="0"/>
        <v>2045.3400000000024</v>
      </c>
    </row>
    <row r="27" spans="1:12" x14ac:dyDescent="0.25">
      <c r="A27" s="7" t="s">
        <v>47</v>
      </c>
      <c r="B27" s="7" t="s">
        <v>48</v>
      </c>
      <c r="C27" s="7" t="s">
        <v>12</v>
      </c>
      <c r="D27" s="7" t="s">
        <v>42</v>
      </c>
      <c r="E27" s="7" t="s">
        <v>24</v>
      </c>
      <c r="F27" s="7" t="s">
        <v>28</v>
      </c>
      <c r="G27" s="1">
        <v>44947</v>
      </c>
      <c r="H27" s="7">
        <v>411</v>
      </c>
      <c r="I27" s="7">
        <v>167.86</v>
      </c>
      <c r="J27" s="7">
        <v>58.23</v>
      </c>
      <c r="K27" s="18">
        <f>$H27*$I27</f>
        <v>68990.460000000006</v>
      </c>
      <c r="L27" s="1">
        <f t="shared" si="0"/>
        <v>45057.930000000008</v>
      </c>
    </row>
    <row r="28" spans="1:12" x14ac:dyDescent="0.25">
      <c r="A28" s="7" t="s">
        <v>49</v>
      </c>
      <c r="B28" s="7" t="s">
        <v>22</v>
      </c>
      <c r="C28" s="7" t="s">
        <v>50</v>
      </c>
      <c r="D28" s="7" t="s">
        <v>19</v>
      </c>
      <c r="E28" s="7" t="s">
        <v>24</v>
      </c>
      <c r="F28" s="7" t="s">
        <v>15</v>
      </c>
      <c r="G28" s="1">
        <v>44948</v>
      </c>
      <c r="H28" s="7">
        <v>463</v>
      </c>
      <c r="I28" s="7">
        <v>237.74</v>
      </c>
      <c r="J28" s="7">
        <v>86.37</v>
      </c>
      <c r="K28" s="18">
        <f>$H28*$I28</f>
        <v>110073.62000000001</v>
      </c>
      <c r="L28" s="1">
        <f t="shared" si="0"/>
        <v>70084.31</v>
      </c>
    </row>
    <row r="29" spans="1:12" x14ac:dyDescent="0.25">
      <c r="A29" s="7" t="s">
        <v>51</v>
      </c>
      <c r="B29" s="7" t="s">
        <v>48</v>
      </c>
      <c r="C29" s="7" t="s">
        <v>50</v>
      </c>
      <c r="D29" s="7" t="s">
        <v>42</v>
      </c>
      <c r="E29" s="7" t="s">
        <v>14</v>
      </c>
      <c r="F29" s="7" t="s">
        <v>20</v>
      </c>
      <c r="G29" s="1">
        <v>44949</v>
      </c>
      <c r="H29" s="7">
        <v>46</v>
      </c>
      <c r="I29" s="7">
        <v>373.42</v>
      </c>
      <c r="J29" s="7">
        <v>327.86</v>
      </c>
      <c r="K29" s="18">
        <f>$H29*$I29</f>
        <v>17177.32</v>
      </c>
      <c r="L29" s="1">
        <f t="shared" si="0"/>
        <v>2095.7600000000002</v>
      </c>
    </row>
    <row r="30" spans="1:12" x14ac:dyDescent="0.25">
      <c r="A30" s="7" t="s">
        <v>52</v>
      </c>
      <c r="B30" s="7" t="s">
        <v>17</v>
      </c>
      <c r="C30" s="7" t="s">
        <v>31</v>
      </c>
      <c r="D30" s="7" t="s">
        <v>42</v>
      </c>
      <c r="E30" s="7" t="s">
        <v>24</v>
      </c>
      <c r="F30" s="7" t="s">
        <v>28</v>
      </c>
      <c r="G30" s="1">
        <v>44950</v>
      </c>
      <c r="H30" s="7">
        <v>325</v>
      </c>
      <c r="I30" s="7">
        <v>436.56</v>
      </c>
      <c r="J30" s="7">
        <v>130.37</v>
      </c>
      <c r="K30" s="18">
        <f>$H30*$I30</f>
        <v>141882</v>
      </c>
      <c r="L30" s="1">
        <f t="shared" si="0"/>
        <v>99511.75</v>
      </c>
    </row>
    <row r="31" spans="1:12" x14ac:dyDescent="0.25">
      <c r="A31" s="7" t="s">
        <v>53</v>
      </c>
      <c r="B31" s="7" t="s">
        <v>17</v>
      </c>
      <c r="C31" s="7" t="s">
        <v>18</v>
      </c>
      <c r="D31" s="7" t="s">
        <v>42</v>
      </c>
      <c r="E31" s="7" t="s">
        <v>24</v>
      </c>
      <c r="F31" s="7" t="s">
        <v>28</v>
      </c>
      <c r="G31" s="1">
        <v>44951</v>
      </c>
      <c r="H31" s="7">
        <v>185</v>
      </c>
      <c r="I31" s="7">
        <v>219.66</v>
      </c>
      <c r="J31" s="7">
        <v>11.11</v>
      </c>
      <c r="K31" s="18">
        <f>$H31*$I31</f>
        <v>40637.1</v>
      </c>
      <c r="L31" s="1">
        <f t="shared" si="0"/>
        <v>38581.75</v>
      </c>
    </row>
    <row r="32" spans="1:12" x14ac:dyDescent="0.25">
      <c r="A32" s="7" t="s">
        <v>54</v>
      </c>
      <c r="B32" s="7" t="s">
        <v>48</v>
      </c>
      <c r="C32" s="7" t="s">
        <v>18</v>
      </c>
      <c r="D32" s="7" t="s">
        <v>13</v>
      </c>
      <c r="E32" s="7" t="s">
        <v>24</v>
      </c>
      <c r="F32" s="7" t="s">
        <v>15</v>
      </c>
      <c r="G32" s="1">
        <v>44952</v>
      </c>
      <c r="H32" s="7">
        <v>470</v>
      </c>
      <c r="I32" s="7">
        <v>26.61</v>
      </c>
      <c r="J32" s="7">
        <v>63.21</v>
      </c>
      <c r="K32" s="18">
        <f>$H32*$I32</f>
        <v>12506.699999999999</v>
      </c>
      <c r="L32" s="1">
        <f t="shared" si="0"/>
        <v>-17202</v>
      </c>
    </row>
    <row r="33" spans="1:12" x14ac:dyDescent="0.25">
      <c r="A33" s="7" t="s">
        <v>55</v>
      </c>
      <c r="B33" s="7" t="s">
        <v>48</v>
      </c>
      <c r="C33" s="7" t="s">
        <v>31</v>
      </c>
      <c r="D33" s="7" t="s">
        <v>27</v>
      </c>
      <c r="E33" s="7" t="s">
        <v>14</v>
      </c>
      <c r="F33" s="7" t="s">
        <v>28</v>
      </c>
      <c r="G33" s="1">
        <v>44953</v>
      </c>
      <c r="H33" s="7">
        <v>293</v>
      </c>
      <c r="I33" s="7">
        <v>85.03</v>
      </c>
      <c r="J33" s="7">
        <v>91</v>
      </c>
      <c r="K33" s="18">
        <f>$H33*$I33</f>
        <v>24913.79</v>
      </c>
      <c r="L33" s="1">
        <f t="shared" si="0"/>
        <v>-1749.2099999999996</v>
      </c>
    </row>
    <row r="34" spans="1:12" x14ac:dyDescent="0.25">
      <c r="A34" s="7" t="s">
        <v>56</v>
      </c>
      <c r="B34" s="7" t="s">
        <v>48</v>
      </c>
      <c r="C34" s="7" t="s">
        <v>31</v>
      </c>
      <c r="D34" s="7" t="s">
        <v>19</v>
      </c>
      <c r="E34" s="7" t="s">
        <v>14</v>
      </c>
      <c r="F34" s="7" t="s">
        <v>28</v>
      </c>
      <c r="G34" s="1">
        <v>44954</v>
      </c>
      <c r="H34" s="7">
        <v>462</v>
      </c>
      <c r="I34" s="7">
        <v>249.64</v>
      </c>
      <c r="J34" s="7">
        <v>383.01</v>
      </c>
      <c r="K34" s="18">
        <f>$H34*$I34</f>
        <v>115333.68</v>
      </c>
      <c r="L34" s="1">
        <f t="shared" si="0"/>
        <v>-61616.94</v>
      </c>
    </row>
    <row r="35" spans="1:12" x14ac:dyDescent="0.25">
      <c r="A35" s="7" t="s">
        <v>57</v>
      </c>
      <c r="B35" s="7" t="s">
        <v>17</v>
      </c>
      <c r="C35" s="7" t="s">
        <v>31</v>
      </c>
      <c r="D35" s="7" t="s">
        <v>13</v>
      </c>
      <c r="E35" s="7" t="s">
        <v>24</v>
      </c>
      <c r="F35" s="7" t="s">
        <v>20</v>
      </c>
      <c r="G35" s="1">
        <v>44955</v>
      </c>
      <c r="H35" s="7">
        <v>470</v>
      </c>
      <c r="I35" s="7">
        <v>328.37</v>
      </c>
      <c r="J35" s="7">
        <v>230.07</v>
      </c>
      <c r="K35" s="18">
        <f>$H35*$I35</f>
        <v>154333.9</v>
      </c>
      <c r="L35" s="1">
        <f t="shared" si="0"/>
        <v>46201.000000000007</v>
      </c>
    </row>
    <row r="36" spans="1:12" x14ac:dyDescent="0.25">
      <c r="A36" s="7" t="s">
        <v>58</v>
      </c>
      <c r="B36" s="7" t="s">
        <v>17</v>
      </c>
      <c r="C36" s="7" t="s">
        <v>12</v>
      </c>
      <c r="D36" s="7" t="s">
        <v>13</v>
      </c>
      <c r="E36" s="7" t="s">
        <v>14</v>
      </c>
      <c r="F36" s="7" t="s">
        <v>28</v>
      </c>
      <c r="G36" s="1">
        <v>44956</v>
      </c>
      <c r="H36" s="7">
        <v>90</v>
      </c>
      <c r="I36" s="7">
        <v>169.5</v>
      </c>
      <c r="J36" s="7">
        <v>373.23</v>
      </c>
      <c r="K36" s="18">
        <f>$H36*$I36</f>
        <v>15255</v>
      </c>
      <c r="L36" s="1">
        <f t="shared" si="0"/>
        <v>-18335.7</v>
      </c>
    </row>
    <row r="37" spans="1:12" x14ac:dyDescent="0.25">
      <c r="A37" s="7" t="s">
        <v>59</v>
      </c>
      <c r="B37" s="7" t="s">
        <v>17</v>
      </c>
      <c r="C37" s="7" t="s">
        <v>18</v>
      </c>
      <c r="D37" s="7" t="s">
        <v>13</v>
      </c>
      <c r="E37" s="7" t="s">
        <v>14</v>
      </c>
      <c r="F37" s="7" t="s">
        <v>20</v>
      </c>
      <c r="G37" s="1">
        <v>44957</v>
      </c>
      <c r="H37" s="7">
        <v>123</v>
      </c>
      <c r="I37" s="7">
        <v>273.52999999999997</v>
      </c>
      <c r="J37" s="7">
        <v>230.92</v>
      </c>
      <c r="K37" s="18">
        <f>$H37*$I37</f>
        <v>33644.189999999995</v>
      </c>
      <c r="L37" s="1">
        <f t="shared" si="0"/>
        <v>5241.0299999999979</v>
      </c>
    </row>
    <row r="38" spans="1:12" x14ac:dyDescent="0.25">
      <c r="A38" s="7" t="s">
        <v>60</v>
      </c>
      <c r="B38" s="7" t="s">
        <v>22</v>
      </c>
      <c r="C38" s="7" t="s">
        <v>12</v>
      </c>
      <c r="D38" s="7" t="s">
        <v>13</v>
      </c>
      <c r="E38" s="7" t="s">
        <v>14</v>
      </c>
      <c r="F38" s="7" t="s">
        <v>15</v>
      </c>
      <c r="G38" s="1">
        <v>44958</v>
      </c>
      <c r="H38" s="7">
        <v>49</v>
      </c>
      <c r="I38" s="7">
        <v>249.17</v>
      </c>
      <c r="J38" s="7">
        <v>192.78</v>
      </c>
      <c r="K38" s="18">
        <f>$H38*$I38</f>
        <v>12209.33</v>
      </c>
      <c r="L38" s="1">
        <f t="shared" si="0"/>
        <v>2763.1099999999992</v>
      </c>
    </row>
    <row r="39" spans="1:12" x14ac:dyDescent="0.25">
      <c r="A39" s="7" t="s">
        <v>61</v>
      </c>
      <c r="B39" s="7" t="s">
        <v>17</v>
      </c>
      <c r="C39" s="7" t="s">
        <v>31</v>
      </c>
      <c r="D39" s="7" t="s">
        <v>13</v>
      </c>
      <c r="E39" s="7" t="s">
        <v>14</v>
      </c>
      <c r="F39" s="7" t="s">
        <v>28</v>
      </c>
      <c r="G39" s="1">
        <v>44959</v>
      </c>
      <c r="H39" s="7">
        <v>310</v>
      </c>
      <c r="I39" s="7">
        <v>45.36</v>
      </c>
      <c r="J39" s="7">
        <v>126.86</v>
      </c>
      <c r="K39" s="18">
        <f>$H39*$I39</f>
        <v>14061.6</v>
      </c>
      <c r="L39" s="1">
        <f t="shared" si="0"/>
        <v>-25265</v>
      </c>
    </row>
    <row r="40" spans="1:12" x14ac:dyDescent="0.25">
      <c r="A40" s="7" t="s">
        <v>62</v>
      </c>
      <c r="B40" s="7" t="s">
        <v>48</v>
      </c>
      <c r="C40" s="7" t="s">
        <v>18</v>
      </c>
      <c r="D40" s="7" t="s">
        <v>23</v>
      </c>
      <c r="E40" s="7" t="s">
        <v>14</v>
      </c>
      <c r="F40" s="7" t="s">
        <v>20</v>
      </c>
      <c r="G40" s="1">
        <v>44960</v>
      </c>
      <c r="H40" s="7">
        <v>233</v>
      </c>
      <c r="I40" s="7">
        <v>204.61</v>
      </c>
      <c r="J40" s="7">
        <v>243.34</v>
      </c>
      <c r="K40" s="18">
        <f>$H40*$I40</f>
        <v>47674.130000000005</v>
      </c>
      <c r="L40" s="1">
        <f t="shared" si="0"/>
        <v>-9024.0899999999983</v>
      </c>
    </row>
    <row r="41" spans="1:12" x14ac:dyDescent="0.25">
      <c r="A41" s="7" t="s">
        <v>63</v>
      </c>
      <c r="B41" s="7" t="s">
        <v>48</v>
      </c>
      <c r="C41" s="7" t="s">
        <v>12</v>
      </c>
      <c r="D41" s="7" t="s">
        <v>19</v>
      </c>
      <c r="E41" s="7" t="s">
        <v>14</v>
      </c>
      <c r="F41" s="7" t="s">
        <v>15</v>
      </c>
      <c r="G41" s="1">
        <v>44961</v>
      </c>
      <c r="H41" s="7">
        <v>327</v>
      </c>
      <c r="I41" s="7">
        <v>114.18</v>
      </c>
      <c r="J41" s="7">
        <v>57.4</v>
      </c>
      <c r="K41" s="18">
        <f>$H41*$I41</f>
        <v>37336.86</v>
      </c>
      <c r="L41" s="1">
        <f t="shared" si="0"/>
        <v>18567.060000000001</v>
      </c>
    </row>
    <row r="42" spans="1:12" x14ac:dyDescent="0.25">
      <c r="A42" s="7" t="s">
        <v>64</v>
      </c>
      <c r="B42" s="7" t="s">
        <v>22</v>
      </c>
      <c r="C42" s="7" t="s">
        <v>12</v>
      </c>
      <c r="D42" s="7" t="s">
        <v>13</v>
      </c>
      <c r="E42" s="7" t="s">
        <v>14</v>
      </c>
      <c r="F42" s="7" t="s">
        <v>28</v>
      </c>
      <c r="G42" s="1">
        <v>44962</v>
      </c>
      <c r="H42" s="7">
        <v>358</v>
      </c>
      <c r="I42" s="7">
        <v>212.11</v>
      </c>
      <c r="J42" s="7">
        <v>359.51</v>
      </c>
      <c r="K42" s="18">
        <f>$H42*$I42</f>
        <v>75935.38</v>
      </c>
      <c r="L42" s="1">
        <f t="shared" si="0"/>
        <v>-52769.19999999999</v>
      </c>
    </row>
    <row r="43" spans="1:12" x14ac:dyDescent="0.25">
      <c r="A43" s="7" t="s">
        <v>65</v>
      </c>
      <c r="B43" s="7" t="s">
        <v>17</v>
      </c>
      <c r="C43" s="7" t="s">
        <v>31</v>
      </c>
      <c r="D43" s="7" t="s">
        <v>19</v>
      </c>
      <c r="E43" s="7" t="s">
        <v>14</v>
      </c>
      <c r="F43" s="7" t="s">
        <v>15</v>
      </c>
      <c r="G43" s="1">
        <v>44963</v>
      </c>
      <c r="H43" s="7">
        <v>124</v>
      </c>
      <c r="I43" s="7">
        <v>249.64</v>
      </c>
      <c r="J43" s="7">
        <v>332.07</v>
      </c>
      <c r="K43" s="18">
        <f>$H43*$I43</f>
        <v>30955.359999999997</v>
      </c>
      <c r="L43" s="1">
        <f t="shared" si="0"/>
        <v>-10221.320000000002</v>
      </c>
    </row>
    <row r="44" spans="1:12" x14ac:dyDescent="0.25">
      <c r="A44" s="7" t="s">
        <v>66</v>
      </c>
      <c r="B44" s="7" t="s">
        <v>22</v>
      </c>
      <c r="C44" s="7" t="s">
        <v>18</v>
      </c>
      <c r="D44" s="7" t="s">
        <v>23</v>
      </c>
      <c r="E44" s="7" t="s">
        <v>14</v>
      </c>
      <c r="F44" s="7" t="s">
        <v>28</v>
      </c>
      <c r="G44" s="1">
        <v>44964</v>
      </c>
      <c r="H44" s="7">
        <v>195</v>
      </c>
      <c r="I44" s="7">
        <v>421.02</v>
      </c>
      <c r="J44" s="7">
        <v>128.38</v>
      </c>
      <c r="K44" s="18">
        <f>$H44*$I44</f>
        <v>82098.899999999994</v>
      </c>
      <c r="L44" s="1">
        <f t="shared" si="0"/>
        <v>57064.799999999996</v>
      </c>
    </row>
    <row r="45" spans="1:12" x14ac:dyDescent="0.25">
      <c r="A45" s="7" t="s">
        <v>67</v>
      </c>
      <c r="B45" s="7" t="s">
        <v>22</v>
      </c>
      <c r="C45" s="7" t="s">
        <v>31</v>
      </c>
      <c r="D45" s="7" t="s">
        <v>23</v>
      </c>
      <c r="E45" s="7" t="s">
        <v>14</v>
      </c>
      <c r="F45" s="7" t="s">
        <v>15</v>
      </c>
      <c r="G45" s="1">
        <v>44965</v>
      </c>
      <c r="H45" s="7">
        <v>255.9</v>
      </c>
      <c r="I45" s="7">
        <v>91.23</v>
      </c>
      <c r="J45" s="7">
        <v>381.21</v>
      </c>
      <c r="K45" s="18">
        <f>$H45*$I45</f>
        <v>23345.757000000001</v>
      </c>
      <c r="L45" s="1">
        <f t="shared" si="0"/>
        <v>-74205.881999999998</v>
      </c>
    </row>
    <row r="46" spans="1:12" x14ac:dyDescent="0.25">
      <c r="A46" s="7" t="s">
        <v>68</v>
      </c>
      <c r="B46" s="7" t="s">
        <v>11</v>
      </c>
      <c r="C46" s="7" t="s">
        <v>18</v>
      </c>
      <c r="D46" s="7" t="s">
        <v>19</v>
      </c>
      <c r="E46" s="7" t="s">
        <v>24</v>
      </c>
      <c r="F46" s="7" t="s">
        <v>15</v>
      </c>
      <c r="G46" s="1">
        <v>44966</v>
      </c>
      <c r="H46" s="7">
        <v>65</v>
      </c>
      <c r="I46" s="7">
        <v>480.59</v>
      </c>
      <c r="J46" s="7">
        <v>330.43</v>
      </c>
      <c r="K46" s="18">
        <f>$H46*$I46</f>
        <v>31238.35</v>
      </c>
      <c r="L46" s="1">
        <f t="shared" si="0"/>
        <v>9760.3999999999978</v>
      </c>
    </row>
    <row r="47" spans="1:12" x14ac:dyDescent="0.25">
      <c r="A47" s="7" t="s">
        <v>69</v>
      </c>
      <c r="B47" s="7" t="s">
        <v>11</v>
      </c>
      <c r="C47" s="7" t="s">
        <v>50</v>
      </c>
      <c r="D47" s="7" t="s">
        <v>42</v>
      </c>
      <c r="E47" s="7" t="s">
        <v>24</v>
      </c>
      <c r="F47" s="7" t="s">
        <v>20</v>
      </c>
      <c r="G47" s="1">
        <v>44967</v>
      </c>
      <c r="H47" s="7">
        <v>49</v>
      </c>
      <c r="I47" s="7">
        <v>210.87</v>
      </c>
      <c r="J47" s="7">
        <v>267.19</v>
      </c>
      <c r="K47" s="18">
        <f>$H47*$I47</f>
        <v>10332.630000000001</v>
      </c>
      <c r="L47" s="1">
        <f t="shared" si="0"/>
        <v>-2759.68</v>
      </c>
    </row>
    <row r="48" spans="1:12" x14ac:dyDescent="0.25">
      <c r="A48" s="7" t="s">
        <v>70</v>
      </c>
      <c r="B48" s="7" t="s">
        <v>11</v>
      </c>
      <c r="C48" s="7" t="s">
        <v>26</v>
      </c>
      <c r="D48" s="7" t="s">
        <v>27</v>
      </c>
      <c r="E48" s="7" t="s">
        <v>14</v>
      </c>
      <c r="F48" s="7" t="s">
        <v>15</v>
      </c>
      <c r="G48" s="1">
        <v>44968</v>
      </c>
      <c r="H48" s="7">
        <v>363</v>
      </c>
      <c r="I48" s="7">
        <v>423.89</v>
      </c>
      <c r="J48" s="7">
        <v>50.46</v>
      </c>
      <c r="K48" s="18">
        <f>$H48*$I48</f>
        <v>153872.07</v>
      </c>
      <c r="L48" s="1">
        <f t="shared" si="0"/>
        <v>135555.09</v>
      </c>
    </row>
    <row r="49" spans="1:12" x14ac:dyDescent="0.25">
      <c r="A49" s="7" t="s">
        <v>71</v>
      </c>
      <c r="B49" s="7" t="s">
        <v>48</v>
      </c>
      <c r="C49" s="7" t="s">
        <v>26</v>
      </c>
      <c r="D49" s="7" t="s">
        <v>42</v>
      </c>
      <c r="E49" s="7" t="s">
        <v>24</v>
      </c>
      <c r="F49" s="7" t="s">
        <v>28</v>
      </c>
      <c r="G49" s="1">
        <v>44969</v>
      </c>
      <c r="H49" s="7">
        <v>49</v>
      </c>
      <c r="I49" s="7">
        <v>316.24</v>
      </c>
      <c r="J49" s="7">
        <v>192.34</v>
      </c>
      <c r="K49" s="18">
        <f>$H49*$I49</f>
        <v>15495.76</v>
      </c>
      <c r="L49" s="1">
        <f t="shared" si="0"/>
        <v>6071.1</v>
      </c>
    </row>
    <row r="50" spans="1:12" x14ac:dyDescent="0.25">
      <c r="A50" s="7" t="s">
        <v>72</v>
      </c>
      <c r="B50" s="7" t="s">
        <v>17</v>
      </c>
      <c r="C50" s="7" t="s">
        <v>26</v>
      </c>
      <c r="D50" s="7" t="s">
        <v>42</v>
      </c>
      <c r="E50" s="7" t="s">
        <v>24</v>
      </c>
      <c r="F50" s="7" t="s">
        <v>28</v>
      </c>
      <c r="G50" s="1">
        <v>44970</v>
      </c>
      <c r="H50" s="7">
        <v>356</v>
      </c>
      <c r="I50" s="7">
        <v>369</v>
      </c>
      <c r="J50" s="7">
        <v>203.43</v>
      </c>
      <c r="K50" s="18">
        <f>$H50*$I50</f>
        <v>131364</v>
      </c>
      <c r="L50" s="1">
        <f t="shared" si="0"/>
        <v>58942.92</v>
      </c>
    </row>
    <row r="51" spans="1:12" x14ac:dyDescent="0.25">
      <c r="A51" s="7" t="s">
        <v>73</v>
      </c>
      <c r="B51" s="7" t="s">
        <v>17</v>
      </c>
      <c r="C51" s="7" t="s">
        <v>31</v>
      </c>
      <c r="D51" s="7" t="s">
        <v>42</v>
      </c>
      <c r="E51" s="7" t="s">
        <v>14</v>
      </c>
      <c r="F51" s="7" t="s">
        <v>20</v>
      </c>
      <c r="G51" s="1">
        <v>44971</v>
      </c>
      <c r="H51" s="7">
        <v>470</v>
      </c>
      <c r="I51" s="7">
        <v>249.64</v>
      </c>
      <c r="J51" s="7">
        <v>94.56</v>
      </c>
      <c r="K51" s="18">
        <f>$H51*$I51</f>
        <v>117330.79999999999</v>
      </c>
      <c r="L51" s="1">
        <f t="shared" si="0"/>
        <v>72887.599999999991</v>
      </c>
    </row>
    <row r="52" spans="1:12" x14ac:dyDescent="0.25">
      <c r="A52" s="7" t="s">
        <v>74</v>
      </c>
      <c r="B52" s="7" t="s">
        <v>17</v>
      </c>
      <c r="C52" s="7" t="s">
        <v>50</v>
      </c>
      <c r="D52" s="7" t="s">
        <v>13</v>
      </c>
      <c r="E52" s="7" t="s">
        <v>14</v>
      </c>
      <c r="F52" s="7" t="s">
        <v>28</v>
      </c>
      <c r="G52" s="1">
        <v>44972</v>
      </c>
      <c r="H52" s="7">
        <v>246</v>
      </c>
      <c r="I52" s="7">
        <v>254.9</v>
      </c>
      <c r="J52" s="7">
        <v>33.83</v>
      </c>
      <c r="K52" s="18">
        <f>$H52*$I52</f>
        <v>62705.4</v>
      </c>
      <c r="L52" s="1">
        <f t="shared" si="0"/>
        <v>54383.22</v>
      </c>
    </row>
    <row r="53" spans="1:12" x14ac:dyDescent="0.25">
      <c r="A53" s="7" t="s">
        <v>75</v>
      </c>
      <c r="B53" s="7" t="s">
        <v>17</v>
      </c>
      <c r="C53" s="7" t="s">
        <v>18</v>
      </c>
      <c r="D53" s="7" t="s">
        <v>23</v>
      </c>
      <c r="E53" s="7" t="s">
        <v>14</v>
      </c>
      <c r="F53" s="7" t="s">
        <v>28</v>
      </c>
      <c r="G53" s="1">
        <v>44973</v>
      </c>
      <c r="H53" s="7">
        <v>298</v>
      </c>
      <c r="I53" s="7">
        <v>273.93</v>
      </c>
      <c r="J53" s="7">
        <v>311.14</v>
      </c>
      <c r="K53" s="18">
        <f>$H53*$I53</f>
        <v>81631.14</v>
      </c>
      <c r="L53" s="1">
        <f t="shared" si="0"/>
        <v>-11088.579999999994</v>
      </c>
    </row>
    <row r="54" spans="1:12" x14ac:dyDescent="0.25">
      <c r="A54" s="7" t="s">
        <v>76</v>
      </c>
      <c r="B54" s="7" t="s">
        <v>11</v>
      </c>
      <c r="C54" s="7" t="s">
        <v>12</v>
      </c>
      <c r="D54" s="7" t="s">
        <v>42</v>
      </c>
      <c r="E54" s="7" t="s">
        <v>24</v>
      </c>
      <c r="F54" s="7" t="s">
        <v>28</v>
      </c>
      <c r="G54" s="1">
        <v>44974</v>
      </c>
      <c r="H54" s="7">
        <v>271</v>
      </c>
      <c r="I54" s="7">
        <v>259.43</v>
      </c>
      <c r="J54" s="7">
        <v>50.57</v>
      </c>
      <c r="K54" s="18">
        <f>$H54*$I54</f>
        <v>70305.53</v>
      </c>
      <c r="L54" s="1">
        <f t="shared" si="0"/>
        <v>56601.060000000005</v>
      </c>
    </row>
    <row r="55" spans="1:12" x14ac:dyDescent="0.25">
      <c r="A55" s="7" t="s">
        <v>77</v>
      </c>
      <c r="B55" s="7" t="s">
        <v>48</v>
      </c>
      <c r="C55" s="7" t="s">
        <v>18</v>
      </c>
      <c r="D55" s="7" t="s">
        <v>23</v>
      </c>
      <c r="E55" s="7" t="s">
        <v>24</v>
      </c>
      <c r="F55" s="7" t="s">
        <v>15</v>
      </c>
      <c r="G55" s="1">
        <v>44975</v>
      </c>
      <c r="H55" s="7">
        <v>225</v>
      </c>
      <c r="I55" s="7">
        <v>296.08999999999997</v>
      </c>
      <c r="J55" s="7">
        <v>238.53</v>
      </c>
      <c r="K55" s="18">
        <f>$H55*$I55</f>
        <v>66620.25</v>
      </c>
      <c r="L55" s="1">
        <f t="shared" si="0"/>
        <v>12950.999999999995</v>
      </c>
    </row>
    <row r="56" spans="1:12" x14ac:dyDescent="0.25">
      <c r="A56" s="7" t="s">
        <v>78</v>
      </c>
      <c r="B56" s="7" t="s">
        <v>48</v>
      </c>
      <c r="C56" s="7" t="s">
        <v>12</v>
      </c>
      <c r="D56" s="7" t="s">
        <v>19</v>
      </c>
      <c r="E56" s="7" t="s">
        <v>14</v>
      </c>
      <c r="F56" s="7" t="s">
        <v>15</v>
      </c>
      <c r="G56" s="1">
        <v>44976</v>
      </c>
      <c r="H56" s="7">
        <v>156</v>
      </c>
      <c r="I56" s="7">
        <v>19.55</v>
      </c>
      <c r="J56" s="7">
        <v>374.71</v>
      </c>
      <c r="K56" s="18">
        <f>$H56*$I56</f>
        <v>3049.8</v>
      </c>
      <c r="L56" s="1">
        <f t="shared" si="0"/>
        <v>-55404.959999999992</v>
      </c>
    </row>
    <row r="57" spans="1:12" x14ac:dyDescent="0.25">
      <c r="A57" s="7" t="s">
        <v>79</v>
      </c>
      <c r="B57" s="7" t="s">
        <v>11</v>
      </c>
      <c r="C57" s="7" t="s">
        <v>18</v>
      </c>
      <c r="D57" s="7" t="s">
        <v>27</v>
      </c>
      <c r="E57" s="7" t="s">
        <v>14</v>
      </c>
      <c r="F57" s="7" t="s">
        <v>28</v>
      </c>
      <c r="G57" s="1">
        <v>44977</v>
      </c>
      <c r="H57" s="7">
        <v>345</v>
      </c>
      <c r="I57" s="7">
        <v>200.78</v>
      </c>
      <c r="J57" s="7">
        <v>350.69</v>
      </c>
      <c r="K57" s="18">
        <f>$H57*$I57</f>
        <v>69269.100000000006</v>
      </c>
      <c r="L57" s="1">
        <f t="shared" si="0"/>
        <v>-51718.95</v>
      </c>
    </row>
    <row r="58" spans="1:12" x14ac:dyDescent="0.25">
      <c r="A58" s="7" t="s">
        <v>80</v>
      </c>
      <c r="B58" s="7" t="s">
        <v>48</v>
      </c>
      <c r="C58" s="7" t="s">
        <v>50</v>
      </c>
      <c r="D58" s="7" t="s">
        <v>19</v>
      </c>
      <c r="E58" s="7" t="s">
        <v>14</v>
      </c>
      <c r="F58" s="7" t="s">
        <v>20</v>
      </c>
      <c r="G58" s="1">
        <v>44978</v>
      </c>
      <c r="H58" s="7">
        <v>177</v>
      </c>
      <c r="I58" s="7">
        <v>305.06</v>
      </c>
      <c r="J58" s="7">
        <v>112.55</v>
      </c>
      <c r="K58" s="18">
        <f>$H58*$I58</f>
        <v>53995.62</v>
      </c>
      <c r="L58" s="1">
        <f t="shared" si="0"/>
        <v>34074.269999999997</v>
      </c>
    </row>
    <row r="59" spans="1:12" x14ac:dyDescent="0.25">
      <c r="A59" s="7" t="s">
        <v>81</v>
      </c>
      <c r="B59" s="7" t="s">
        <v>11</v>
      </c>
      <c r="C59" s="7" t="s">
        <v>12</v>
      </c>
      <c r="D59" s="7" t="s">
        <v>19</v>
      </c>
      <c r="E59" s="7" t="s">
        <v>24</v>
      </c>
      <c r="F59" s="7" t="s">
        <v>15</v>
      </c>
      <c r="G59" s="1">
        <v>44979</v>
      </c>
      <c r="H59" s="7">
        <v>101</v>
      </c>
      <c r="I59" s="7">
        <v>300.87</v>
      </c>
      <c r="J59" s="7">
        <v>340.88</v>
      </c>
      <c r="K59" s="18">
        <f>$H59*$I59</f>
        <v>30387.87</v>
      </c>
      <c r="L59" s="1">
        <f t="shared" si="0"/>
        <v>-4041.0099999999993</v>
      </c>
    </row>
    <row r="60" spans="1:12" x14ac:dyDescent="0.25">
      <c r="A60" s="7" t="s">
        <v>82</v>
      </c>
      <c r="B60" s="7" t="s">
        <v>17</v>
      </c>
      <c r="C60" s="7" t="s">
        <v>31</v>
      </c>
      <c r="D60" s="7" t="s">
        <v>13</v>
      </c>
      <c r="E60" s="7" t="s">
        <v>24</v>
      </c>
      <c r="F60" s="7" t="s">
        <v>20</v>
      </c>
      <c r="G60" s="1">
        <v>44980</v>
      </c>
      <c r="H60" s="7">
        <v>362</v>
      </c>
      <c r="I60" s="7">
        <v>397.51</v>
      </c>
      <c r="J60" s="7">
        <v>2.13</v>
      </c>
      <c r="K60" s="18">
        <f>$H60*$I60</f>
        <v>143898.62</v>
      </c>
      <c r="L60" s="1">
        <f t="shared" si="0"/>
        <v>143127.56</v>
      </c>
    </row>
    <row r="61" spans="1:12" x14ac:dyDescent="0.25">
      <c r="A61" s="7" t="s">
        <v>83</v>
      </c>
      <c r="B61" s="7" t="s">
        <v>11</v>
      </c>
      <c r="C61" s="7" t="s">
        <v>18</v>
      </c>
      <c r="D61" s="7" t="s">
        <v>27</v>
      </c>
      <c r="E61" s="7" t="s">
        <v>24</v>
      </c>
      <c r="F61" s="7" t="s">
        <v>28</v>
      </c>
      <c r="G61" s="1">
        <v>44981</v>
      </c>
      <c r="H61" s="7">
        <v>68</v>
      </c>
      <c r="I61" s="7">
        <v>329.23</v>
      </c>
      <c r="J61" s="7">
        <v>9.0399999999999991</v>
      </c>
      <c r="K61" s="18">
        <f>$H61*$I61</f>
        <v>22387.64</v>
      </c>
      <c r="L61" s="1">
        <f t="shared" si="0"/>
        <v>21772.92</v>
      </c>
    </row>
    <row r="62" spans="1:12" x14ac:dyDescent="0.25">
      <c r="A62" s="7" t="s">
        <v>84</v>
      </c>
      <c r="B62" s="7" t="s">
        <v>17</v>
      </c>
      <c r="C62" s="7" t="s">
        <v>18</v>
      </c>
      <c r="D62" s="7" t="s">
        <v>19</v>
      </c>
      <c r="E62" s="7" t="s">
        <v>24</v>
      </c>
      <c r="F62" s="7" t="s">
        <v>28</v>
      </c>
      <c r="G62" s="1">
        <v>44982</v>
      </c>
      <c r="H62" s="7">
        <v>68</v>
      </c>
      <c r="I62" s="7">
        <v>496.11</v>
      </c>
      <c r="J62" s="7">
        <v>241.82</v>
      </c>
      <c r="K62" s="18">
        <f>$H62*$I62</f>
        <v>33735.480000000003</v>
      </c>
      <c r="L62" s="1">
        <f t="shared" si="0"/>
        <v>17291.72</v>
      </c>
    </row>
    <row r="63" spans="1:12" x14ac:dyDescent="0.25">
      <c r="A63" s="7" t="s">
        <v>85</v>
      </c>
      <c r="B63" s="7" t="s">
        <v>17</v>
      </c>
      <c r="C63" s="7" t="s">
        <v>12</v>
      </c>
      <c r="D63" s="7" t="s">
        <v>19</v>
      </c>
      <c r="E63" s="7" t="s">
        <v>14</v>
      </c>
      <c r="F63" s="7" t="s">
        <v>15</v>
      </c>
      <c r="G63" s="1">
        <v>44983</v>
      </c>
      <c r="H63" s="7">
        <v>313</v>
      </c>
      <c r="I63" s="7">
        <v>145.51</v>
      </c>
      <c r="J63" s="7">
        <v>147.19</v>
      </c>
      <c r="K63" s="18">
        <f>$H63*$I63</f>
        <v>45544.63</v>
      </c>
      <c r="L63" s="1">
        <f t="shared" si="0"/>
        <v>-525.84000000000219</v>
      </c>
    </row>
    <row r="64" spans="1:12" x14ac:dyDescent="0.25">
      <c r="A64" s="7" t="s">
        <v>86</v>
      </c>
      <c r="B64" s="7" t="s">
        <v>22</v>
      </c>
      <c r="C64" s="7" t="s">
        <v>31</v>
      </c>
      <c r="D64" s="7" t="s">
        <v>27</v>
      </c>
      <c r="E64" s="7" t="s">
        <v>14</v>
      </c>
      <c r="F64" s="7" t="s">
        <v>28</v>
      </c>
      <c r="G64" s="1">
        <v>44984</v>
      </c>
      <c r="H64" s="7">
        <v>178</v>
      </c>
      <c r="I64" s="7">
        <v>182.78</v>
      </c>
      <c r="J64" s="7">
        <v>155.81</v>
      </c>
      <c r="K64" s="18">
        <f>$H64*$I64</f>
        <v>32534.84</v>
      </c>
      <c r="L64" s="1">
        <f t="shared" si="0"/>
        <v>4800.66</v>
      </c>
    </row>
    <row r="65" spans="1:12" x14ac:dyDescent="0.25">
      <c r="A65" s="7" t="s">
        <v>87</v>
      </c>
      <c r="B65" s="7" t="s">
        <v>11</v>
      </c>
      <c r="C65" s="7" t="s">
        <v>31</v>
      </c>
      <c r="D65" s="7" t="s">
        <v>27</v>
      </c>
      <c r="E65" s="7" t="s">
        <v>14</v>
      </c>
      <c r="F65" s="7" t="s">
        <v>15</v>
      </c>
      <c r="G65" s="1">
        <v>44985</v>
      </c>
      <c r="H65" s="7">
        <v>278</v>
      </c>
      <c r="I65" s="7">
        <v>195</v>
      </c>
      <c r="J65" s="7">
        <v>226.65</v>
      </c>
      <c r="K65" s="18">
        <f>$H65*$I65</f>
        <v>54210</v>
      </c>
      <c r="L65" s="1">
        <f t="shared" si="0"/>
        <v>-8798.7000000000007</v>
      </c>
    </row>
    <row r="66" spans="1:12" x14ac:dyDescent="0.25">
      <c r="A66" s="7" t="s">
        <v>88</v>
      </c>
      <c r="B66" s="7" t="s">
        <v>22</v>
      </c>
      <c r="C66" s="7" t="s">
        <v>50</v>
      </c>
      <c r="D66" s="7" t="s">
        <v>19</v>
      </c>
      <c r="E66" s="7" t="s">
        <v>14</v>
      </c>
      <c r="F66" s="7" t="s">
        <v>28</v>
      </c>
      <c r="G66" s="1">
        <v>44986</v>
      </c>
      <c r="H66" s="7">
        <v>372</v>
      </c>
      <c r="I66" s="7">
        <v>235.58</v>
      </c>
      <c r="J66" s="7">
        <v>78.33</v>
      </c>
      <c r="K66" s="18">
        <f>$H66*$I66</f>
        <v>87635.760000000009</v>
      </c>
      <c r="L66" s="1">
        <f t="shared" si="0"/>
        <v>58497</v>
      </c>
    </row>
    <row r="67" spans="1:12" x14ac:dyDescent="0.25">
      <c r="A67" s="7" t="s">
        <v>89</v>
      </c>
      <c r="B67" s="7" t="s">
        <v>11</v>
      </c>
      <c r="C67" s="7" t="s">
        <v>31</v>
      </c>
      <c r="D67" s="7" t="s">
        <v>27</v>
      </c>
      <c r="E67" s="7" t="s">
        <v>24</v>
      </c>
      <c r="F67" s="7" t="s">
        <v>28</v>
      </c>
      <c r="G67" s="1">
        <v>44987</v>
      </c>
      <c r="H67" s="7">
        <v>54</v>
      </c>
      <c r="I67" s="7">
        <v>418.82</v>
      </c>
      <c r="J67" s="7">
        <v>86.28</v>
      </c>
      <c r="K67" s="18">
        <f>$H67*$I67</f>
        <v>22616.28</v>
      </c>
      <c r="L67" s="1">
        <f t="shared" si="0"/>
        <v>17957.159999999996</v>
      </c>
    </row>
    <row r="68" spans="1:12" x14ac:dyDescent="0.25">
      <c r="A68" s="7" t="s">
        <v>90</v>
      </c>
      <c r="B68" s="7" t="s">
        <v>11</v>
      </c>
      <c r="C68" s="7" t="s">
        <v>31</v>
      </c>
      <c r="D68" s="7" t="s">
        <v>19</v>
      </c>
      <c r="E68" s="7" t="s">
        <v>24</v>
      </c>
      <c r="F68" s="7" t="s">
        <v>15</v>
      </c>
      <c r="G68" s="1">
        <v>44988</v>
      </c>
      <c r="H68" s="7">
        <v>354</v>
      </c>
      <c r="I68" s="7">
        <v>121.72</v>
      </c>
      <c r="J68" s="7">
        <v>194.87</v>
      </c>
      <c r="K68" s="18">
        <f>$H68*$I68</f>
        <v>43088.88</v>
      </c>
      <c r="L68" s="1">
        <f t="shared" si="0"/>
        <v>-25895.100000000002</v>
      </c>
    </row>
    <row r="69" spans="1:12" x14ac:dyDescent="0.25">
      <c r="A69" s="7" t="s">
        <v>91</v>
      </c>
      <c r="B69" s="7" t="s">
        <v>22</v>
      </c>
      <c r="C69" s="7" t="s">
        <v>31</v>
      </c>
      <c r="D69" s="7" t="s">
        <v>19</v>
      </c>
      <c r="E69" s="7" t="s">
        <v>14</v>
      </c>
      <c r="F69" s="7" t="s">
        <v>15</v>
      </c>
      <c r="G69" s="1">
        <v>44989</v>
      </c>
      <c r="H69" s="7">
        <v>190</v>
      </c>
      <c r="I69" s="7">
        <v>389.12</v>
      </c>
      <c r="J69" s="7">
        <v>302.19</v>
      </c>
      <c r="K69" s="18">
        <f>$H69*$I69</f>
        <v>73932.800000000003</v>
      </c>
      <c r="L69" s="1">
        <f t="shared" si="0"/>
        <v>16516.7</v>
      </c>
    </row>
    <row r="70" spans="1:12" x14ac:dyDescent="0.25">
      <c r="A70" s="7" t="s">
        <v>92</v>
      </c>
      <c r="B70" s="7" t="s">
        <v>22</v>
      </c>
      <c r="C70" s="7" t="s">
        <v>26</v>
      </c>
      <c r="D70" s="7" t="s">
        <v>13</v>
      </c>
      <c r="E70" s="7" t="s">
        <v>14</v>
      </c>
      <c r="F70" s="7" t="s">
        <v>15</v>
      </c>
      <c r="G70" s="1">
        <v>44990</v>
      </c>
      <c r="H70" s="7">
        <v>179</v>
      </c>
      <c r="I70" s="7">
        <v>205.63</v>
      </c>
      <c r="J70" s="7">
        <v>248.56</v>
      </c>
      <c r="K70" s="18">
        <f>$H70*$I70</f>
        <v>36807.769999999997</v>
      </c>
      <c r="L70" s="1">
        <f t="shared" si="0"/>
        <v>-7684.4700000000012</v>
      </c>
    </row>
    <row r="71" spans="1:12" x14ac:dyDescent="0.25">
      <c r="A71" s="7" t="s">
        <v>93</v>
      </c>
      <c r="B71" s="7" t="s">
        <v>11</v>
      </c>
      <c r="C71" s="7" t="s">
        <v>50</v>
      </c>
      <c r="D71" s="7" t="s">
        <v>42</v>
      </c>
      <c r="E71" s="7" t="s">
        <v>24</v>
      </c>
      <c r="F71" s="7" t="s">
        <v>28</v>
      </c>
      <c r="G71" s="1">
        <v>44991</v>
      </c>
      <c r="H71" s="7">
        <v>365</v>
      </c>
      <c r="I71" s="7">
        <v>302.92</v>
      </c>
      <c r="J71" s="7">
        <v>120.35</v>
      </c>
      <c r="K71" s="18">
        <f>$H71*$I71</f>
        <v>110565.8</v>
      </c>
      <c r="L71" s="1">
        <f t="shared" si="0"/>
        <v>66638.05</v>
      </c>
    </row>
    <row r="72" spans="1:12" x14ac:dyDescent="0.25">
      <c r="A72" s="7" t="s">
        <v>94</v>
      </c>
      <c r="B72" s="7" t="s">
        <v>48</v>
      </c>
      <c r="C72" s="7" t="s">
        <v>18</v>
      </c>
      <c r="D72" s="7" t="s">
        <v>19</v>
      </c>
      <c r="E72" s="7" t="s">
        <v>14</v>
      </c>
      <c r="F72" s="7" t="s">
        <v>28</v>
      </c>
      <c r="G72" s="1">
        <v>44992</v>
      </c>
      <c r="H72" s="7">
        <v>200</v>
      </c>
      <c r="I72" s="7">
        <v>318.11</v>
      </c>
      <c r="J72" s="7">
        <v>173.27</v>
      </c>
      <c r="K72" s="18">
        <f>$H72*$I72</f>
        <v>63622</v>
      </c>
      <c r="L72" s="1">
        <f t="shared" ref="L72:L135" si="1">($I72-$J72)*$H72</f>
        <v>28968</v>
      </c>
    </row>
    <row r="73" spans="1:12" x14ac:dyDescent="0.25">
      <c r="A73" s="7" t="s">
        <v>95</v>
      </c>
      <c r="B73" s="7" t="s">
        <v>17</v>
      </c>
      <c r="C73" s="7" t="s">
        <v>12</v>
      </c>
      <c r="D73" s="7" t="s">
        <v>23</v>
      </c>
      <c r="E73" s="7" t="s">
        <v>24</v>
      </c>
      <c r="F73" s="7" t="s">
        <v>20</v>
      </c>
      <c r="G73" s="1">
        <v>44993</v>
      </c>
      <c r="H73" s="7">
        <v>164</v>
      </c>
      <c r="I73" s="7">
        <v>189.56</v>
      </c>
      <c r="J73" s="7">
        <v>69.92</v>
      </c>
      <c r="K73" s="18">
        <f>$H73*$I73</f>
        <v>31087.84</v>
      </c>
      <c r="L73" s="1">
        <f t="shared" si="1"/>
        <v>19620.96</v>
      </c>
    </row>
    <row r="74" spans="1:12" x14ac:dyDescent="0.25">
      <c r="A74" s="7" t="s">
        <v>96</v>
      </c>
      <c r="B74" s="7" t="s">
        <v>22</v>
      </c>
      <c r="C74" s="7" t="s">
        <v>18</v>
      </c>
      <c r="D74" s="7" t="s">
        <v>42</v>
      </c>
      <c r="E74" s="7" t="s">
        <v>14</v>
      </c>
      <c r="F74" s="7" t="s">
        <v>15</v>
      </c>
      <c r="G74" s="1">
        <v>44994</v>
      </c>
      <c r="H74" s="7">
        <v>431</v>
      </c>
      <c r="I74" s="7">
        <v>258.74</v>
      </c>
      <c r="J74" s="7">
        <v>31.7</v>
      </c>
      <c r="K74" s="18">
        <f>$H74*$I74</f>
        <v>111516.94</v>
      </c>
      <c r="L74" s="1">
        <f t="shared" si="1"/>
        <v>97854.24</v>
      </c>
    </row>
    <row r="75" spans="1:12" x14ac:dyDescent="0.25">
      <c r="A75" s="7" t="s">
        <v>97</v>
      </c>
      <c r="B75" s="7" t="s">
        <v>17</v>
      </c>
      <c r="C75" s="7" t="s">
        <v>50</v>
      </c>
      <c r="D75" s="7" t="s">
        <v>42</v>
      </c>
      <c r="E75" s="7" t="s">
        <v>14</v>
      </c>
      <c r="F75" s="7" t="s">
        <v>28</v>
      </c>
      <c r="G75" s="1">
        <v>44995</v>
      </c>
      <c r="H75" s="7">
        <v>197</v>
      </c>
      <c r="I75" s="7">
        <v>209.45</v>
      </c>
      <c r="J75" s="7">
        <v>313.51</v>
      </c>
      <c r="K75" s="18">
        <f>$H75*$I75</f>
        <v>41261.649999999994</v>
      </c>
      <c r="L75" s="1">
        <f t="shared" si="1"/>
        <v>-20499.82</v>
      </c>
    </row>
    <row r="76" spans="1:12" x14ac:dyDescent="0.25">
      <c r="A76" s="7" t="s">
        <v>98</v>
      </c>
      <c r="B76" s="7" t="s">
        <v>48</v>
      </c>
      <c r="C76" s="7" t="s">
        <v>12</v>
      </c>
      <c r="D76" s="7" t="s">
        <v>42</v>
      </c>
      <c r="E76" s="7" t="s">
        <v>14</v>
      </c>
      <c r="F76" s="7" t="s">
        <v>28</v>
      </c>
      <c r="G76" s="1">
        <v>44996</v>
      </c>
      <c r="H76" s="7">
        <v>16</v>
      </c>
      <c r="I76" s="7">
        <v>39.22</v>
      </c>
      <c r="J76" s="7">
        <v>107.62</v>
      </c>
      <c r="K76" s="18">
        <f>$H76*$I76</f>
        <v>627.52</v>
      </c>
      <c r="L76" s="1">
        <f t="shared" si="1"/>
        <v>-1094.4000000000001</v>
      </c>
    </row>
    <row r="77" spans="1:12" x14ac:dyDescent="0.25">
      <c r="A77" s="7" t="s">
        <v>99</v>
      </c>
      <c r="B77" s="7" t="s">
        <v>48</v>
      </c>
      <c r="C77" s="7" t="s">
        <v>50</v>
      </c>
      <c r="D77" s="7" t="s">
        <v>13</v>
      </c>
      <c r="E77" s="7" t="s">
        <v>14</v>
      </c>
      <c r="F77" s="7" t="s">
        <v>15</v>
      </c>
      <c r="G77" s="1">
        <v>44997</v>
      </c>
      <c r="H77" s="7">
        <v>142</v>
      </c>
      <c r="I77" s="7">
        <v>221.4</v>
      </c>
      <c r="J77" s="7">
        <v>72.75</v>
      </c>
      <c r="K77" s="18">
        <f>$H77*$I77</f>
        <v>31438.799999999999</v>
      </c>
      <c r="L77" s="1">
        <f t="shared" si="1"/>
        <v>21108.3</v>
      </c>
    </row>
    <row r="78" spans="1:12" x14ac:dyDescent="0.25">
      <c r="A78" s="7" t="s">
        <v>100</v>
      </c>
      <c r="B78" s="7" t="s">
        <v>48</v>
      </c>
      <c r="C78" s="7" t="s">
        <v>31</v>
      </c>
      <c r="D78" s="7" t="s">
        <v>19</v>
      </c>
      <c r="E78" s="7" t="s">
        <v>14</v>
      </c>
      <c r="F78" s="7" t="s">
        <v>20</v>
      </c>
      <c r="G78" s="1">
        <v>44998</v>
      </c>
      <c r="H78" s="7">
        <v>244</v>
      </c>
      <c r="I78" s="7">
        <v>53.21</v>
      </c>
      <c r="J78" s="7">
        <v>277.26</v>
      </c>
      <c r="K78" s="18">
        <f>$H78*$I78</f>
        <v>12983.24</v>
      </c>
      <c r="L78" s="1">
        <f t="shared" si="1"/>
        <v>-54668.2</v>
      </c>
    </row>
    <row r="79" spans="1:12" x14ac:dyDescent="0.25">
      <c r="A79" s="7" t="s">
        <v>101</v>
      </c>
      <c r="B79" s="7" t="s">
        <v>22</v>
      </c>
      <c r="C79" s="7" t="s">
        <v>12</v>
      </c>
      <c r="D79" s="7" t="s">
        <v>13</v>
      </c>
      <c r="E79" s="7" t="s">
        <v>14</v>
      </c>
      <c r="F79" s="7" t="s">
        <v>15</v>
      </c>
      <c r="G79" s="1">
        <v>44999</v>
      </c>
      <c r="H79" s="7">
        <v>54</v>
      </c>
      <c r="I79" s="7">
        <v>205.49</v>
      </c>
      <c r="J79" s="7">
        <v>247.98</v>
      </c>
      <c r="K79" s="18">
        <f>$H79*$I79</f>
        <v>11096.460000000001</v>
      </c>
      <c r="L79" s="1">
        <f t="shared" si="1"/>
        <v>-2294.4599999999991</v>
      </c>
    </row>
    <row r="80" spans="1:12" x14ac:dyDescent="0.25">
      <c r="A80" s="7" t="s">
        <v>102</v>
      </c>
      <c r="B80" s="7" t="s">
        <v>48</v>
      </c>
      <c r="C80" s="7" t="s">
        <v>31</v>
      </c>
      <c r="D80" s="7" t="s">
        <v>19</v>
      </c>
      <c r="E80" s="7" t="s">
        <v>14</v>
      </c>
      <c r="F80" s="7" t="s">
        <v>20</v>
      </c>
      <c r="G80" s="1">
        <v>45000</v>
      </c>
      <c r="H80" s="7">
        <v>323</v>
      </c>
      <c r="I80" s="7">
        <v>298.49</v>
      </c>
      <c r="J80" s="7">
        <v>254.01</v>
      </c>
      <c r="K80" s="18">
        <f>$H80*$I80</f>
        <v>96412.27</v>
      </c>
      <c r="L80" s="1">
        <f t="shared" si="1"/>
        <v>14367.040000000006</v>
      </c>
    </row>
    <row r="81" spans="1:12" x14ac:dyDescent="0.25">
      <c r="A81" s="7" t="s">
        <v>103</v>
      </c>
      <c r="B81" s="7" t="s">
        <v>22</v>
      </c>
      <c r="C81" s="7" t="s">
        <v>18</v>
      </c>
      <c r="D81" s="7" t="s">
        <v>13</v>
      </c>
      <c r="E81" s="7" t="s">
        <v>24</v>
      </c>
      <c r="F81" s="7" t="s">
        <v>28</v>
      </c>
      <c r="G81" s="1">
        <v>45001</v>
      </c>
      <c r="H81" s="7">
        <v>258</v>
      </c>
      <c r="I81" s="7">
        <v>291.81</v>
      </c>
      <c r="J81" s="7">
        <v>93.1</v>
      </c>
      <c r="K81" s="18">
        <f>$H81*$I81</f>
        <v>75286.98</v>
      </c>
      <c r="L81" s="1">
        <f t="shared" si="1"/>
        <v>51267.18</v>
      </c>
    </row>
    <row r="82" spans="1:12" x14ac:dyDescent="0.25">
      <c r="A82" s="7" t="s">
        <v>104</v>
      </c>
      <c r="B82" s="7" t="s">
        <v>48</v>
      </c>
      <c r="C82" s="7" t="s">
        <v>18</v>
      </c>
      <c r="D82" s="7" t="s">
        <v>13</v>
      </c>
      <c r="E82" s="7" t="s">
        <v>24</v>
      </c>
      <c r="F82" s="7" t="s">
        <v>20</v>
      </c>
      <c r="G82" s="1">
        <v>45002</v>
      </c>
      <c r="H82" s="7">
        <v>40</v>
      </c>
      <c r="I82" s="7">
        <v>333</v>
      </c>
      <c r="J82" s="7">
        <v>94.59</v>
      </c>
      <c r="K82" s="18">
        <f>$H82*$I82</f>
        <v>13320</v>
      </c>
      <c r="L82" s="1">
        <f t="shared" si="1"/>
        <v>9536.4</v>
      </c>
    </row>
    <row r="83" spans="1:12" x14ac:dyDescent="0.25">
      <c r="A83" s="7" t="s">
        <v>105</v>
      </c>
      <c r="B83" s="7" t="s">
        <v>17</v>
      </c>
      <c r="C83" s="7" t="s">
        <v>12</v>
      </c>
      <c r="D83" s="7" t="s">
        <v>23</v>
      </c>
      <c r="E83" s="7" t="s">
        <v>24</v>
      </c>
      <c r="F83" s="7" t="s">
        <v>28</v>
      </c>
      <c r="G83" s="1">
        <v>45003</v>
      </c>
      <c r="H83" s="7">
        <v>32</v>
      </c>
      <c r="I83" s="7">
        <v>52.15</v>
      </c>
      <c r="J83" s="7">
        <v>89.88</v>
      </c>
      <c r="K83" s="18">
        <f>$H83*$I83</f>
        <v>1668.8</v>
      </c>
      <c r="L83" s="1">
        <f t="shared" si="1"/>
        <v>-1207.3599999999999</v>
      </c>
    </row>
    <row r="84" spans="1:12" x14ac:dyDescent="0.25">
      <c r="A84" s="7" t="s">
        <v>106</v>
      </c>
      <c r="B84" s="7" t="s">
        <v>17</v>
      </c>
      <c r="C84" s="7" t="s">
        <v>12</v>
      </c>
      <c r="D84" s="7" t="s">
        <v>13</v>
      </c>
      <c r="E84" s="7" t="s">
        <v>24</v>
      </c>
      <c r="F84" s="7" t="s">
        <v>15</v>
      </c>
      <c r="G84" s="1">
        <v>45004</v>
      </c>
      <c r="H84" s="7">
        <v>435</v>
      </c>
      <c r="I84" s="7">
        <v>327.8</v>
      </c>
      <c r="J84" s="7">
        <v>71.150000000000006</v>
      </c>
      <c r="K84" s="18">
        <f>$H84*$I84</f>
        <v>142593</v>
      </c>
      <c r="L84" s="1">
        <f t="shared" si="1"/>
        <v>111642.74999999999</v>
      </c>
    </row>
    <row r="85" spans="1:12" x14ac:dyDescent="0.25">
      <c r="A85" s="7" t="s">
        <v>107</v>
      </c>
      <c r="B85" s="7" t="s">
        <v>11</v>
      </c>
      <c r="C85" s="7" t="s">
        <v>50</v>
      </c>
      <c r="D85" s="7" t="s">
        <v>27</v>
      </c>
      <c r="E85" s="7" t="s">
        <v>24</v>
      </c>
      <c r="F85" s="7" t="s">
        <v>15</v>
      </c>
      <c r="G85" s="1">
        <v>45005</v>
      </c>
      <c r="H85" s="7">
        <v>403</v>
      </c>
      <c r="I85" s="7">
        <v>159.51</v>
      </c>
      <c r="J85" s="7">
        <v>262.98</v>
      </c>
      <c r="K85" s="18">
        <f>$H85*$I85</f>
        <v>64282.53</v>
      </c>
      <c r="L85" s="1">
        <f t="shared" si="1"/>
        <v>-41698.410000000011</v>
      </c>
    </row>
    <row r="86" spans="1:12" x14ac:dyDescent="0.25">
      <c r="A86" s="7" t="s">
        <v>108</v>
      </c>
      <c r="B86" s="7" t="s">
        <v>17</v>
      </c>
      <c r="C86" s="7" t="s">
        <v>50</v>
      </c>
      <c r="D86" s="7" t="s">
        <v>23</v>
      </c>
      <c r="E86" s="7" t="s">
        <v>14</v>
      </c>
      <c r="F86" s="7" t="s">
        <v>15</v>
      </c>
      <c r="G86" s="1">
        <v>45006</v>
      </c>
      <c r="H86" s="7">
        <v>169</v>
      </c>
      <c r="I86" s="7">
        <v>249.64</v>
      </c>
      <c r="J86" s="7">
        <v>339.51</v>
      </c>
      <c r="K86" s="18">
        <f>$H86*$I86</f>
        <v>42189.159999999996</v>
      </c>
      <c r="L86" s="1">
        <f t="shared" si="1"/>
        <v>-15188.03</v>
      </c>
    </row>
    <row r="87" spans="1:12" x14ac:dyDescent="0.25">
      <c r="A87" s="7" t="s">
        <v>109</v>
      </c>
      <c r="B87" s="7" t="s">
        <v>11</v>
      </c>
      <c r="C87" s="7" t="s">
        <v>31</v>
      </c>
      <c r="D87" s="7" t="s">
        <v>13</v>
      </c>
      <c r="E87" s="7" t="s">
        <v>14</v>
      </c>
      <c r="F87" s="7" t="s">
        <v>20</v>
      </c>
      <c r="G87" s="1">
        <v>45007</v>
      </c>
      <c r="H87" s="7">
        <v>372</v>
      </c>
      <c r="I87" s="7">
        <v>429.7</v>
      </c>
      <c r="J87" s="7">
        <v>290.27999999999997</v>
      </c>
      <c r="K87" s="18">
        <f>$H87*$I87</f>
        <v>159848.4</v>
      </c>
      <c r="L87" s="1">
        <f t="shared" si="1"/>
        <v>51864.240000000005</v>
      </c>
    </row>
    <row r="88" spans="1:12" x14ac:dyDescent="0.25">
      <c r="A88" s="7" t="s">
        <v>110</v>
      </c>
      <c r="B88" s="7" t="s">
        <v>17</v>
      </c>
      <c r="C88" s="7" t="s">
        <v>12</v>
      </c>
      <c r="D88" s="7" t="s">
        <v>42</v>
      </c>
      <c r="E88" s="7" t="s">
        <v>24</v>
      </c>
      <c r="F88" s="7" t="s">
        <v>28</v>
      </c>
      <c r="G88" s="1">
        <v>45008</v>
      </c>
      <c r="H88" s="7">
        <v>446</v>
      </c>
      <c r="I88" s="7">
        <v>9.4700000000000006</v>
      </c>
      <c r="J88" s="7">
        <v>317.25</v>
      </c>
      <c r="K88" s="18">
        <f>$H88*$I88</f>
        <v>4223.62</v>
      </c>
      <c r="L88" s="1">
        <f t="shared" si="1"/>
        <v>-137269.87999999998</v>
      </c>
    </row>
    <row r="89" spans="1:12" x14ac:dyDescent="0.25">
      <c r="A89" s="7" t="s">
        <v>111</v>
      </c>
      <c r="B89" s="7" t="s">
        <v>22</v>
      </c>
      <c r="C89" s="7" t="s">
        <v>18</v>
      </c>
      <c r="D89" s="7" t="s">
        <v>27</v>
      </c>
      <c r="E89" s="7" t="s">
        <v>14</v>
      </c>
      <c r="F89" s="7" t="s">
        <v>15</v>
      </c>
      <c r="G89" s="1">
        <v>45009</v>
      </c>
      <c r="H89" s="7">
        <v>167</v>
      </c>
      <c r="I89" s="7">
        <v>296.26</v>
      </c>
      <c r="J89" s="7">
        <v>163.11000000000001</v>
      </c>
      <c r="K89" s="18">
        <f>$H89*$I89</f>
        <v>49475.42</v>
      </c>
      <c r="L89" s="1">
        <f t="shared" si="1"/>
        <v>22236.049999999996</v>
      </c>
    </row>
    <row r="90" spans="1:12" x14ac:dyDescent="0.25">
      <c r="A90" s="7" t="s">
        <v>112</v>
      </c>
      <c r="B90" s="7" t="s">
        <v>17</v>
      </c>
      <c r="C90" s="7" t="s">
        <v>50</v>
      </c>
      <c r="D90" s="7" t="s">
        <v>27</v>
      </c>
      <c r="E90" s="7" t="s">
        <v>24</v>
      </c>
      <c r="F90" s="7" t="s">
        <v>15</v>
      </c>
      <c r="G90" s="1">
        <v>45010</v>
      </c>
      <c r="H90" s="7">
        <v>48</v>
      </c>
      <c r="I90" s="7">
        <v>301.36</v>
      </c>
      <c r="J90" s="7">
        <v>262.32</v>
      </c>
      <c r="K90" s="18">
        <f>$H90*$I90</f>
        <v>14465.28</v>
      </c>
      <c r="L90" s="1">
        <f t="shared" si="1"/>
        <v>1873.920000000001</v>
      </c>
    </row>
    <row r="91" spans="1:12" x14ac:dyDescent="0.25">
      <c r="A91" s="7" t="s">
        <v>113</v>
      </c>
      <c r="B91" s="7" t="s">
        <v>11</v>
      </c>
      <c r="C91" s="7" t="s">
        <v>50</v>
      </c>
      <c r="D91" s="7" t="s">
        <v>27</v>
      </c>
      <c r="E91" s="7" t="s">
        <v>24</v>
      </c>
      <c r="F91" s="7" t="s">
        <v>28</v>
      </c>
      <c r="G91" s="1">
        <v>45011</v>
      </c>
      <c r="H91" s="7">
        <v>424</v>
      </c>
      <c r="I91" s="7">
        <v>201.35</v>
      </c>
      <c r="J91" s="7">
        <v>142.99</v>
      </c>
      <c r="K91" s="18">
        <f>$H91*$I91</f>
        <v>85372.4</v>
      </c>
      <c r="L91" s="1">
        <f t="shared" si="1"/>
        <v>24744.639999999992</v>
      </c>
    </row>
    <row r="92" spans="1:12" x14ac:dyDescent="0.25">
      <c r="A92" s="7" t="s">
        <v>114</v>
      </c>
      <c r="B92" s="7" t="s">
        <v>11</v>
      </c>
      <c r="C92" s="7" t="s">
        <v>18</v>
      </c>
      <c r="D92" s="7" t="s">
        <v>23</v>
      </c>
      <c r="E92" s="7" t="s">
        <v>14</v>
      </c>
      <c r="F92" s="7" t="s">
        <v>15</v>
      </c>
      <c r="G92" s="1">
        <v>45012</v>
      </c>
      <c r="H92" s="7">
        <v>91</v>
      </c>
      <c r="I92" s="7">
        <v>122.33</v>
      </c>
      <c r="J92" s="7">
        <v>211.15</v>
      </c>
      <c r="K92" s="18">
        <f>$H92*$I92</f>
        <v>11132.03</v>
      </c>
      <c r="L92" s="1">
        <f t="shared" si="1"/>
        <v>-8082.6200000000008</v>
      </c>
    </row>
    <row r="93" spans="1:12" x14ac:dyDescent="0.25">
      <c r="A93" s="7" t="s">
        <v>115</v>
      </c>
      <c r="B93" s="7" t="s">
        <v>48</v>
      </c>
      <c r="C93" s="7" t="s">
        <v>50</v>
      </c>
      <c r="D93" s="7" t="s">
        <v>13</v>
      </c>
      <c r="E93" s="7" t="s">
        <v>14</v>
      </c>
      <c r="F93" s="7" t="s">
        <v>28</v>
      </c>
      <c r="G93" s="1">
        <v>45013</v>
      </c>
      <c r="H93" s="7">
        <v>365</v>
      </c>
      <c r="I93" s="7">
        <v>121.16</v>
      </c>
      <c r="J93" s="7">
        <v>193.69</v>
      </c>
      <c r="K93" s="18">
        <f>$H93*$I93</f>
        <v>44223.4</v>
      </c>
      <c r="L93" s="1">
        <f t="shared" si="1"/>
        <v>-26473.45</v>
      </c>
    </row>
    <row r="94" spans="1:12" x14ac:dyDescent="0.25">
      <c r="A94" s="7" t="s">
        <v>116</v>
      </c>
      <c r="B94" s="7" t="s">
        <v>22</v>
      </c>
      <c r="C94" s="7" t="s">
        <v>31</v>
      </c>
      <c r="D94" s="7" t="s">
        <v>13</v>
      </c>
      <c r="E94" s="7" t="s">
        <v>14</v>
      </c>
      <c r="F94" s="7" t="s">
        <v>28</v>
      </c>
      <c r="G94" s="1">
        <v>45014</v>
      </c>
      <c r="H94" s="7">
        <v>267</v>
      </c>
      <c r="I94" s="7">
        <v>442.44</v>
      </c>
      <c r="J94" s="7">
        <v>72.400000000000006</v>
      </c>
      <c r="K94" s="18">
        <f>$H94*$I94</f>
        <v>118131.48</v>
      </c>
      <c r="L94" s="1">
        <f t="shared" si="1"/>
        <v>98800.68</v>
      </c>
    </row>
    <row r="95" spans="1:12" x14ac:dyDescent="0.25">
      <c r="A95" s="7" t="s">
        <v>117</v>
      </c>
      <c r="B95" s="7" t="s">
        <v>17</v>
      </c>
      <c r="C95" s="7" t="s">
        <v>12</v>
      </c>
      <c r="D95" s="7" t="s">
        <v>42</v>
      </c>
      <c r="E95" s="7" t="s">
        <v>24</v>
      </c>
      <c r="F95" s="7" t="s">
        <v>28</v>
      </c>
      <c r="G95" s="1">
        <v>45015</v>
      </c>
      <c r="H95" s="7">
        <v>215</v>
      </c>
      <c r="I95" s="7">
        <v>223.8</v>
      </c>
      <c r="J95" s="7">
        <v>156.06</v>
      </c>
      <c r="K95" s="18">
        <f>$H95*$I95</f>
        <v>48117</v>
      </c>
      <c r="L95" s="1">
        <f t="shared" si="1"/>
        <v>14564.100000000002</v>
      </c>
    </row>
    <row r="96" spans="1:12" x14ac:dyDescent="0.25">
      <c r="A96" s="7" t="s">
        <v>118</v>
      </c>
      <c r="B96" s="7" t="s">
        <v>48</v>
      </c>
      <c r="C96" s="7" t="s">
        <v>18</v>
      </c>
      <c r="D96" s="7" t="s">
        <v>42</v>
      </c>
      <c r="E96" s="7" t="s">
        <v>14</v>
      </c>
      <c r="F96" s="7" t="s">
        <v>28</v>
      </c>
      <c r="G96" s="1">
        <v>45016</v>
      </c>
      <c r="H96" s="7">
        <v>86</v>
      </c>
      <c r="I96" s="7">
        <v>168.79</v>
      </c>
      <c r="J96" s="7">
        <v>385.6</v>
      </c>
      <c r="K96" s="18">
        <f>$H96*$I96</f>
        <v>14515.939999999999</v>
      </c>
      <c r="L96" s="1">
        <f t="shared" si="1"/>
        <v>-18645.660000000003</v>
      </c>
    </row>
    <row r="97" spans="1:12" x14ac:dyDescent="0.25">
      <c r="A97" s="7" t="s">
        <v>119</v>
      </c>
      <c r="B97" s="7" t="s">
        <v>17</v>
      </c>
      <c r="C97" s="7" t="s">
        <v>12</v>
      </c>
      <c r="D97" s="7" t="s">
        <v>27</v>
      </c>
      <c r="E97" s="7" t="s">
        <v>24</v>
      </c>
      <c r="F97" s="7" t="s">
        <v>28</v>
      </c>
      <c r="G97" s="1">
        <v>45017</v>
      </c>
      <c r="H97" s="7">
        <v>486</v>
      </c>
      <c r="I97" s="7">
        <v>227.14</v>
      </c>
      <c r="J97" s="7">
        <v>100.93</v>
      </c>
      <c r="K97" s="18">
        <f>$H97*$I97</f>
        <v>110390.04</v>
      </c>
      <c r="L97" s="1">
        <f t="shared" si="1"/>
        <v>61338.05999999999</v>
      </c>
    </row>
    <row r="98" spans="1:12" x14ac:dyDescent="0.25">
      <c r="A98" s="7" t="s">
        <v>120</v>
      </c>
      <c r="B98" s="7" t="s">
        <v>17</v>
      </c>
      <c r="C98" s="7" t="s">
        <v>50</v>
      </c>
      <c r="D98" s="7" t="s">
        <v>42</v>
      </c>
      <c r="E98" s="7" t="s">
        <v>24</v>
      </c>
      <c r="F98" s="7" t="s">
        <v>20</v>
      </c>
      <c r="G98" s="1">
        <v>45018</v>
      </c>
      <c r="H98" s="7">
        <v>21</v>
      </c>
      <c r="I98" s="7">
        <v>249.64</v>
      </c>
      <c r="J98" s="7">
        <v>55.25</v>
      </c>
      <c r="K98" s="18">
        <f>$H98*$I98</f>
        <v>5242.4399999999996</v>
      </c>
      <c r="L98" s="1">
        <f t="shared" si="1"/>
        <v>4082.1899999999996</v>
      </c>
    </row>
    <row r="99" spans="1:12" x14ac:dyDescent="0.25">
      <c r="A99" s="7" t="s">
        <v>121</v>
      </c>
      <c r="B99" s="7" t="s">
        <v>48</v>
      </c>
      <c r="C99" s="7" t="s">
        <v>50</v>
      </c>
      <c r="D99" s="7" t="s">
        <v>23</v>
      </c>
      <c r="E99" s="7" t="s">
        <v>24</v>
      </c>
      <c r="F99" s="7" t="s">
        <v>15</v>
      </c>
      <c r="G99" s="1">
        <v>45019</v>
      </c>
      <c r="H99" s="7">
        <v>304</v>
      </c>
      <c r="I99" s="7">
        <v>77.150000000000006</v>
      </c>
      <c r="J99" s="7">
        <v>168.6</v>
      </c>
      <c r="K99" s="18">
        <f>$H99*$I99</f>
        <v>23453.600000000002</v>
      </c>
      <c r="L99" s="1">
        <f t="shared" si="1"/>
        <v>-27800.799999999996</v>
      </c>
    </row>
    <row r="100" spans="1:12" x14ac:dyDescent="0.25">
      <c r="A100" s="7" t="s">
        <v>122</v>
      </c>
      <c r="B100" s="7" t="s">
        <v>48</v>
      </c>
      <c r="C100" s="7" t="s">
        <v>18</v>
      </c>
      <c r="D100" s="7" t="s">
        <v>13</v>
      </c>
      <c r="E100" s="7" t="s">
        <v>14</v>
      </c>
      <c r="F100" s="7" t="s">
        <v>20</v>
      </c>
      <c r="G100" s="1">
        <v>45020</v>
      </c>
      <c r="H100" s="7">
        <v>459</v>
      </c>
      <c r="I100" s="7">
        <v>227.47</v>
      </c>
      <c r="J100" s="7">
        <v>316.55</v>
      </c>
      <c r="K100" s="18">
        <f>$H100*$I100</f>
        <v>104408.73</v>
      </c>
      <c r="L100" s="1">
        <f t="shared" si="1"/>
        <v>-40887.720000000008</v>
      </c>
    </row>
    <row r="101" spans="1:12" x14ac:dyDescent="0.25">
      <c r="A101" s="7" t="s">
        <v>123</v>
      </c>
      <c r="B101" s="7" t="s">
        <v>48</v>
      </c>
      <c r="C101" s="7" t="s">
        <v>31</v>
      </c>
      <c r="D101" s="7" t="s">
        <v>27</v>
      </c>
      <c r="E101" s="7" t="s">
        <v>14</v>
      </c>
      <c r="F101" s="7" t="s">
        <v>15</v>
      </c>
      <c r="G101" s="1">
        <v>45021</v>
      </c>
      <c r="H101" s="7">
        <v>233</v>
      </c>
      <c r="I101" s="7">
        <v>296</v>
      </c>
      <c r="J101" s="7">
        <v>233.69</v>
      </c>
      <c r="K101" s="18">
        <f>$H101*$I101</f>
        <v>68968</v>
      </c>
      <c r="L101" s="1">
        <f t="shared" si="1"/>
        <v>14518.230000000001</v>
      </c>
    </row>
    <row r="102" spans="1:12" x14ac:dyDescent="0.25">
      <c r="A102" s="7" t="s">
        <v>124</v>
      </c>
      <c r="B102" s="7" t="s">
        <v>48</v>
      </c>
      <c r="C102" s="7" t="s">
        <v>26</v>
      </c>
      <c r="D102" s="7" t="s">
        <v>42</v>
      </c>
      <c r="E102" s="7" t="s">
        <v>24</v>
      </c>
      <c r="F102" s="7" t="s">
        <v>20</v>
      </c>
      <c r="G102" s="1">
        <v>45022</v>
      </c>
      <c r="H102" s="7">
        <v>22</v>
      </c>
      <c r="I102" s="7">
        <v>474.55</v>
      </c>
      <c r="J102" s="7">
        <v>273.02999999999997</v>
      </c>
      <c r="K102" s="18">
        <f>$H102*$I102</f>
        <v>10440.1</v>
      </c>
      <c r="L102" s="1">
        <f t="shared" si="1"/>
        <v>4433.4400000000005</v>
      </c>
    </row>
    <row r="103" spans="1:12" x14ac:dyDescent="0.25">
      <c r="A103" s="7" t="s">
        <v>125</v>
      </c>
      <c r="B103" s="7" t="s">
        <v>48</v>
      </c>
      <c r="C103" s="7" t="s">
        <v>18</v>
      </c>
      <c r="D103" s="7" t="s">
        <v>23</v>
      </c>
      <c r="E103" s="7" t="s">
        <v>14</v>
      </c>
      <c r="F103" s="7" t="s">
        <v>28</v>
      </c>
      <c r="G103" s="1">
        <v>45023</v>
      </c>
      <c r="H103" s="7">
        <v>55</v>
      </c>
      <c r="I103" s="7">
        <v>130</v>
      </c>
      <c r="J103" s="7">
        <v>77.5</v>
      </c>
      <c r="K103" s="18">
        <f>$H103*$I103</f>
        <v>7150</v>
      </c>
      <c r="L103" s="1">
        <f t="shared" si="1"/>
        <v>2887.5</v>
      </c>
    </row>
    <row r="104" spans="1:12" x14ac:dyDescent="0.25">
      <c r="A104" s="7" t="s">
        <v>126</v>
      </c>
      <c r="B104" s="7" t="s">
        <v>17</v>
      </c>
      <c r="C104" s="7" t="s">
        <v>26</v>
      </c>
      <c r="D104" s="7" t="s">
        <v>23</v>
      </c>
      <c r="E104" s="7" t="s">
        <v>14</v>
      </c>
      <c r="F104" s="7" t="s">
        <v>15</v>
      </c>
      <c r="G104" s="1">
        <v>45024</v>
      </c>
      <c r="H104" s="7">
        <v>164</v>
      </c>
      <c r="I104" s="7">
        <v>182.83</v>
      </c>
      <c r="J104" s="7">
        <v>248.34</v>
      </c>
      <c r="K104" s="18">
        <f>$H104*$I104</f>
        <v>29984.120000000003</v>
      </c>
      <c r="L104" s="1">
        <f t="shared" si="1"/>
        <v>-10743.64</v>
      </c>
    </row>
    <row r="105" spans="1:12" x14ac:dyDescent="0.25">
      <c r="A105" s="7" t="s">
        <v>127</v>
      </c>
      <c r="B105" s="7" t="s">
        <v>48</v>
      </c>
      <c r="C105" s="7" t="s">
        <v>26</v>
      </c>
      <c r="D105" s="7" t="s">
        <v>42</v>
      </c>
      <c r="E105" s="7" t="s">
        <v>14</v>
      </c>
      <c r="F105" s="7" t="s">
        <v>15</v>
      </c>
      <c r="G105" s="1">
        <v>45025</v>
      </c>
      <c r="H105" s="7">
        <v>122</v>
      </c>
      <c r="I105" s="7">
        <v>192.78</v>
      </c>
      <c r="J105" s="7">
        <v>130.75</v>
      </c>
      <c r="K105" s="18">
        <f>$H105*$I105</f>
        <v>23519.16</v>
      </c>
      <c r="L105" s="1">
        <f t="shared" si="1"/>
        <v>7567.66</v>
      </c>
    </row>
    <row r="106" spans="1:12" x14ac:dyDescent="0.25">
      <c r="A106" s="7" t="s">
        <v>128</v>
      </c>
      <c r="B106" s="7" t="s">
        <v>22</v>
      </c>
      <c r="C106" s="7" t="s">
        <v>31</v>
      </c>
      <c r="D106" s="7" t="s">
        <v>13</v>
      </c>
      <c r="E106" s="7" t="s">
        <v>24</v>
      </c>
      <c r="F106" s="7" t="s">
        <v>20</v>
      </c>
      <c r="G106" s="1">
        <v>45026</v>
      </c>
      <c r="H106" s="7">
        <v>242</v>
      </c>
      <c r="I106" s="7">
        <v>304.74</v>
      </c>
      <c r="J106" s="7">
        <v>334.05</v>
      </c>
      <c r="K106" s="18">
        <f>$H106*$I106</f>
        <v>73747.08</v>
      </c>
      <c r="L106" s="1">
        <f t="shared" si="1"/>
        <v>-7093.02</v>
      </c>
    </row>
    <row r="107" spans="1:12" x14ac:dyDescent="0.25">
      <c r="A107" s="7" t="s">
        <v>129</v>
      </c>
      <c r="B107" s="7" t="s">
        <v>11</v>
      </c>
      <c r="C107" s="7" t="s">
        <v>26</v>
      </c>
      <c r="D107" s="7" t="s">
        <v>42</v>
      </c>
      <c r="E107" s="7" t="s">
        <v>24</v>
      </c>
      <c r="F107" s="7" t="s">
        <v>20</v>
      </c>
      <c r="G107" s="1">
        <v>45027</v>
      </c>
      <c r="H107" s="7">
        <v>26</v>
      </c>
      <c r="I107" s="7">
        <v>181.58</v>
      </c>
      <c r="J107" s="7">
        <v>252.46</v>
      </c>
      <c r="K107" s="18">
        <f>$H107*$I107</f>
        <v>4721.08</v>
      </c>
      <c r="L107" s="1">
        <f t="shared" si="1"/>
        <v>-1842.8799999999999</v>
      </c>
    </row>
    <row r="108" spans="1:12" x14ac:dyDescent="0.25">
      <c r="A108" s="7" t="s">
        <v>130</v>
      </c>
      <c r="B108" s="7" t="s">
        <v>48</v>
      </c>
      <c r="C108" s="7" t="s">
        <v>26</v>
      </c>
      <c r="D108" s="7" t="s">
        <v>27</v>
      </c>
      <c r="E108" s="7" t="s">
        <v>14</v>
      </c>
      <c r="F108" s="7" t="s">
        <v>15</v>
      </c>
      <c r="G108" s="1">
        <v>45028</v>
      </c>
      <c r="H108" s="7">
        <v>369</v>
      </c>
      <c r="I108" s="7">
        <v>269.08999999999997</v>
      </c>
      <c r="J108" s="7">
        <v>81.14</v>
      </c>
      <c r="K108" s="18">
        <f>$H108*$I108</f>
        <v>99294.209999999992</v>
      </c>
      <c r="L108" s="1">
        <f t="shared" si="1"/>
        <v>69353.55</v>
      </c>
    </row>
    <row r="109" spans="1:12" x14ac:dyDescent="0.25">
      <c r="A109" s="7" t="s">
        <v>131</v>
      </c>
      <c r="B109" s="7" t="s">
        <v>48</v>
      </c>
      <c r="C109" s="7" t="s">
        <v>31</v>
      </c>
      <c r="D109" s="7" t="s">
        <v>42</v>
      </c>
      <c r="E109" s="7" t="s">
        <v>24</v>
      </c>
      <c r="F109" s="7" t="s">
        <v>20</v>
      </c>
      <c r="G109" s="1">
        <v>45029</v>
      </c>
      <c r="H109" s="7">
        <v>232</v>
      </c>
      <c r="I109" s="7">
        <v>391.99</v>
      </c>
      <c r="J109" s="7">
        <v>27.72</v>
      </c>
      <c r="K109" s="18">
        <f>$H109*$I109</f>
        <v>90941.680000000008</v>
      </c>
      <c r="L109" s="1">
        <f t="shared" si="1"/>
        <v>84510.64</v>
      </c>
    </row>
    <row r="110" spans="1:12" x14ac:dyDescent="0.25">
      <c r="A110" s="7" t="s">
        <v>132</v>
      </c>
      <c r="B110" s="7" t="s">
        <v>17</v>
      </c>
      <c r="C110" s="7" t="s">
        <v>26</v>
      </c>
      <c r="D110" s="7" t="s">
        <v>23</v>
      </c>
      <c r="E110" s="7" t="s">
        <v>14</v>
      </c>
      <c r="F110" s="7" t="s">
        <v>20</v>
      </c>
      <c r="G110" s="1">
        <v>45030</v>
      </c>
      <c r="H110" s="7">
        <v>363</v>
      </c>
      <c r="I110" s="7">
        <v>354.17</v>
      </c>
      <c r="J110" s="7">
        <v>18.97</v>
      </c>
      <c r="K110" s="18">
        <f>$H110*$I110</f>
        <v>128563.71</v>
      </c>
      <c r="L110" s="1">
        <f t="shared" si="1"/>
        <v>121677.60000000002</v>
      </c>
    </row>
    <row r="111" spans="1:12" x14ac:dyDescent="0.25">
      <c r="A111" s="7" t="s">
        <v>133</v>
      </c>
      <c r="B111" s="7" t="s">
        <v>48</v>
      </c>
      <c r="C111" s="7" t="s">
        <v>26</v>
      </c>
      <c r="D111" s="7" t="s">
        <v>42</v>
      </c>
      <c r="E111" s="7" t="s">
        <v>14</v>
      </c>
      <c r="F111" s="7" t="s">
        <v>20</v>
      </c>
      <c r="G111" s="1">
        <v>45031</v>
      </c>
      <c r="H111" s="7">
        <v>197</v>
      </c>
      <c r="I111" s="7">
        <v>225.95</v>
      </c>
      <c r="J111" s="7">
        <v>149.82</v>
      </c>
      <c r="K111" s="18">
        <f>$H111*$I111</f>
        <v>44512.149999999994</v>
      </c>
      <c r="L111" s="1">
        <f t="shared" si="1"/>
        <v>14997.609999999999</v>
      </c>
    </row>
    <row r="112" spans="1:12" x14ac:dyDescent="0.25">
      <c r="A112" s="7" t="s">
        <v>134</v>
      </c>
      <c r="B112" s="7" t="s">
        <v>48</v>
      </c>
      <c r="C112" s="7" t="s">
        <v>26</v>
      </c>
      <c r="D112" s="7" t="s">
        <v>13</v>
      </c>
      <c r="E112" s="7" t="s">
        <v>14</v>
      </c>
      <c r="F112" s="7" t="s">
        <v>28</v>
      </c>
      <c r="G112" s="1">
        <v>45032</v>
      </c>
      <c r="H112" s="7">
        <v>457</v>
      </c>
      <c r="I112" s="7">
        <v>432.79</v>
      </c>
      <c r="J112" s="7">
        <v>107.81</v>
      </c>
      <c r="K112" s="18">
        <f>$H112*$I112</f>
        <v>197785.03</v>
      </c>
      <c r="L112" s="1">
        <f t="shared" si="1"/>
        <v>148515.86000000002</v>
      </c>
    </row>
    <row r="113" spans="1:12" x14ac:dyDescent="0.25">
      <c r="A113" s="7" t="s">
        <v>135</v>
      </c>
      <c r="B113" s="7" t="s">
        <v>48</v>
      </c>
      <c r="C113" s="7" t="s">
        <v>18</v>
      </c>
      <c r="D113" s="7" t="s">
        <v>19</v>
      </c>
      <c r="E113" s="7" t="s">
        <v>14</v>
      </c>
      <c r="F113" s="7" t="s">
        <v>28</v>
      </c>
      <c r="G113" s="1">
        <v>45033</v>
      </c>
      <c r="H113" s="7">
        <v>353</v>
      </c>
      <c r="I113" s="7">
        <v>281.27999999999997</v>
      </c>
      <c r="J113" s="7">
        <v>259.14</v>
      </c>
      <c r="K113" s="18">
        <f>$H113*$I113</f>
        <v>99291.839999999997</v>
      </c>
      <c r="L113" s="1">
        <f t="shared" si="1"/>
        <v>7815.4199999999955</v>
      </c>
    </row>
    <row r="114" spans="1:12" x14ac:dyDescent="0.25">
      <c r="A114" s="7" t="s">
        <v>136</v>
      </c>
      <c r="B114" s="7" t="s">
        <v>17</v>
      </c>
      <c r="C114" s="7" t="s">
        <v>18</v>
      </c>
      <c r="D114" s="7" t="s">
        <v>42</v>
      </c>
      <c r="E114" s="7" t="s">
        <v>24</v>
      </c>
      <c r="F114" s="7" t="s">
        <v>20</v>
      </c>
      <c r="G114" s="1">
        <v>45034</v>
      </c>
      <c r="H114" s="7">
        <v>374</v>
      </c>
      <c r="I114" s="7">
        <v>272.25</v>
      </c>
      <c r="J114" s="7">
        <v>200.73</v>
      </c>
      <c r="K114" s="18">
        <f>$H114*$I114</f>
        <v>101821.5</v>
      </c>
      <c r="L114" s="1">
        <f t="shared" si="1"/>
        <v>26748.480000000003</v>
      </c>
    </row>
    <row r="115" spans="1:12" x14ac:dyDescent="0.25">
      <c r="A115" s="7" t="s">
        <v>137</v>
      </c>
      <c r="B115" s="7" t="s">
        <v>48</v>
      </c>
      <c r="C115" s="7" t="s">
        <v>18</v>
      </c>
      <c r="D115" s="7" t="s">
        <v>13</v>
      </c>
      <c r="E115" s="7" t="s">
        <v>24</v>
      </c>
      <c r="F115" s="7" t="s">
        <v>20</v>
      </c>
      <c r="G115" s="1">
        <v>45035</v>
      </c>
      <c r="H115" s="7">
        <v>172</v>
      </c>
      <c r="I115" s="7">
        <v>21.92</v>
      </c>
      <c r="J115" s="7">
        <v>107.88</v>
      </c>
      <c r="K115" s="18">
        <f>$H115*$I115</f>
        <v>3770.2400000000002</v>
      </c>
      <c r="L115" s="1">
        <f t="shared" si="1"/>
        <v>-14785.119999999999</v>
      </c>
    </row>
    <row r="116" spans="1:12" x14ac:dyDescent="0.25">
      <c r="A116" s="7" t="s">
        <v>138</v>
      </c>
      <c r="B116" s="7" t="s">
        <v>11</v>
      </c>
      <c r="C116" s="7" t="s">
        <v>31</v>
      </c>
      <c r="D116" s="7" t="s">
        <v>13</v>
      </c>
      <c r="E116" s="7" t="s">
        <v>24</v>
      </c>
      <c r="F116" s="7" t="s">
        <v>28</v>
      </c>
      <c r="G116" s="1">
        <v>45036</v>
      </c>
      <c r="H116" s="7">
        <v>335</v>
      </c>
      <c r="I116" s="7">
        <v>493.41</v>
      </c>
      <c r="J116" s="7">
        <v>61.4</v>
      </c>
      <c r="K116" s="18">
        <f>$H116*$I116</f>
        <v>165292.35</v>
      </c>
      <c r="L116" s="1">
        <f t="shared" si="1"/>
        <v>144723.35</v>
      </c>
    </row>
    <row r="117" spans="1:12" x14ac:dyDescent="0.25">
      <c r="A117" s="7" t="s">
        <v>139</v>
      </c>
      <c r="B117" s="7" t="s">
        <v>17</v>
      </c>
      <c r="C117" s="7" t="s">
        <v>50</v>
      </c>
      <c r="D117" s="7" t="s">
        <v>23</v>
      </c>
      <c r="E117" s="7" t="s">
        <v>14</v>
      </c>
      <c r="F117" s="7" t="s">
        <v>28</v>
      </c>
      <c r="G117" s="1">
        <v>45037</v>
      </c>
      <c r="H117" s="7">
        <v>476</v>
      </c>
      <c r="I117" s="7">
        <v>65.87</v>
      </c>
      <c r="J117" s="7">
        <v>52.63</v>
      </c>
      <c r="K117" s="18">
        <f>$H117*$I117</f>
        <v>31354.120000000003</v>
      </c>
      <c r="L117" s="1">
        <f t="shared" si="1"/>
        <v>6302.2400000000007</v>
      </c>
    </row>
    <row r="118" spans="1:12" x14ac:dyDescent="0.25">
      <c r="A118" s="7" t="s">
        <v>140</v>
      </c>
      <c r="B118" s="7" t="s">
        <v>11</v>
      </c>
      <c r="C118" s="7" t="s">
        <v>26</v>
      </c>
      <c r="D118" s="7" t="s">
        <v>13</v>
      </c>
      <c r="E118" s="7" t="s">
        <v>14</v>
      </c>
      <c r="F118" s="7" t="s">
        <v>15</v>
      </c>
      <c r="G118" s="1">
        <v>45038</v>
      </c>
      <c r="H118" s="7">
        <v>423</v>
      </c>
      <c r="I118" s="7">
        <v>119.41</v>
      </c>
      <c r="J118" s="7">
        <v>346.13</v>
      </c>
      <c r="K118" s="18">
        <f>$H118*$I118</f>
        <v>50510.43</v>
      </c>
      <c r="L118" s="1">
        <f t="shared" si="1"/>
        <v>-95902.56</v>
      </c>
    </row>
    <row r="119" spans="1:12" x14ac:dyDescent="0.25">
      <c r="A119" s="7" t="s">
        <v>141</v>
      </c>
      <c r="B119" s="7" t="s">
        <v>17</v>
      </c>
      <c r="C119" s="7" t="s">
        <v>26</v>
      </c>
      <c r="D119" s="7" t="s">
        <v>13</v>
      </c>
      <c r="E119" s="7" t="s">
        <v>14</v>
      </c>
      <c r="F119" s="7" t="s">
        <v>15</v>
      </c>
      <c r="G119" s="1">
        <v>45039</v>
      </c>
      <c r="H119" s="7">
        <v>464</v>
      </c>
      <c r="I119" s="7">
        <v>30.59</v>
      </c>
      <c r="J119" s="7">
        <v>98.9</v>
      </c>
      <c r="K119" s="18">
        <f>$H119*$I119</f>
        <v>14193.76</v>
      </c>
      <c r="L119" s="1">
        <f t="shared" si="1"/>
        <v>-31695.84</v>
      </c>
    </row>
    <row r="120" spans="1:12" x14ac:dyDescent="0.25">
      <c r="A120" s="7" t="s">
        <v>142</v>
      </c>
      <c r="B120" s="7" t="s">
        <v>48</v>
      </c>
      <c r="C120" s="7" t="s">
        <v>31</v>
      </c>
      <c r="D120" s="7" t="s">
        <v>13</v>
      </c>
      <c r="E120" s="7" t="s">
        <v>24</v>
      </c>
      <c r="F120" s="7" t="s">
        <v>28</v>
      </c>
      <c r="G120" s="1">
        <v>45040</v>
      </c>
      <c r="H120" s="7">
        <v>83</v>
      </c>
      <c r="I120" s="7">
        <v>321.8</v>
      </c>
      <c r="J120" s="7">
        <v>261.38</v>
      </c>
      <c r="K120" s="18">
        <f>$H120*$I120</f>
        <v>26709.4</v>
      </c>
      <c r="L120" s="1">
        <f t="shared" si="1"/>
        <v>5014.8600000000015</v>
      </c>
    </row>
    <row r="121" spans="1:12" x14ac:dyDescent="0.25">
      <c r="A121" s="7" t="s">
        <v>143</v>
      </c>
      <c r="B121" s="7" t="s">
        <v>11</v>
      </c>
      <c r="C121" s="7" t="s">
        <v>26</v>
      </c>
      <c r="D121" s="7" t="s">
        <v>13</v>
      </c>
      <c r="E121" s="7" t="s">
        <v>14</v>
      </c>
      <c r="F121" s="7" t="s">
        <v>20</v>
      </c>
      <c r="G121" s="1">
        <v>45041</v>
      </c>
      <c r="H121" s="7">
        <v>242</v>
      </c>
      <c r="I121" s="7">
        <v>116.23</v>
      </c>
      <c r="J121" s="7">
        <v>324.64999999999998</v>
      </c>
      <c r="K121" s="18">
        <f>$H121*$I121</f>
        <v>28127.66</v>
      </c>
      <c r="L121" s="1">
        <f t="shared" si="1"/>
        <v>-50437.639999999992</v>
      </c>
    </row>
    <row r="122" spans="1:12" x14ac:dyDescent="0.25">
      <c r="A122" s="7" t="s">
        <v>144</v>
      </c>
      <c r="B122" s="7" t="s">
        <v>17</v>
      </c>
      <c r="C122" s="7" t="s">
        <v>18</v>
      </c>
      <c r="D122" s="7" t="s">
        <v>27</v>
      </c>
      <c r="E122" s="7" t="s">
        <v>24</v>
      </c>
      <c r="F122" s="7" t="s">
        <v>20</v>
      </c>
      <c r="G122" s="1">
        <v>45042</v>
      </c>
      <c r="H122" s="7">
        <v>233</v>
      </c>
      <c r="I122" s="7">
        <v>94.11</v>
      </c>
      <c r="J122" s="7">
        <v>246.4</v>
      </c>
      <c r="K122" s="18">
        <f>$H122*$I122</f>
        <v>21927.63</v>
      </c>
      <c r="L122" s="1">
        <f t="shared" si="1"/>
        <v>-35483.570000000007</v>
      </c>
    </row>
    <row r="123" spans="1:12" x14ac:dyDescent="0.25">
      <c r="A123" s="7" t="s">
        <v>145</v>
      </c>
      <c r="B123" s="7" t="s">
        <v>22</v>
      </c>
      <c r="C123" s="7" t="s">
        <v>50</v>
      </c>
      <c r="D123" s="7" t="s">
        <v>27</v>
      </c>
      <c r="E123" s="7" t="s">
        <v>24</v>
      </c>
      <c r="F123" s="7" t="s">
        <v>20</v>
      </c>
      <c r="G123" s="1">
        <v>45043</v>
      </c>
      <c r="H123" s="7">
        <v>491</v>
      </c>
      <c r="I123" s="7">
        <v>48.84</v>
      </c>
      <c r="J123" s="7">
        <v>344.11</v>
      </c>
      <c r="K123" s="18">
        <f>$H123*$I123</f>
        <v>23980.440000000002</v>
      </c>
      <c r="L123" s="1">
        <f t="shared" si="1"/>
        <v>-144977.56999999998</v>
      </c>
    </row>
    <row r="124" spans="1:12" x14ac:dyDescent="0.25">
      <c r="A124" s="7" t="s">
        <v>146</v>
      </c>
      <c r="B124" s="7" t="s">
        <v>22</v>
      </c>
      <c r="C124" s="7" t="s">
        <v>12</v>
      </c>
      <c r="D124" s="7" t="s">
        <v>23</v>
      </c>
      <c r="E124" s="7" t="s">
        <v>24</v>
      </c>
      <c r="F124" s="7" t="s">
        <v>20</v>
      </c>
      <c r="G124" s="1">
        <v>45044</v>
      </c>
      <c r="H124" s="7">
        <v>328</v>
      </c>
      <c r="I124" s="7">
        <v>56.14</v>
      </c>
      <c r="J124" s="7">
        <v>158.16999999999999</v>
      </c>
      <c r="K124" s="18">
        <f>$H124*$I124</f>
        <v>18413.920000000002</v>
      </c>
      <c r="L124" s="1">
        <f t="shared" si="1"/>
        <v>-33465.839999999997</v>
      </c>
    </row>
    <row r="125" spans="1:12" x14ac:dyDescent="0.25">
      <c r="A125" s="7" t="s">
        <v>147</v>
      </c>
      <c r="B125" s="7" t="s">
        <v>17</v>
      </c>
      <c r="C125" s="7" t="s">
        <v>26</v>
      </c>
      <c r="D125" s="7" t="s">
        <v>42</v>
      </c>
      <c r="E125" s="7" t="s">
        <v>24</v>
      </c>
      <c r="F125" s="7" t="s">
        <v>15</v>
      </c>
      <c r="G125" s="1">
        <v>45045</v>
      </c>
      <c r="H125" s="7">
        <v>421</v>
      </c>
      <c r="I125" s="7">
        <v>294.41000000000003</v>
      </c>
      <c r="J125" s="7">
        <v>382.58</v>
      </c>
      <c r="K125" s="18">
        <f>$H125*$I125</f>
        <v>123946.61000000002</v>
      </c>
      <c r="L125" s="1">
        <f t="shared" si="1"/>
        <v>-37119.569999999985</v>
      </c>
    </row>
    <row r="126" spans="1:12" x14ac:dyDescent="0.25">
      <c r="A126" s="7" t="s">
        <v>148</v>
      </c>
      <c r="B126" s="7" t="s">
        <v>22</v>
      </c>
      <c r="C126" s="7" t="s">
        <v>18</v>
      </c>
      <c r="D126" s="7" t="s">
        <v>13</v>
      </c>
      <c r="E126" s="7" t="s">
        <v>24</v>
      </c>
      <c r="F126" s="7" t="s">
        <v>28</v>
      </c>
      <c r="G126" s="1">
        <v>45046</v>
      </c>
      <c r="H126" s="7">
        <v>69</v>
      </c>
      <c r="I126" s="7">
        <v>345.66</v>
      </c>
      <c r="J126" s="7">
        <v>54.99</v>
      </c>
      <c r="K126" s="18">
        <f>$H126*$I126</f>
        <v>23850.54</v>
      </c>
      <c r="L126" s="1">
        <f t="shared" si="1"/>
        <v>20056.23</v>
      </c>
    </row>
    <row r="127" spans="1:12" x14ac:dyDescent="0.25">
      <c r="A127" s="7" t="s">
        <v>149</v>
      </c>
      <c r="B127" s="7" t="s">
        <v>17</v>
      </c>
      <c r="C127" s="7" t="s">
        <v>12</v>
      </c>
      <c r="D127" s="7" t="s">
        <v>42</v>
      </c>
      <c r="E127" s="7" t="s">
        <v>24</v>
      </c>
      <c r="F127" s="7" t="s">
        <v>20</v>
      </c>
      <c r="G127" s="1">
        <v>45047</v>
      </c>
      <c r="H127" s="7">
        <v>344</v>
      </c>
      <c r="I127" s="7">
        <v>201.7</v>
      </c>
      <c r="J127" s="7">
        <v>42.66</v>
      </c>
      <c r="K127" s="18">
        <f>$H127*$I127</f>
        <v>69384.800000000003</v>
      </c>
      <c r="L127" s="1">
        <f t="shared" si="1"/>
        <v>54709.759999999995</v>
      </c>
    </row>
    <row r="128" spans="1:12" x14ac:dyDescent="0.25">
      <c r="A128" s="7" t="s">
        <v>150</v>
      </c>
      <c r="B128" s="7" t="s">
        <v>17</v>
      </c>
      <c r="C128" s="7" t="s">
        <v>50</v>
      </c>
      <c r="D128" s="7" t="s">
        <v>42</v>
      </c>
      <c r="E128" s="7" t="s">
        <v>14</v>
      </c>
      <c r="F128" s="7" t="s">
        <v>15</v>
      </c>
      <c r="G128" s="1">
        <v>45048</v>
      </c>
      <c r="H128" s="7">
        <v>231</v>
      </c>
      <c r="I128" s="7">
        <v>242.55</v>
      </c>
      <c r="J128" s="7">
        <v>264.16000000000003</v>
      </c>
      <c r="K128" s="18">
        <f>$H128*$I128</f>
        <v>56029.05</v>
      </c>
      <c r="L128" s="1">
        <f t="shared" si="1"/>
        <v>-4991.9100000000035</v>
      </c>
    </row>
    <row r="129" spans="1:12" x14ac:dyDescent="0.25">
      <c r="A129" s="7" t="s">
        <v>151</v>
      </c>
      <c r="B129" s="7" t="s">
        <v>48</v>
      </c>
      <c r="C129" s="7" t="s">
        <v>12</v>
      </c>
      <c r="D129" s="7" t="s">
        <v>23</v>
      </c>
      <c r="E129" s="7" t="s">
        <v>14</v>
      </c>
      <c r="F129" s="7" t="s">
        <v>20</v>
      </c>
      <c r="G129" s="1">
        <v>45049</v>
      </c>
      <c r="H129" s="7">
        <v>46</v>
      </c>
      <c r="I129" s="7">
        <v>344.55</v>
      </c>
      <c r="J129" s="7">
        <v>377.25</v>
      </c>
      <c r="K129" s="18">
        <f>$H129*$I129</f>
        <v>15849.300000000001</v>
      </c>
      <c r="L129" s="1">
        <f t="shared" si="1"/>
        <v>-1504.1999999999994</v>
      </c>
    </row>
    <row r="130" spans="1:12" x14ac:dyDescent="0.25">
      <c r="A130" s="7" t="s">
        <v>152</v>
      </c>
      <c r="B130" s="7" t="s">
        <v>11</v>
      </c>
      <c r="C130" s="7" t="s">
        <v>18</v>
      </c>
      <c r="D130" s="7" t="s">
        <v>13</v>
      </c>
      <c r="E130" s="7" t="s">
        <v>24</v>
      </c>
      <c r="F130" s="7" t="s">
        <v>28</v>
      </c>
      <c r="G130" s="1">
        <v>45050</v>
      </c>
      <c r="H130" s="7">
        <v>486</v>
      </c>
      <c r="I130" s="7">
        <v>13.6</v>
      </c>
      <c r="J130" s="7">
        <v>323.94</v>
      </c>
      <c r="K130" s="18">
        <f>$H130*$I130</f>
        <v>6609.5999999999995</v>
      </c>
      <c r="L130" s="1">
        <f t="shared" si="1"/>
        <v>-150825.24</v>
      </c>
    </row>
    <row r="131" spans="1:12" x14ac:dyDescent="0.25">
      <c r="A131" s="7" t="s">
        <v>153</v>
      </c>
      <c r="B131" s="7" t="s">
        <v>22</v>
      </c>
      <c r="C131" s="7" t="s">
        <v>12</v>
      </c>
      <c r="D131" s="7" t="s">
        <v>13</v>
      </c>
      <c r="E131" s="7" t="s">
        <v>24</v>
      </c>
      <c r="F131" s="7" t="s">
        <v>15</v>
      </c>
      <c r="G131" s="1">
        <v>45051</v>
      </c>
      <c r="H131" s="7">
        <v>287</v>
      </c>
      <c r="I131" s="7">
        <v>164.95</v>
      </c>
      <c r="J131" s="7">
        <v>32.409999999999997</v>
      </c>
      <c r="K131" s="18">
        <f>$H131*$I131</f>
        <v>47340.649999999994</v>
      </c>
      <c r="L131" s="1">
        <f t="shared" si="1"/>
        <v>38038.979999999996</v>
      </c>
    </row>
    <row r="132" spans="1:12" x14ac:dyDescent="0.25">
      <c r="A132" s="7" t="s">
        <v>154</v>
      </c>
      <c r="B132" s="7" t="s">
        <v>17</v>
      </c>
      <c r="C132" s="7" t="s">
        <v>31</v>
      </c>
      <c r="D132" s="7" t="s">
        <v>19</v>
      </c>
      <c r="E132" s="7" t="s">
        <v>14</v>
      </c>
      <c r="F132" s="7" t="s">
        <v>28</v>
      </c>
      <c r="G132" s="1">
        <v>45052</v>
      </c>
      <c r="H132" s="7">
        <v>205</v>
      </c>
      <c r="I132" s="7">
        <v>486.68</v>
      </c>
      <c r="J132" s="7">
        <v>113.19</v>
      </c>
      <c r="K132" s="18">
        <f>$H132*$I132</f>
        <v>99769.4</v>
      </c>
      <c r="L132" s="1">
        <f t="shared" si="1"/>
        <v>76565.45</v>
      </c>
    </row>
    <row r="133" spans="1:12" x14ac:dyDescent="0.25">
      <c r="A133" s="7" t="s">
        <v>155</v>
      </c>
      <c r="B133" s="7" t="s">
        <v>48</v>
      </c>
      <c r="C133" s="7" t="s">
        <v>12</v>
      </c>
      <c r="D133" s="7" t="s">
        <v>42</v>
      </c>
      <c r="E133" s="7" t="s">
        <v>24</v>
      </c>
      <c r="F133" s="7" t="s">
        <v>28</v>
      </c>
      <c r="G133" s="1">
        <v>45053</v>
      </c>
      <c r="H133" s="7">
        <v>413</v>
      </c>
      <c r="I133" s="7">
        <v>292.16000000000003</v>
      </c>
      <c r="J133" s="7">
        <v>372.27</v>
      </c>
      <c r="K133" s="18">
        <f>$H133*$I133</f>
        <v>120662.08000000002</v>
      </c>
      <c r="L133" s="1">
        <f t="shared" si="1"/>
        <v>-33085.429999999986</v>
      </c>
    </row>
    <row r="134" spans="1:12" x14ac:dyDescent="0.25">
      <c r="A134" s="7" t="s">
        <v>156</v>
      </c>
      <c r="B134" s="7" t="s">
        <v>22</v>
      </c>
      <c r="C134" s="7" t="s">
        <v>26</v>
      </c>
      <c r="D134" s="7" t="s">
        <v>42</v>
      </c>
      <c r="E134" s="7" t="s">
        <v>24</v>
      </c>
      <c r="F134" s="7" t="s">
        <v>15</v>
      </c>
      <c r="G134" s="1">
        <v>45054</v>
      </c>
      <c r="H134" s="7">
        <v>361</v>
      </c>
      <c r="I134" s="7">
        <v>130.84</v>
      </c>
      <c r="J134" s="7">
        <v>102.72</v>
      </c>
      <c r="K134" s="18">
        <f>$H134*$I134</f>
        <v>47233.24</v>
      </c>
      <c r="L134" s="1">
        <f t="shared" si="1"/>
        <v>10151.320000000002</v>
      </c>
    </row>
    <row r="135" spans="1:12" x14ac:dyDescent="0.25">
      <c r="A135" s="7" t="s">
        <v>157</v>
      </c>
      <c r="B135" s="7" t="s">
        <v>17</v>
      </c>
      <c r="C135" s="7" t="s">
        <v>26</v>
      </c>
      <c r="D135" s="7" t="s">
        <v>27</v>
      </c>
      <c r="E135" s="7" t="s">
        <v>14</v>
      </c>
      <c r="F135" s="7" t="s">
        <v>15</v>
      </c>
      <c r="G135" s="1">
        <v>45055</v>
      </c>
      <c r="H135" s="7">
        <v>493</v>
      </c>
      <c r="I135" s="7">
        <v>263.26</v>
      </c>
      <c r="J135" s="7">
        <v>312.91000000000003</v>
      </c>
      <c r="K135" s="18">
        <f>$H135*$I135</f>
        <v>129787.18</v>
      </c>
      <c r="L135" s="1">
        <f t="shared" si="1"/>
        <v>-24477.450000000015</v>
      </c>
    </row>
    <row r="136" spans="1:12" x14ac:dyDescent="0.25">
      <c r="A136" s="7" t="s">
        <v>158</v>
      </c>
      <c r="B136" s="7" t="s">
        <v>17</v>
      </c>
      <c r="C136" s="7" t="s">
        <v>31</v>
      </c>
      <c r="D136" s="7" t="s">
        <v>19</v>
      </c>
      <c r="E136" s="7" t="s">
        <v>24</v>
      </c>
      <c r="F136" s="7" t="s">
        <v>15</v>
      </c>
      <c r="G136" s="1">
        <v>45056</v>
      </c>
      <c r="H136" s="7">
        <v>251</v>
      </c>
      <c r="I136" s="7">
        <v>174.61</v>
      </c>
      <c r="J136" s="7">
        <v>330.4</v>
      </c>
      <c r="K136" s="18">
        <f>$H136*$I136</f>
        <v>43827.11</v>
      </c>
      <c r="L136" s="1">
        <f t="shared" ref="L136:L199" si="2">($I136-$J136)*$H136</f>
        <v>-39103.289999999994</v>
      </c>
    </row>
    <row r="137" spans="1:12" x14ac:dyDescent="0.25">
      <c r="A137" s="7" t="s">
        <v>159</v>
      </c>
      <c r="B137" s="7" t="s">
        <v>17</v>
      </c>
      <c r="C137" s="7" t="s">
        <v>18</v>
      </c>
      <c r="D137" s="7" t="s">
        <v>27</v>
      </c>
      <c r="E137" s="7" t="s">
        <v>24</v>
      </c>
      <c r="F137" s="7" t="s">
        <v>15</v>
      </c>
      <c r="G137" s="1">
        <v>45057</v>
      </c>
      <c r="H137" s="7">
        <v>255.9</v>
      </c>
      <c r="I137" s="7">
        <v>268.45999999999998</v>
      </c>
      <c r="J137" s="7">
        <v>199.19</v>
      </c>
      <c r="K137" s="18">
        <f>$H137*$I137</f>
        <v>68698.91399999999</v>
      </c>
      <c r="L137" s="1">
        <f t="shared" si="2"/>
        <v>17726.192999999996</v>
      </c>
    </row>
    <row r="138" spans="1:12" x14ac:dyDescent="0.25">
      <c r="A138" s="7" t="s">
        <v>160</v>
      </c>
      <c r="B138" s="7" t="s">
        <v>22</v>
      </c>
      <c r="C138" s="7" t="s">
        <v>26</v>
      </c>
      <c r="D138" s="7" t="s">
        <v>27</v>
      </c>
      <c r="E138" s="7" t="s">
        <v>24</v>
      </c>
      <c r="F138" s="7" t="s">
        <v>15</v>
      </c>
      <c r="G138" s="1">
        <v>45058</v>
      </c>
      <c r="H138" s="7">
        <v>228</v>
      </c>
      <c r="I138" s="7">
        <v>67.239999999999995</v>
      </c>
      <c r="J138" s="7">
        <v>155.77000000000001</v>
      </c>
      <c r="K138" s="18">
        <f>$H138*$I138</f>
        <v>15330.72</v>
      </c>
      <c r="L138" s="1">
        <f t="shared" si="2"/>
        <v>-20184.840000000004</v>
      </c>
    </row>
    <row r="139" spans="1:12" x14ac:dyDescent="0.25">
      <c r="A139" s="7" t="s">
        <v>161</v>
      </c>
      <c r="B139" s="7" t="s">
        <v>22</v>
      </c>
      <c r="C139" s="7" t="s">
        <v>50</v>
      </c>
      <c r="D139" s="7" t="s">
        <v>27</v>
      </c>
      <c r="E139" s="7" t="s">
        <v>14</v>
      </c>
      <c r="F139" s="7" t="s">
        <v>15</v>
      </c>
      <c r="G139" s="1">
        <v>45059</v>
      </c>
      <c r="H139" s="7">
        <v>201</v>
      </c>
      <c r="I139" s="7">
        <v>70.69</v>
      </c>
      <c r="J139" s="7">
        <v>181.15</v>
      </c>
      <c r="K139" s="18">
        <f>$H139*$I139</f>
        <v>14208.689999999999</v>
      </c>
      <c r="L139" s="1">
        <f t="shared" si="2"/>
        <v>-22202.460000000003</v>
      </c>
    </row>
    <row r="140" spans="1:12" x14ac:dyDescent="0.25">
      <c r="A140" s="7" t="s">
        <v>162</v>
      </c>
      <c r="B140" s="7" t="s">
        <v>22</v>
      </c>
      <c r="C140" s="7" t="s">
        <v>26</v>
      </c>
      <c r="D140" s="7" t="s">
        <v>23</v>
      </c>
      <c r="E140" s="7" t="s">
        <v>14</v>
      </c>
      <c r="F140" s="7" t="s">
        <v>15</v>
      </c>
      <c r="G140" s="1">
        <v>45060</v>
      </c>
      <c r="H140" s="7">
        <v>26</v>
      </c>
      <c r="I140" s="7">
        <v>76.05</v>
      </c>
      <c r="J140" s="7">
        <v>92.33</v>
      </c>
      <c r="K140" s="18">
        <f>$H140*$I140</f>
        <v>1977.3</v>
      </c>
      <c r="L140" s="1">
        <f t="shared" si="2"/>
        <v>-423.28000000000003</v>
      </c>
    </row>
    <row r="141" spans="1:12" x14ac:dyDescent="0.25">
      <c r="A141" s="7" t="s">
        <v>163</v>
      </c>
      <c r="B141" s="7" t="s">
        <v>11</v>
      </c>
      <c r="C141" s="7" t="s">
        <v>26</v>
      </c>
      <c r="D141" s="7" t="s">
        <v>23</v>
      </c>
      <c r="E141" s="7" t="s">
        <v>14</v>
      </c>
      <c r="F141" s="7" t="s">
        <v>20</v>
      </c>
      <c r="G141" s="1">
        <v>45061</v>
      </c>
      <c r="H141" s="7">
        <v>21</v>
      </c>
      <c r="I141" s="7">
        <v>470.21</v>
      </c>
      <c r="J141" s="7">
        <v>355.98</v>
      </c>
      <c r="K141" s="18">
        <f>$H141*$I141</f>
        <v>9874.41</v>
      </c>
      <c r="L141" s="1">
        <f t="shared" si="2"/>
        <v>2398.829999999999</v>
      </c>
    </row>
    <row r="142" spans="1:12" x14ac:dyDescent="0.25">
      <c r="A142" s="7" t="s">
        <v>164</v>
      </c>
      <c r="B142" s="7" t="s">
        <v>22</v>
      </c>
      <c r="C142" s="7" t="s">
        <v>18</v>
      </c>
      <c r="D142" s="7" t="s">
        <v>27</v>
      </c>
      <c r="E142" s="7" t="s">
        <v>24</v>
      </c>
      <c r="F142" s="7" t="s">
        <v>28</v>
      </c>
      <c r="G142" s="1">
        <v>45062</v>
      </c>
      <c r="H142" s="7">
        <v>415</v>
      </c>
      <c r="I142" s="7">
        <v>367.78</v>
      </c>
      <c r="J142" s="7">
        <v>181.35</v>
      </c>
      <c r="K142" s="18">
        <f>$H142*$I142</f>
        <v>152628.69999999998</v>
      </c>
      <c r="L142" s="1">
        <f t="shared" si="2"/>
        <v>77368.45</v>
      </c>
    </row>
    <row r="143" spans="1:12" x14ac:dyDescent="0.25">
      <c r="A143" s="7" t="s">
        <v>165</v>
      </c>
      <c r="B143" s="7" t="s">
        <v>22</v>
      </c>
      <c r="C143" s="7" t="s">
        <v>12</v>
      </c>
      <c r="D143" s="7" t="s">
        <v>19</v>
      </c>
      <c r="E143" s="7" t="s">
        <v>24</v>
      </c>
      <c r="F143" s="7" t="s">
        <v>15</v>
      </c>
      <c r="G143" s="1">
        <v>45063</v>
      </c>
      <c r="H143" s="7">
        <v>410</v>
      </c>
      <c r="I143" s="7">
        <v>85.38</v>
      </c>
      <c r="J143" s="7">
        <v>353.22</v>
      </c>
      <c r="K143" s="18">
        <f>$H143*$I143</f>
        <v>35005.799999999996</v>
      </c>
      <c r="L143" s="1">
        <f t="shared" si="2"/>
        <v>-109814.40000000001</v>
      </c>
    </row>
    <row r="144" spans="1:12" x14ac:dyDescent="0.25">
      <c r="A144" s="7" t="s">
        <v>166</v>
      </c>
      <c r="B144" s="7" t="s">
        <v>22</v>
      </c>
      <c r="C144" s="7" t="s">
        <v>26</v>
      </c>
      <c r="D144" s="7" t="s">
        <v>42</v>
      </c>
      <c r="E144" s="7" t="s">
        <v>14</v>
      </c>
      <c r="F144" s="7" t="s">
        <v>20</v>
      </c>
      <c r="G144" s="1">
        <v>45064</v>
      </c>
      <c r="H144" s="7">
        <v>403</v>
      </c>
      <c r="I144" s="7">
        <v>98.23</v>
      </c>
      <c r="J144" s="7">
        <v>44.07</v>
      </c>
      <c r="K144" s="18">
        <f>$H144*$I144</f>
        <v>39586.69</v>
      </c>
      <c r="L144" s="1">
        <f t="shared" si="2"/>
        <v>21826.480000000003</v>
      </c>
    </row>
    <row r="145" spans="1:12" x14ac:dyDescent="0.25">
      <c r="A145" s="7" t="s">
        <v>167</v>
      </c>
      <c r="B145" s="7" t="s">
        <v>11</v>
      </c>
      <c r="C145" s="7" t="s">
        <v>31</v>
      </c>
      <c r="D145" s="7" t="s">
        <v>19</v>
      </c>
      <c r="E145" s="7" t="s">
        <v>24</v>
      </c>
      <c r="F145" s="7" t="s">
        <v>20</v>
      </c>
      <c r="G145" s="1">
        <v>45065</v>
      </c>
      <c r="H145" s="7">
        <v>383</v>
      </c>
      <c r="I145" s="7">
        <v>366.76</v>
      </c>
      <c r="J145" s="7">
        <v>395.33</v>
      </c>
      <c r="K145" s="18">
        <f>$H145*$I145</f>
        <v>140469.07999999999</v>
      </c>
      <c r="L145" s="1">
        <f t="shared" si="2"/>
        <v>-10942.309999999998</v>
      </c>
    </row>
    <row r="146" spans="1:12" x14ac:dyDescent="0.25">
      <c r="A146" s="7" t="s">
        <v>168</v>
      </c>
      <c r="B146" s="7" t="s">
        <v>22</v>
      </c>
      <c r="C146" s="7" t="s">
        <v>12</v>
      </c>
      <c r="D146" s="7" t="s">
        <v>13</v>
      </c>
      <c r="E146" s="7" t="s">
        <v>24</v>
      </c>
      <c r="F146" s="7" t="s">
        <v>20</v>
      </c>
      <c r="G146" s="1">
        <v>45066</v>
      </c>
      <c r="H146" s="7">
        <v>202</v>
      </c>
      <c r="I146" s="7">
        <v>82.3</v>
      </c>
      <c r="J146" s="7">
        <v>178.42</v>
      </c>
      <c r="K146" s="18">
        <f>$H146*$I146</f>
        <v>16624.599999999999</v>
      </c>
      <c r="L146" s="1">
        <f t="shared" si="2"/>
        <v>-19416.239999999998</v>
      </c>
    </row>
    <row r="147" spans="1:12" x14ac:dyDescent="0.25">
      <c r="A147" s="7" t="s">
        <v>169</v>
      </c>
      <c r="B147" s="7" t="s">
        <v>17</v>
      </c>
      <c r="C147" s="7" t="s">
        <v>50</v>
      </c>
      <c r="D147" s="7" t="s">
        <v>23</v>
      </c>
      <c r="E147" s="7" t="s">
        <v>24</v>
      </c>
      <c r="F147" s="7" t="s">
        <v>28</v>
      </c>
      <c r="G147" s="1">
        <v>45067</v>
      </c>
      <c r="H147" s="7">
        <v>31</v>
      </c>
      <c r="I147" s="7">
        <v>121.11</v>
      </c>
      <c r="J147" s="7">
        <v>21.04</v>
      </c>
      <c r="K147" s="18">
        <f>$H147*$I147</f>
        <v>3754.41</v>
      </c>
      <c r="L147" s="1">
        <f t="shared" si="2"/>
        <v>3102.1699999999996</v>
      </c>
    </row>
    <row r="148" spans="1:12" x14ac:dyDescent="0.25">
      <c r="A148" s="7" t="s">
        <v>170</v>
      </c>
      <c r="B148" s="7" t="s">
        <v>22</v>
      </c>
      <c r="C148" s="7" t="s">
        <v>18</v>
      </c>
      <c r="D148" s="7" t="s">
        <v>42</v>
      </c>
      <c r="E148" s="7" t="s">
        <v>24</v>
      </c>
      <c r="F148" s="7" t="s">
        <v>15</v>
      </c>
      <c r="G148" s="1">
        <v>45068</v>
      </c>
      <c r="H148" s="7">
        <v>483</v>
      </c>
      <c r="I148" s="7">
        <v>481.86</v>
      </c>
      <c r="J148" s="7">
        <v>17.13</v>
      </c>
      <c r="K148" s="18">
        <f>$H148*$I148</f>
        <v>232738.38</v>
      </c>
      <c r="L148" s="1">
        <f t="shared" si="2"/>
        <v>224464.59</v>
      </c>
    </row>
    <row r="149" spans="1:12" x14ac:dyDescent="0.25">
      <c r="A149" s="7" t="s">
        <v>171</v>
      </c>
      <c r="B149" s="7" t="s">
        <v>17</v>
      </c>
      <c r="C149" s="7" t="s">
        <v>50</v>
      </c>
      <c r="D149" s="7" t="s">
        <v>42</v>
      </c>
      <c r="E149" s="7" t="s">
        <v>24</v>
      </c>
      <c r="F149" s="7" t="s">
        <v>20</v>
      </c>
      <c r="G149" s="1">
        <v>45069</v>
      </c>
      <c r="H149" s="7">
        <v>129</v>
      </c>
      <c r="I149" s="7">
        <v>131.38</v>
      </c>
      <c r="J149" s="7">
        <v>298.99</v>
      </c>
      <c r="K149" s="18">
        <f>$H149*$I149</f>
        <v>16948.02</v>
      </c>
      <c r="L149" s="1">
        <f t="shared" si="2"/>
        <v>-21621.690000000002</v>
      </c>
    </row>
    <row r="150" spans="1:12" x14ac:dyDescent="0.25">
      <c r="A150" s="7" t="s">
        <v>172</v>
      </c>
      <c r="B150" s="7" t="s">
        <v>17</v>
      </c>
      <c r="C150" s="7" t="s">
        <v>12</v>
      </c>
      <c r="D150" s="7" t="s">
        <v>13</v>
      </c>
      <c r="E150" s="7" t="s">
        <v>14</v>
      </c>
      <c r="F150" s="7" t="s">
        <v>28</v>
      </c>
      <c r="G150" s="1">
        <v>45070</v>
      </c>
      <c r="H150" s="7">
        <v>219</v>
      </c>
      <c r="I150" s="7">
        <v>332.51</v>
      </c>
      <c r="J150" s="7">
        <v>264.3</v>
      </c>
      <c r="K150" s="18">
        <f>$H150*$I150</f>
        <v>72819.69</v>
      </c>
      <c r="L150" s="1">
        <f t="shared" si="2"/>
        <v>14937.989999999996</v>
      </c>
    </row>
    <row r="151" spans="1:12" x14ac:dyDescent="0.25">
      <c r="A151" s="7" t="s">
        <v>173</v>
      </c>
      <c r="B151" s="7" t="s">
        <v>17</v>
      </c>
      <c r="C151" s="7" t="s">
        <v>12</v>
      </c>
      <c r="D151" s="7" t="s">
        <v>13</v>
      </c>
      <c r="E151" s="7" t="s">
        <v>24</v>
      </c>
      <c r="F151" s="7" t="s">
        <v>28</v>
      </c>
      <c r="G151" s="1">
        <v>45071</v>
      </c>
      <c r="H151" s="7">
        <v>315</v>
      </c>
      <c r="I151" s="7">
        <v>489.42</v>
      </c>
      <c r="J151" s="7">
        <v>321.25</v>
      </c>
      <c r="K151" s="18">
        <f>$H151*$I151</f>
        <v>154167.30000000002</v>
      </c>
      <c r="L151" s="1">
        <f t="shared" si="2"/>
        <v>52973.55</v>
      </c>
    </row>
    <row r="152" spans="1:12" x14ac:dyDescent="0.25">
      <c r="A152" s="7" t="s">
        <v>174</v>
      </c>
      <c r="B152" s="7" t="s">
        <v>11</v>
      </c>
      <c r="C152" s="7" t="s">
        <v>12</v>
      </c>
      <c r="D152" s="7" t="s">
        <v>27</v>
      </c>
      <c r="E152" s="7" t="s">
        <v>14</v>
      </c>
      <c r="F152" s="7" t="s">
        <v>28</v>
      </c>
      <c r="G152" s="1">
        <v>45072</v>
      </c>
      <c r="H152" s="7">
        <v>279</v>
      </c>
      <c r="I152" s="7">
        <v>190.28</v>
      </c>
      <c r="J152" s="7">
        <v>43.94</v>
      </c>
      <c r="K152" s="18">
        <f>$H152*$I152</f>
        <v>53088.12</v>
      </c>
      <c r="L152" s="1">
        <f t="shared" si="2"/>
        <v>40828.86</v>
      </c>
    </row>
    <row r="153" spans="1:12" x14ac:dyDescent="0.25">
      <c r="A153" s="7" t="s">
        <v>175</v>
      </c>
      <c r="B153" s="7" t="s">
        <v>11</v>
      </c>
      <c r="C153" s="7" t="s">
        <v>50</v>
      </c>
      <c r="D153" s="7" t="s">
        <v>23</v>
      </c>
      <c r="E153" s="7" t="s">
        <v>24</v>
      </c>
      <c r="F153" s="7" t="s">
        <v>20</v>
      </c>
      <c r="G153" s="1">
        <v>45073</v>
      </c>
      <c r="H153" s="7">
        <v>201</v>
      </c>
      <c r="I153" s="7">
        <v>13.67</v>
      </c>
      <c r="J153" s="7">
        <v>16.16</v>
      </c>
      <c r="K153" s="18">
        <f>$H153*$I153</f>
        <v>2747.67</v>
      </c>
      <c r="L153" s="1">
        <f t="shared" si="2"/>
        <v>-500.49000000000007</v>
      </c>
    </row>
    <row r="154" spans="1:12" x14ac:dyDescent="0.25">
      <c r="A154" s="7" t="s">
        <v>176</v>
      </c>
      <c r="B154" s="7" t="s">
        <v>11</v>
      </c>
      <c r="C154" s="7" t="s">
        <v>12</v>
      </c>
      <c r="D154" s="7" t="s">
        <v>23</v>
      </c>
      <c r="E154" s="7" t="s">
        <v>14</v>
      </c>
      <c r="F154" s="7" t="s">
        <v>15</v>
      </c>
      <c r="G154" s="1">
        <v>45074</v>
      </c>
      <c r="H154" s="7">
        <v>184</v>
      </c>
      <c r="I154" s="7">
        <v>125.85</v>
      </c>
      <c r="J154" s="7">
        <v>204.41</v>
      </c>
      <c r="K154" s="18">
        <f>$H154*$I154</f>
        <v>23156.399999999998</v>
      </c>
      <c r="L154" s="1">
        <f t="shared" si="2"/>
        <v>-14455.04</v>
      </c>
    </row>
    <row r="155" spans="1:12" x14ac:dyDescent="0.25">
      <c r="A155" s="7" t="s">
        <v>177</v>
      </c>
      <c r="B155" s="7" t="s">
        <v>22</v>
      </c>
      <c r="C155" s="7" t="s">
        <v>50</v>
      </c>
      <c r="D155" s="7" t="s">
        <v>19</v>
      </c>
      <c r="E155" s="7" t="s">
        <v>24</v>
      </c>
      <c r="F155" s="7" t="s">
        <v>20</v>
      </c>
      <c r="G155" s="1">
        <v>45075</v>
      </c>
      <c r="H155" s="7">
        <v>294</v>
      </c>
      <c r="I155" s="7">
        <v>416.28</v>
      </c>
      <c r="J155" s="7">
        <v>156.26</v>
      </c>
      <c r="K155" s="18">
        <f>$H155*$I155</f>
        <v>122386.31999999999</v>
      </c>
      <c r="L155" s="1">
        <f t="shared" si="2"/>
        <v>76445.87999999999</v>
      </c>
    </row>
    <row r="156" spans="1:12" x14ac:dyDescent="0.25">
      <c r="A156" s="7" t="s">
        <v>178</v>
      </c>
      <c r="B156" s="7" t="s">
        <v>17</v>
      </c>
      <c r="C156" s="7" t="s">
        <v>12</v>
      </c>
      <c r="D156" s="7" t="s">
        <v>27</v>
      </c>
      <c r="E156" s="7" t="s">
        <v>14</v>
      </c>
      <c r="F156" s="7" t="s">
        <v>20</v>
      </c>
      <c r="G156" s="1">
        <v>45076</v>
      </c>
      <c r="H156" s="7">
        <v>213</v>
      </c>
      <c r="I156" s="7">
        <v>432.98</v>
      </c>
      <c r="J156" s="7">
        <v>185.85</v>
      </c>
      <c r="K156" s="18">
        <f>$H156*$I156</f>
        <v>92224.74</v>
      </c>
      <c r="L156" s="1">
        <f t="shared" si="2"/>
        <v>52638.69</v>
      </c>
    </row>
    <row r="157" spans="1:12" x14ac:dyDescent="0.25">
      <c r="A157" s="7" t="s">
        <v>179</v>
      </c>
      <c r="B157" s="7" t="s">
        <v>11</v>
      </c>
      <c r="C157" s="7" t="s">
        <v>31</v>
      </c>
      <c r="D157" s="7" t="s">
        <v>27</v>
      </c>
      <c r="E157" s="7" t="s">
        <v>24</v>
      </c>
      <c r="F157" s="7" t="s">
        <v>15</v>
      </c>
      <c r="G157" s="1">
        <v>45077</v>
      </c>
      <c r="H157" s="7">
        <v>173</v>
      </c>
      <c r="I157" s="7">
        <v>385.42</v>
      </c>
      <c r="J157" s="7">
        <v>396.65</v>
      </c>
      <c r="K157" s="18">
        <f>$H157*$I157</f>
        <v>66677.66</v>
      </c>
      <c r="L157" s="1">
        <f t="shared" si="2"/>
        <v>-1942.7899999999934</v>
      </c>
    </row>
    <row r="158" spans="1:12" x14ac:dyDescent="0.25">
      <c r="A158" s="7" t="s">
        <v>180</v>
      </c>
      <c r="B158" s="7" t="s">
        <v>11</v>
      </c>
      <c r="C158" s="7" t="s">
        <v>12</v>
      </c>
      <c r="D158" s="7" t="s">
        <v>27</v>
      </c>
      <c r="E158" s="7" t="s">
        <v>14</v>
      </c>
      <c r="F158" s="7" t="s">
        <v>15</v>
      </c>
      <c r="G158" s="1">
        <v>45078</v>
      </c>
      <c r="H158" s="7">
        <v>260</v>
      </c>
      <c r="I158" s="7">
        <v>60.99</v>
      </c>
      <c r="J158" s="7">
        <v>388.36</v>
      </c>
      <c r="K158" s="18">
        <f>$H158*$I158</f>
        <v>15857.4</v>
      </c>
      <c r="L158" s="1">
        <f t="shared" si="2"/>
        <v>-85116.2</v>
      </c>
    </row>
    <row r="159" spans="1:12" x14ac:dyDescent="0.25">
      <c r="A159" s="7" t="s">
        <v>181</v>
      </c>
      <c r="B159" s="7" t="s">
        <v>22</v>
      </c>
      <c r="C159" s="7" t="s">
        <v>50</v>
      </c>
      <c r="D159" s="7" t="s">
        <v>27</v>
      </c>
      <c r="E159" s="7" t="s">
        <v>24</v>
      </c>
      <c r="F159" s="7" t="s">
        <v>15</v>
      </c>
      <c r="G159" s="1">
        <v>45079</v>
      </c>
      <c r="H159" s="7">
        <v>236</v>
      </c>
      <c r="I159" s="7">
        <v>398.78</v>
      </c>
      <c r="J159" s="7">
        <v>377.04</v>
      </c>
      <c r="K159" s="18">
        <f>$H159*$I159</f>
        <v>94112.079999999987</v>
      </c>
      <c r="L159" s="1">
        <f t="shared" si="2"/>
        <v>5130.6399999999885</v>
      </c>
    </row>
    <row r="160" spans="1:12" x14ac:dyDescent="0.25">
      <c r="A160" s="7" t="s">
        <v>182</v>
      </c>
      <c r="B160" s="7" t="s">
        <v>11</v>
      </c>
      <c r="C160" s="7" t="s">
        <v>26</v>
      </c>
      <c r="D160" s="7" t="s">
        <v>23</v>
      </c>
      <c r="E160" s="7" t="s">
        <v>14</v>
      </c>
      <c r="F160" s="7" t="s">
        <v>28</v>
      </c>
      <c r="G160" s="1">
        <v>45080</v>
      </c>
      <c r="H160" s="7">
        <v>445</v>
      </c>
      <c r="I160" s="7">
        <v>459.75</v>
      </c>
      <c r="J160" s="7">
        <v>313.97000000000003</v>
      </c>
      <c r="K160" s="18">
        <f>$H160*$I160</f>
        <v>204588.75</v>
      </c>
      <c r="L160" s="1">
        <f t="shared" si="2"/>
        <v>64872.099999999991</v>
      </c>
    </row>
    <row r="161" spans="1:12" x14ac:dyDescent="0.25">
      <c r="A161" s="7" t="s">
        <v>183</v>
      </c>
      <c r="B161" s="7" t="s">
        <v>22</v>
      </c>
      <c r="C161" s="7" t="s">
        <v>12</v>
      </c>
      <c r="D161" s="7" t="s">
        <v>23</v>
      </c>
      <c r="E161" s="7" t="s">
        <v>24</v>
      </c>
      <c r="F161" s="7" t="s">
        <v>15</v>
      </c>
      <c r="G161" s="1">
        <v>45081</v>
      </c>
      <c r="H161" s="7">
        <v>390</v>
      </c>
      <c r="I161" s="7">
        <v>302.3</v>
      </c>
      <c r="J161" s="7">
        <v>143.22999999999999</v>
      </c>
      <c r="K161" s="18">
        <f>$H161*$I161</f>
        <v>117897</v>
      </c>
      <c r="L161" s="1">
        <f t="shared" si="2"/>
        <v>62037.30000000001</v>
      </c>
    </row>
    <row r="162" spans="1:12" x14ac:dyDescent="0.25">
      <c r="A162" s="7" t="s">
        <v>184</v>
      </c>
      <c r="B162" s="7" t="s">
        <v>48</v>
      </c>
      <c r="C162" s="7" t="s">
        <v>26</v>
      </c>
      <c r="D162" s="7" t="s">
        <v>27</v>
      </c>
      <c r="E162" s="7" t="s">
        <v>14</v>
      </c>
      <c r="F162" s="7" t="s">
        <v>20</v>
      </c>
      <c r="G162" s="1">
        <v>45082</v>
      </c>
      <c r="H162" s="7">
        <v>469</v>
      </c>
      <c r="I162" s="7">
        <v>470.73</v>
      </c>
      <c r="J162" s="7">
        <v>166.03</v>
      </c>
      <c r="K162" s="18">
        <f>$H162*$I162</f>
        <v>220772.37</v>
      </c>
      <c r="L162" s="1">
        <f t="shared" si="2"/>
        <v>142904.30000000002</v>
      </c>
    </row>
    <row r="163" spans="1:12" x14ac:dyDescent="0.25">
      <c r="A163" s="7" t="s">
        <v>185</v>
      </c>
      <c r="B163" s="7" t="s">
        <v>11</v>
      </c>
      <c r="C163" s="7" t="s">
        <v>31</v>
      </c>
      <c r="D163" s="7" t="s">
        <v>19</v>
      </c>
      <c r="E163" s="7" t="s">
        <v>14</v>
      </c>
      <c r="F163" s="7" t="s">
        <v>15</v>
      </c>
      <c r="G163" s="1">
        <v>45083</v>
      </c>
      <c r="H163" s="7">
        <v>16</v>
      </c>
      <c r="I163" s="7">
        <v>249.64</v>
      </c>
      <c r="J163" s="7">
        <v>220.75</v>
      </c>
      <c r="K163" s="18">
        <f>$H163*$I163</f>
        <v>3994.24</v>
      </c>
      <c r="L163" s="1">
        <f t="shared" si="2"/>
        <v>462.23999999999978</v>
      </c>
    </row>
    <row r="164" spans="1:12" x14ac:dyDescent="0.25">
      <c r="A164" s="7" t="s">
        <v>186</v>
      </c>
      <c r="B164" s="7" t="s">
        <v>48</v>
      </c>
      <c r="C164" s="7" t="s">
        <v>18</v>
      </c>
      <c r="D164" s="7" t="s">
        <v>42</v>
      </c>
      <c r="E164" s="7" t="s">
        <v>24</v>
      </c>
      <c r="F164" s="7" t="s">
        <v>20</v>
      </c>
      <c r="G164" s="1">
        <v>45084</v>
      </c>
      <c r="H164" s="7">
        <v>38</v>
      </c>
      <c r="I164" s="7">
        <v>335.15</v>
      </c>
      <c r="J164" s="7">
        <v>332.55</v>
      </c>
      <c r="K164" s="18">
        <f>$H164*$I164</f>
        <v>12735.699999999999</v>
      </c>
      <c r="L164" s="1">
        <f t="shared" si="2"/>
        <v>98.799999999998704</v>
      </c>
    </row>
    <row r="165" spans="1:12" x14ac:dyDescent="0.25">
      <c r="A165" s="7" t="s">
        <v>187</v>
      </c>
      <c r="B165" s="7" t="s">
        <v>22</v>
      </c>
      <c r="C165" s="7" t="s">
        <v>31</v>
      </c>
      <c r="D165" s="7" t="s">
        <v>42</v>
      </c>
      <c r="E165" s="7" t="s">
        <v>24</v>
      </c>
      <c r="F165" s="7" t="s">
        <v>28</v>
      </c>
      <c r="G165" s="1">
        <v>45085</v>
      </c>
      <c r="H165" s="7">
        <v>404</v>
      </c>
      <c r="I165" s="7">
        <v>290.70999999999998</v>
      </c>
      <c r="J165" s="7">
        <v>29.35</v>
      </c>
      <c r="K165" s="18">
        <f>$H165*$I165</f>
        <v>117446.84</v>
      </c>
      <c r="L165" s="1">
        <f t="shared" si="2"/>
        <v>105589.43999999999</v>
      </c>
    </row>
    <row r="166" spans="1:12" x14ac:dyDescent="0.25">
      <c r="A166" s="7" t="s">
        <v>188</v>
      </c>
      <c r="B166" s="7" t="s">
        <v>17</v>
      </c>
      <c r="C166" s="7" t="s">
        <v>12</v>
      </c>
      <c r="D166" s="7" t="s">
        <v>19</v>
      </c>
      <c r="E166" s="7" t="s">
        <v>14</v>
      </c>
      <c r="F166" s="7" t="s">
        <v>20</v>
      </c>
      <c r="G166" s="1">
        <v>45086</v>
      </c>
      <c r="H166" s="7">
        <v>42</v>
      </c>
      <c r="I166" s="7">
        <v>177.54</v>
      </c>
      <c r="J166" s="7">
        <v>170.87</v>
      </c>
      <c r="K166" s="18">
        <f>$H166*$I166</f>
        <v>7456.6799999999994</v>
      </c>
      <c r="L166" s="1">
        <f t="shared" si="2"/>
        <v>280.13999999999947</v>
      </c>
    </row>
    <row r="167" spans="1:12" x14ac:dyDescent="0.25">
      <c r="A167" s="7" t="s">
        <v>189</v>
      </c>
      <c r="B167" s="7" t="s">
        <v>11</v>
      </c>
      <c r="C167" s="7" t="s">
        <v>26</v>
      </c>
      <c r="D167" s="7" t="s">
        <v>27</v>
      </c>
      <c r="E167" s="7" t="s">
        <v>24</v>
      </c>
      <c r="F167" s="7" t="s">
        <v>20</v>
      </c>
      <c r="G167" s="1">
        <v>45087</v>
      </c>
      <c r="H167" s="7">
        <v>143</v>
      </c>
      <c r="I167" s="7">
        <v>83.85</v>
      </c>
      <c r="J167" s="7">
        <v>34.880000000000003</v>
      </c>
      <c r="K167" s="18">
        <f>$H167*$I167</f>
        <v>11990.55</v>
      </c>
      <c r="L167" s="1">
        <f t="shared" si="2"/>
        <v>7002.7099999999991</v>
      </c>
    </row>
    <row r="168" spans="1:12" x14ac:dyDescent="0.25">
      <c r="A168" s="7" t="s">
        <v>190</v>
      </c>
      <c r="B168" s="7" t="s">
        <v>22</v>
      </c>
      <c r="C168" s="7" t="s">
        <v>26</v>
      </c>
      <c r="D168" s="7" t="s">
        <v>23</v>
      </c>
      <c r="E168" s="7" t="s">
        <v>14</v>
      </c>
      <c r="F168" s="7" t="s">
        <v>15</v>
      </c>
      <c r="G168" s="1">
        <v>45088</v>
      </c>
      <c r="H168" s="7">
        <v>376</v>
      </c>
      <c r="I168" s="7">
        <v>304.45</v>
      </c>
      <c r="J168" s="7">
        <v>206.83</v>
      </c>
      <c r="K168" s="18">
        <f>$H168*$I168</f>
        <v>114473.2</v>
      </c>
      <c r="L168" s="1">
        <f t="shared" si="2"/>
        <v>36705.119999999988</v>
      </c>
    </row>
    <row r="169" spans="1:12" x14ac:dyDescent="0.25">
      <c r="A169" s="7" t="s">
        <v>191</v>
      </c>
      <c r="B169" s="7" t="s">
        <v>17</v>
      </c>
      <c r="C169" s="7" t="s">
        <v>50</v>
      </c>
      <c r="D169" s="7" t="s">
        <v>42</v>
      </c>
      <c r="E169" s="7" t="s">
        <v>14</v>
      </c>
      <c r="F169" s="7" t="s">
        <v>15</v>
      </c>
      <c r="G169" s="1">
        <v>45089</v>
      </c>
      <c r="H169" s="7">
        <v>88</v>
      </c>
      <c r="I169" s="7">
        <v>162.47</v>
      </c>
      <c r="J169" s="7">
        <v>359.76</v>
      </c>
      <c r="K169" s="18">
        <f>$H169*$I169</f>
        <v>14297.36</v>
      </c>
      <c r="L169" s="1">
        <f t="shared" si="2"/>
        <v>-17361.52</v>
      </c>
    </row>
    <row r="170" spans="1:12" x14ac:dyDescent="0.25">
      <c r="A170" s="7" t="s">
        <v>192</v>
      </c>
      <c r="B170" s="7" t="s">
        <v>17</v>
      </c>
      <c r="C170" s="7" t="s">
        <v>26</v>
      </c>
      <c r="D170" s="7" t="s">
        <v>13</v>
      </c>
      <c r="E170" s="7" t="s">
        <v>14</v>
      </c>
      <c r="F170" s="7" t="s">
        <v>20</v>
      </c>
      <c r="G170" s="1">
        <v>45090</v>
      </c>
      <c r="H170" s="7">
        <v>425</v>
      </c>
      <c r="I170" s="7">
        <v>433.89</v>
      </c>
      <c r="J170" s="7">
        <v>313.43</v>
      </c>
      <c r="K170" s="18">
        <f>$H170*$I170</f>
        <v>184403.25</v>
      </c>
      <c r="L170" s="1">
        <f t="shared" si="2"/>
        <v>51195.499999999993</v>
      </c>
    </row>
    <row r="171" spans="1:12" x14ac:dyDescent="0.25">
      <c r="A171" s="7" t="s">
        <v>193</v>
      </c>
      <c r="B171" s="7" t="s">
        <v>48</v>
      </c>
      <c r="C171" s="7" t="s">
        <v>50</v>
      </c>
      <c r="D171" s="7" t="s">
        <v>13</v>
      </c>
      <c r="E171" s="7" t="s">
        <v>24</v>
      </c>
      <c r="F171" s="7" t="s">
        <v>15</v>
      </c>
      <c r="G171" s="1">
        <v>45091</v>
      </c>
      <c r="H171" s="7">
        <v>444</v>
      </c>
      <c r="I171" s="7">
        <v>496.7</v>
      </c>
      <c r="J171" s="7">
        <v>92.68</v>
      </c>
      <c r="K171" s="18">
        <f>$H171*$I171</f>
        <v>220534.8</v>
      </c>
      <c r="L171" s="1">
        <f t="shared" si="2"/>
        <v>179384.88</v>
      </c>
    </row>
    <row r="172" spans="1:12" x14ac:dyDescent="0.25">
      <c r="A172" s="7" t="s">
        <v>194</v>
      </c>
      <c r="B172" s="7" t="s">
        <v>22</v>
      </c>
      <c r="C172" s="7" t="s">
        <v>18</v>
      </c>
      <c r="D172" s="7" t="s">
        <v>19</v>
      </c>
      <c r="E172" s="7" t="s">
        <v>14</v>
      </c>
      <c r="F172" s="7" t="s">
        <v>28</v>
      </c>
      <c r="G172" s="1">
        <v>45092</v>
      </c>
      <c r="H172" s="7">
        <v>468</v>
      </c>
      <c r="I172" s="7">
        <v>377.45</v>
      </c>
      <c r="J172" s="7">
        <v>390.44</v>
      </c>
      <c r="K172" s="18">
        <f>$H172*$I172</f>
        <v>176646.6</v>
      </c>
      <c r="L172" s="1">
        <f t="shared" si="2"/>
        <v>-6079.3200000000043</v>
      </c>
    </row>
    <row r="173" spans="1:12" x14ac:dyDescent="0.25">
      <c r="A173" s="7" t="s">
        <v>195</v>
      </c>
      <c r="B173" s="7" t="s">
        <v>17</v>
      </c>
      <c r="C173" s="7" t="s">
        <v>12</v>
      </c>
      <c r="D173" s="7" t="s">
        <v>27</v>
      </c>
      <c r="E173" s="7" t="s">
        <v>14</v>
      </c>
      <c r="F173" s="7" t="s">
        <v>28</v>
      </c>
      <c r="G173" s="1">
        <v>45093</v>
      </c>
      <c r="H173" s="7">
        <v>67</v>
      </c>
      <c r="I173" s="7">
        <v>49.79</v>
      </c>
      <c r="J173" s="7">
        <v>267.61</v>
      </c>
      <c r="K173" s="18">
        <f>$H173*$I173</f>
        <v>3335.93</v>
      </c>
      <c r="L173" s="1">
        <f t="shared" si="2"/>
        <v>-14593.940000000002</v>
      </c>
    </row>
    <row r="174" spans="1:12" x14ac:dyDescent="0.25">
      <c r="A174" s="7" t="s">
        <v>196</v>
      </c>
      <c r="B174" s="7" t="s">
        <v>11</v>
      </c>
      <c r="C174" s="7" t="s">
        <v>50</v>
      </c>
      <c r="D174" s="7" t="s">
        <v>42</v>
      </c>
      <c r="E174" s="7" t="s">
        <v>24</v>
      </c>
      <c r="F174" s="7" t="s">
        <v>15</v>
      </c>
      <c r="G174" s="1">
        <v>45094</v>
      </c>
      <c r="H174" s="7">
        <v>480</v>
      </c>
      <c r="I174" s="7">
        <v>147.9</v>
      </c>
      <c r="J174" s="7">
        <v>6.15</v>
      </c>
      <c r="K174" s="18">
        <f>$H174*$I174</f>
        <v>70992</v>
      </c>
      <c r="L174" s="1">
        <f t="shared" si="2"/>
        <v>68040</v>
      </c>
    </row>
    <row r="175" spans="1:12" x14ac:dyDescent="0.25">
      <c r="A175" s="7" t="s">
        <v>197</v>
      </c>
      <c r="B175" s="7" t="s">
        <v>11</v>
      </c>
      <c r="C175" s="7" t="s">
        <v>18</v>
      </c>
      <c r="D175" s="7" t="s">
        <v>27</v>
      </c>
      <c r="E175" s="7" t="s">
        <v>24</v>
      </c>
      <c r="F175" s="7" t="s">
        <v>28</v>
      </c>
      <c r="G175" s="1">
        <v>45095</v>
      </c>
      <c r="H175" s="7">
        <v>35</v>
      </c>
      <c r="I175" s="7">
        <v>59.01</v>
      </c>
      <c r="J175" s="7">
        <v>103.65</v>
      </c>
      <c r="K175" s="18">
        <f>$H175*$I175</f>
        <v>2065.35</v>
      </c>
      <c r="L175" s="1">
        <f t="shared" si="2"/>
        <v>-1562.4000000000003</v>
      </c>
    </row>
    <row r="176" spans="1:12" x14ac:dyDescent="0.25">
      <c r="A176" s="7" t="s">
        <v>198</v>
      </c>
      <c r="B176" s="7" t="s">
        <v>48</v>
      </c>
      <c r="C176" s="7" t="s">
        <v>26</v>
      </c>
      <c r="D176" s="7" t="s">
        <v>42</v>
      </c>
      <c r="E176" s="7" t="s">
        <v>24</v>
      </c>
      <c r="F176" s="7" t="s">
        <v>15</v>
      </c>
      <c r="G176" s="1">
        <v>45096</v>
      </c>
      <c r="H176" s="7">
        <v>491</v>
      </c>
      <c r="I176" s="7">
        <v>327</v>
      </c>
      <c r="J176" s="7">
        <v>105.76</v>
      </c>
      <c r="K176" s="18">
        <f>$H176*$I176</f>
        <v>160557</v>
      </c>
      <c r="L176" s="1">
        <f t="shared" si="2"/>
        <v>108628.84000000001</v>
      </c>
    </row>
    <row r="177" spans="1:12" x14ac:dyDescent="0.25">
      <c r="A177" s="7" t="s">
        <v>199</v>
      </c>
      <c r="B177" s="7" t="s">
        <v>17</v>
      </c>
      <c r="C177" s="7" t="s">
        <v>26</v>
      </c>
      <c r="D177" s="7" t="s">
        <v>19</v>
      </c>
      <c r="E177" s="7" t="s">
        <v>24</v>
      </c>
      <c r="F177" s="7" t="s">
        <v>20</v>
      </c>
      <c r="G177" s="1">
        <v>45097</v>
      </c>
      <c r="H177" s="7">
        <v>439</v>
      </c>
      <c r="I177" s="7">
        <v>383.77</v>
      </c>
      <c r="J177" s="7">
        <v>29.56</v>
      </c>
      <c r="K177" s="18">
        <f>$H177*$I177</f>
        <v>168475.03</v>
      </c>
      <c r="L177" s="1">
        <f t="shared" si="2"/>
        <v>155498.19</v>
      </c>
    </row>
    <row r="178" spans="1:12" x14ac:dyDescent="0.25">
      <c r="A178" s="7" t="s">
        <v>200</v>
      </c>
      <c r="B178" s="7" t="s">
        <v>22</v>
      </c>
      <c r="C178" s="7" t="s">
        <v>18</v>
      </c>
      <c r="D178" s="7" t="s">
        <v>19</v>
      </c>
      <c r="E178" s="7" t="s">
        <v>14</v>
      </c>
      <c r="F178" s="7" t="s">
        <v>20</v>
      </c>
      <c r="G178" s="1">
        <v>45098</v>
      </c>
      <c r="H178" s="7">
        <v>235</v>
      </c>
      <c r="I178" s="7">
        <v>463.21</v>
      </c>
      <c r="J178" s="7">
        <v>384.01</v>
      </c>
      <c r="K178" s="18">
        <f>$H178*$I178</f>
        <v>108854.34999999999</v>
      </c>
      <c r="L178" s="1">
        <f t="shared" si="2"/>
        <v>18611.999999999996</v>
      </c>
    </row>
    <row r="179" spans="1:12" x14ac:dyDescent="0.25">
      <c r="A179" s="7" t="s">
        <v>201</v>
      </c>
      <c r="B179" s="7" t="s">
        <v>11</v>
      </c>
      <c r="C179" s="7" t="s">
        <v>26</v>
      </c>
      <c r="D179" s="7" t="s">
        <v>13</v>
      </c>
      <c r="E179" s="7" t="s">
        <v>14</v>
      </c>
      <c r="F179" s="7" t="s">
        <v>28</v>
      </c>
      <c r="G179" s="1">
        <v>45099</v>
      </c>
      <c r="H179" s="7">
        <v>294</v>
      </c>
      <c r="I179" s="7">
        <v>221.9</v>
      </c>
      <c r="J179" s="7">
        <v>192.35</v>
      </c>
      <c r="K179" s="18">
        <f>$H179*$I179</f>
        <v>65238.6</v>
      </c>
      <c r="L179" s="1">
        <f t="shared" si="2"/>
        <v>8687.7000000000025</v>
      </c>
    </row>
    <row r="180" spans="1:12" x14ac:dyDescent="0.25">
      <c r="A180" s="7" t="s">
        <v>202</v>
      </c>
      <c r="B180" s="7" t="s">
        <v>17</v>
      </c>
      <c r="C180" s="7" t="s">
        <v>18</v>
      </c>
      <c r="D180" s="7" t="s">
        <v>27</v>
      </c>
      <c r="E180" s="7" t="s">
        <v>14</v>
      </c>
      <c r="F180" s="7" t="s">
        <v>15</v>
      </c>
      <c r="G180" s="1">
        <v>45100</v>
      </c>
      <c r="H180" s="7">
        <v>13</v>
      </c>
      <c r="I180" s="7">
        <v>451.18</v>
      </c>
      <c r="J180" s="7">
        <v>358.53</v>
      </c>
      <c r="K180" s="18">
        <f>$H180*$I180</f>
        <v>5865.34</v>
      </c>
      <c r="L180" s="1">
        <f t="shared" si="2"/>
        <v>1204.4500000000005</v>
      </c>
    </row>
    <row r="181" spans="1:12" x14ac:dyDescent="0.25">
      <c r="A181" s="7" t="s">
        <v>203</v>
      </c>
      <c r="B181" s="7" t="s">
        <v>17</v>
      </c>
      <c r="C181" s="7" t="s">
        <v>50</v>
      </c>
      <c r="D181" s="7" t="s">
        <v>13</v>
      </c>
      <c r="E181" s="7" t="s">
        <v>14</v>
      </c>
      <c r="F181" s="7" t="s">
        <v>15</v>
      </c>
      <c r="G181" s="1">
        <v>45101</v>
      </c>
      <c r="H181" s="7">
        <v>474</v>
      </c>
      <c r="I181" s="7">
        <v>439.56</v>
      </c>
      <c r="J181" s="7">
        <v>130.24</v>
      </c>
      <c r="K181" s="18">
        <f>$H181*$I181</f>
        <v>208351.44</v>
      </c>
      <c r="L181" s="1">
        <f t="shared" si="2"/>
        <v>146617.68</v>
      </c>
    </row>
    <row r="182" spans="1:12" x14ac:dyDescent="0.25">
      <c r="A182" s="7" t="s">
        <v>204</v>
      </c>
      <c r="B182" s="7" t="s">
        <v>48</v>
      </c>
      <c r="C182" s="7" t="s">
        <v>50</v>
      </c>
      <c r="D182" s="7" t="s">
        <v>27</v>
      </c>
      <c r="E182" s="7" t="s">
        <v>24</v>
      </c>
      <c r="F182" s="7" t="s">
        <v>28</v>
      </c>
      <c r="G182" s="1">
        <v>45102</v>
      </c>
      <c r="H182" s="7">
        <v>108</v>
      </c>
      <c r="I182" s="7">
        <v>162.01</v>
      </c>
      <c r="J182" s="7">
        <v>51.84</v>
      </c>
      <c r="K182" s="18">
        <f>$H182*$I182</f>
        <v>17497.079999999998</v>
      </c>
      <c r="L182" s="1">
        <f t="shared" si="2"/>
        <v>11898.359999999999</v>
      </c>
    </row>
    <row r="183" spans="1:12" x14ac:dyDescent="0.25">
      <c r="A183" s="7" t="s">
        <v>205</v>
      </c>
      <c r="B183" s="7" t="s">
        <v>11</v>
      </c>
      <c r="C183" s="7" t="s">
        <v>18</v>
      </c>
      <c r="D183" s="7" t="s">
        <v>13</v>
      </c>
      <c r="E183" s="7" t="s">
        <v>14</v>
      </c>
      <c r="F183" s="7" t="s">
        <v>20</v>
      </c>
      <c r="G183" s="1">
        <v>45103</v>
      </c>
      <c r="H183" s="7">
        <v>406</v>
      </c>
      <c r="I183" s="7">
        <v>435.11</v>
      </c>
      <c r="J183" s="7">
        <v>190.79</v>
      </c>
      <c r="K183" s="18">
        <f>$H183*$I183</f>
        <v>176654.66</v>
      </c>
      <c r="L183" s="1">
        <f t="shared" si="2"/>
        <v>99193.920000000013</v>
      </c>
    </row>
    <row r="184" spans="1:12" x14ac:dyDescent="0.25">
      <c r="A184" s="7" t="s">
        <v>206</v>
      </c>
      <c r="B184" s="7" t="s">
        <v>11</v>
      </c>
      <c r="C184" s="7" t="s">
        <v>50</v>
      </c>
      <c r="D184" s="7" t="s">
        <v>23</v>
      </c>
      <c r="E184" s="7" t="s">
        <v>14</v>
      </c>
      <c r="F184" s="7" t="s">
        <v>28</v>
      </c>
      <c r="G184" s="1">
        <v>45104</v>
      </c>
      <c r="H184" s="7">
        <v>498</v>
      </c>
      <c r="I184" s="7">
        <v>190.96</v>
      </c>
      <c r="J184" s="7">
        <v>47.35</v>
      </c>
      <c r="K184" s="18">
        <f>$H184*$I184</f>
        <v>95098.08</v>
      </c>
      <c r="L184" s="1">
        <f t="shared" si="2"/>
        <v>71517.780000000013</v>
      </c>
    </row>
    <row r="185" spans="1:12" x14ac:dyDescent="0.25">
      <c r="A185" s="7" t="s">
        <v>207</v>
      </c>
      <c r="B185" s="7" t="s">
        <v>22</v>
      </c>
      <c r="C185" s="7" t="s">
        <v>50</v>
      </c>
      <c r="D185" s="7" t="s">
        <v>23</v>
      </c>
      <c r="E185" s="7" t="s">
        <v>24</v>
      </c>
      <c r="F185" s="7" t="s">
        <v>20</v>
      </c>
      <c r="G185" s="1">
        <v>45105</v>
      </c>
      <c r="H185" s="7">
        <v>48</v>
      </c>
      <c r="I185" s="7">
        <v>151.94999999999999</v>
      </c>
      <c r="J185" s="7">
        <v>195.43</v>
      </c>
      <c r="K185" s="18">
        <f>$H185*$I185</f>
        <v>7293.5999999999995</v>
      </c>
      <c r="L185" s="1">
        <f t="shared" si="2"/>
        <v>-2087.0400000000009</v>
      </c>
    </row>
    <row r="186" spans="1:12" x14ac:dyDescent="0.25">
      <c r="A186" s="7" t="s">
        <v>208</v>
      </c>
      <c r="B186" s="7" t="s">
        <v>11</v>
      </c>
      <c r="C186" s="7" t="s">
        <v>50</v>
      </c>
      <c r="D186" s="7" t="s">
        <v>23</v>
      </c>
      <c r="E186" s="7" t="s">
        <v>14</v>
      </c>
      <c r="F186" s="7" t="s">
        <v>15</v>
      </c>
      <c r="G186" s="1">
        <v>45106</v>
      </c>
      <c r="H186" s="7">
        <v>280</v>
      </c>
      <c r="I186" s="7">
        <v>326.29000000000002</v>
      </c>
      <c r="J186" s="7">
        <v>368.28</v>
      </c>
      <c r="K186" s="18">
        <f>$H186*$I186</f>
        <v>91361.200000000012</v>
      </c>
      <c r="L186" s="1">
        <f t="shared" si="2"/>
        <v>-11757.199999999986</v>
      </c>
    </row>
    <row r="187" spans="1:12" x14ac:dyDescent="0.25">
      <c r="A187" s="7" t="s">
        <v>209</v>
      </c>
      <c r="B187" s="7" t="s">
        <v>22</v>
      </c>
      <c r="C187" s="7" t="s">
        <v>31</v>
      </c>
      <c r="D187" s="7" t="s">
        <v>23</v>
      </c>
      <c r="E187" s="7" t="s">
        <v>14</v>
      </c>
      <c r="F187" s="7" t="s">
        <v>20</v>
      </c>
      <c r="G187" s="1">
        <v>45107</v>
      </c>
      <c r="H187" s="7">
        <v>384</v>
      </c>
      <c r="I187" s="7">
        <v>167.55</v>
      </c>
      <c r="J187" s="7">
        <v>209.27</v>
      </c>
      <c r="K187" s="18">
        <f>$H187*$I187</f>
        <v>64339.200000000004</v>
      </c>
      <c r="L187" s="1">
        <f t="shared" si="2"/>
        <v>-16020.48</v>
      </c>
    </row>
    <row r="188" spans="1:12" x14ac:dyDescent="0.25">
      <c r="A188" s="7" t="s">
        <v>210</v>
      </c>
      <c r="B188" s="7" t="s">
        <v>11</v>
      </c>
      <c r="C188" s="7" t="s">
        <v>12</v>
      </c>
      <c r="D188" s="7" t="s">
        <v>42</v>
      </c>
      <c r="E188" s="7" t="s">
        <v>14</v>
      </c>
      <c r="F188" s="7" t="s">
        <v>28</v>
      </c>
      <c r="G188" s="1">
        <v>45108</v>
      </c>
      <c r="H188" s="7">
        <v>294</v>
      </c>
      <c r="I188" s="7">
        <v>316.95</v>
      </c>
      <c r="J188" s="7">
        <v>247.37</v>
      </c>
      <c r="K188" s="18">
        <f>$H188*$I188</f>
        <v>93183.3</v>
      </c>
      <c r="L188" s="1">
        <f t="shared" si="2"/>
        <v>20456.519999999997</v>
      </c>
    </row>
    <row r="189" spans="1:12" x14ac:dyDescent="0.25">
      <c r="A189" s="7" t="s">
        <v>211</v>
      </c>
      <c r="B189" s="7" t="s">
        <v>48</v>
      </c>
      <c r="C189" s="7" t="s">
        <v>26</v>
      </c>
      <c r="D189" s="7" t="s">
        <v>23</v>
      </c>
      <c r="E189" s="7" t="s">
        <v>14</v>
      </c>
      <c r="F189" s="7" t="s">
        <v>15</v>
      </c>
      <c r="G189" s="1">
        <v>45109</v>
      </c>
      <c r="H189" s="7">
        <v>166</v>
      </c>
      <c r="I189" s="7">
        <v>306.87</v>
      </c>
      <c r="J189" s="7">
        <v>64.34</v>
      </c>
      <c r="K189" s="18">
        <f>$H189*$I189</f>
        <v>50940.42</v>
      </c>
      <c r="L189" s="1">
        <f t="shared" si="2"/>
        <v>40259.980000000003</v>
      </c>
    </row>
    <row r="190" spans="1:12" x14ac:dyDescent="0.25">
      <c r="A190" s="7" t="s">
        <v>212</v>
      </c>
      <c r="B190" s="7" t="s">
        <v>11</v>
      </c>
      <c r="C190" s="7" t="s">
        <v>31</v>
      </c>
      <c r="D190" s="7" t="s">
        <v>19</v>
      </c>
      <c r="E190" s="7" t="s">
        <v>14</v>
      </c>
      <c r="F190" s="7" t="s">
        <v>28</v>
      </c>
      <c r="G190" s="1">
        <v>45110</v>
      </c>
      <c r="H190" s="7">
        <v>84</v>
      </c>
      <c r="I190" s="7">
        <v>283.89999999999998</v>
      </c>
      <c r="J190" s="7">
        <v>19.41</v>
      </c>
      <c r="K190" s="18">
        <f>$H190*$I190</f>
        <v>23847.599999999999</v>
      </c>
      <c r="L190" s="1">
        <f t="shared" si="2"/>
        <v>22217.159999999996</v>
      </c>
    </row>
    <row r="191" spans="1:12" x14ac:dyDescent="0.25">
      <c r="A191" s="7" t="s">
        <v>213</v>
      </c>
      <c r="B191" s="7" t="s">
        <v>22</v>
      </c>
      <c r="C191" s="7" t="s">
        <v>50</v>
      </c>
      <c r="D191" s="7" t="s">
        <v>19</v>
      </c>
      <c r="E191" s="7" t="s">
        <v>14</v>
      </c>
      <c r="F191" s="7" t="s">
        <v>28</v>
      </c>
      <c r="G191" s="1">
        <v>45111</v>
      </c>
      <c r="H191" s="7">
        <v>381</v>
      </c>
      <c r="I191" s="7">
        <v>193.31</v>
      </c>
      <c r="J191" s="7">
        <v>46.1</v>
      </c>
      <c r="K191" s="18">
        <f>$H191*$I191</f>
        <v>73651.11</v>
      </c>
      <c r="L191" s="1">
        <f t="shared" si="2"/>
        <v>56087.01</v>
      </c>
    </row>
    <row r="192" spans="1:12" x14ac:dyDescent="0.25">
      <c r="A192" s="7" t="s">
        <v>214</v>
      </c>
      <c r="B192" s="7" t="s">
        <v>22</v>
      </c>
      <c r="C192" s="7" t="s">
        <v>18</v>
      </c>
      <c r="D192" s="7" t="s">
        <v>42</v>
      </c>
      <c r="E192" s="7" t="s">
        <v>24</v>
      </c>
      <c r="F192" s="7" t="s">
        <v>20</v>
      </c>
      <c r="G192" s="1">
        <v>45112</v>
      </c>
      <c r="H192" s="7">
        <v>297</v>
      </c>
      <c r="I192" s="7">
        <v>276.51</v>
      </c>
      <c r="J192" s="7">
        <v>240.22</v>
      </c>
      <c r="K192" s="18">
        <f>$H192*$I192</f>
        <v>82123.47</v>
      </c>
      <c r="L192" s="1">
        <f t="shared" si="2"/>
        <v>10778.129999999997</v>
      </c>
    </row>
    <row r="193" spans="1:12" x14ac:dyDescent="0.25">
      <c r="A193" s="7" t="s">
        <v>215</v>
      </c>
      <c r="B193" s="7" t="s">
        <v>48</v>
      </c>
      <c r="C193" s="7" t="s">
        <v>50</v>
      </c>
      <c r="D193" s="7" t="s">
        <v>23</v>
      </c>
      <c r="E193" s="7" t="s">
        <v>24</v>
      </c>
      <c r="F193" s="7" t="s">
        <v>28</v>
      </c>
      <c r="G193" s="1">
        <v>45113</v>
      </c>
      <c r="H193" s="7">
        <v>139</v>
      </c>
      <c r="I193" s="7">
        <v>300.26</v>
      </c>
      <c r="J193" s="7">
        <v>39.81</v>
      </c>
      <c r="K193" s="18">
        <f>$H193*$I193</f>
        <v>41736.14</v>
      </c>
      <c r="L193" s="1">
        <f t="shared" si="2"/>
        <v>36202.549999999996</v>
      </c>
    </row>
    <row r="194" spans="1:12" x14ac:dyDescent="0.25">
      <c r="A194" s="7" t="s">
        <v>216</v>
      </c>
      <c r="B194" s="7" t="s">
        <v>11</v>
      </c>
      <c r="C194" s="7" t="s">
        <v>12</v>
      </c>
      <c r="D194" s="7" t="s">
        <v>23</v>
      </c>
      <c r="E194" s="7" t="s">
        <v>14</v>
      </c>
      <c r="F194" s="7" t="s">
        <v>20</v>
      </c>
      <c r="G194" s="1">
        <v>45114</v>
      </c>
      <c r="H194" s="7">
        <v>184</v>
      </c>
      <c r="I194" s="7">
        <v>275.12</v>
      </c>
      <c r="J194" s="7">
        <v>151.65</v>
      </c>
      <c r="K194" s="18">
        <f>$H194*$I194</f>
        <v>50622.080000000002</v>
      </c>
      <c r="L194" s="1">
        <f t="shared" si="2"/>
        <v>22718.48</v>
      </c>
    </row>
    <row r="195" spans="1:12" x14ac:dyDescent="0.25">
      <c r="A195" s="7" t="s">
        <v>217</v>
      </c>
      <c r="B195" s="7" t="s">
        <v>11</v>
      </c>
      <c r="C195" s="7" t="s">
        <v>50</v>
      </c>
      <c r="D195" s="7" t="s">
        <v>23</v>
      </c>
      <c r="E195" s="7" t="s">
        <v>14</v>
      </c>
      <c r="F195" s="7" t="s">
        <v>15</v>
      </c>
      <c r="G195" s="1">
        <v>45115</v>
      </c>
      <c r="H195" s="7">
        <v>471</v>
      </c>
      <c r="I195" s="7">
        <v>224.99</v>
      </c>
      <c r="J195" s="7">
        <v>220.94</v>
      </c>
      <c r="K195" s="18">
        <f>$H195*$I195</f>
        <v>105970.29000000001</v>
      </c>
      <c r="L195" s="1">
        <f t="shared" si="2"/>
        <v>1907.5500000000054</v>
      </c>
    </row>
    <row r="196" spans="1:12" x14ac:dyDescent="0.25">
      <c r="A196" s="7" t="s">
        <v>218</v>
      </c>
      <c r="B196" s="7" t="s">
        <v>48</v>
      </c>
      <c r="C196" s="7" t="s">
        <v>18</v>
      </c>
      <c r="D196" s="7" t="s">
        <v>13</v>
      </c>
      <c r="E196" s="7" t="s">
        <v>24</v>
      </c>
      <c r="F196" s="7" t="s">
        <v>20</v>
      </c>
      <c r="G196" s="1">
        <v>45116</v>
      </c>
      <c r="H196" s="7">
        <v>93</v>
      </c>
      <c r="I196" s="7">
        <v>12.26</v>
      </c>
      <c r="J196" s="7">
        <v>156.68</v>
      </c>
      <c r="K196" s="18">
        <f>$H196*$I196</f>
        <v>1140.18</v>
      </c>
      <c r="L196" s="1">
        <f t="shared" si="2"/>
        <v>-13431.060000000001</v>
      </c>
    </row>
    <row r="197" spans="1:12" x14ac:dyDescent="0.25">
      <c r="A197" s="7" t="s">
        <v>219</v>
      </c>
      <c r="B197" s="7" t="s">
        <v>11</v>
      </c>
      <c r="C197" s="7" t="s">
        <v>12</v>
      </c>
      <c r="D197" s="7" t="s">
        <v>27</v>
      </c>
      <c r="E197" s="7" t="s">
        <v>14</v>
      </c>
      <c r="F197" s="7" t="s">
        <v>15</v>
      </c>
      <c r="G197" s="1">
        <v>45117</v>
      </c>
      <c r="H197" s="7">
        <v>31</v>
      </c>
      <c r="I197" s="7">
        <v>295.60000000000002</v>
      </c>
      <c r="J197" s="7">
        <v>67.150000000000006</v>
      </c>
      <c r="K197" s="18">
        <f>$H197*$I197</f>
        <v>9163.6</v>
      </c>
      <c r="L197" s="1">
        <f t="shared" si="2"/>
        <v>7081.9500000000007</v>
      </c>
    </row>
    <row r="198" spans="1:12" x14ac:dyDescent="0.25">
      <c r="A198" s="7" t="s">
        <v>220</v>
      </c>
      <c r="B198" s="7" t="s">
        <v>11</v>
      </c>
      <c r="C198" s="7" t="s">
        <v>50</v>
      </c>
      <c r="D198" s="7" t="s">
        <v>13</v>
      </c>
      <c r="E198" s="7" t="s">
        <v>14</v>
      </c>
      <c r="F198" s="7" t="s">
        <v>20</v>
      </c>
      <c r="G198" s="1">
        <v>45118</v>
      </c>
      <c r="H198" s="7">
        <v>468</v>
      </c>
      <c r="I198" s="7">
        <v>88.38</v>
      </c>
      <c r="J198" s="7">
        <v>110.97</v>
      </c>
      <c r="K198" s="18">
        <f>$H198*$I198</f>
        <v>41361.839999999997</v>
      </c>
      <c r="L198" s="1">
        <f t="shared" si="2"/>
        <v>-10572.12</v>
      </c>
    </row>
    <row r="199" spans="1:12" x14ac:dyDescent="0.25">
      <c r="A199" s="7" t="s">
        <v>221</v>
      </c>
      <c r="B199" s="7" t="s">
        <v>22</v>
      </c>
      <c r="C199" s="7" t="s">
        <v>12</v>
      </c>
      <c r="D199" s="7" t="s">
        <v>27</v>
      </c>
      <c r="E199" s="7" t="s">
        <v>14</v>
      </c>
      <c r="F199" s="7" t="s">
        <v>28</v>
      </c>
      <c r="G199" s="1">
        <v>45119</v>
      </c>
      <c r="H199" s="7">
        <v>36</v>
      </c>
      <c r="I199" s="7">
        <v>323.08</v>
      </c>
      <c r="J199" s="7">
        <v>371.47</v>
      </c>
      <c r="K199" s="18">
        <f>$H199*$I199</f>
        <v>11630.88</v>
      </c>
      <c r="L199" s="1">
        <f t="shared" si="2"/>
        <v>-1742.0400000000016</v>
      </c>
    </row>
    <row r="200" spans="1:12" x14ac:dyDescent="0.25">
      <c r="A200" s="7" t="s">
        <v>222</v>
      </c>
      <c r="B200" s="7" t="s">
        <v>11</v>
      </c>
      <c r="C200" s="7" t="s">
        <v>26</v>
      </c>
      <c r="D200" s="7" t="s">
        <v>23</v>
      </c>
      <c r="E200" s="7" t="s">
        <v>24</v>
      </c>
      <c r="F200" s="7" t="s">
        <v>20</v>
      </c>
      <c r="G200" s="1">
        <v>45120</v>
      </c>
      <c r="H200" s="7">
        <v>204</v>
      </c>
      <c r="I200" s="7">
        <v>380.88</v>
      </c>
      <c r="J200" s="7">
        <v>271.04000000000002</v>
      </c>
      <c r="K200" s="18">
        <f>$H200*$I200</f>
        <v>77699.520000000004</v>
      </c>
      <c r="L200" s="1">
        <f t="shared" ref="L200:L263" si="3">($I200-$J200)*$H200</f>
        <v>22407.359999999993</v>
      </c>
    </row>
    <row r="201" spans="1:12" x14ac:dyDescent="0.25">
      <c r="A201" s="7" t="s">
        <v>223</v>
      </c>
      <c r="B201" s="7" t="s">
        <v>11</v>
      </c>
      <c r="C201" s="7" t="s">
        <v>26</v>
      </c>
      <c r="D201" s="7" t="s">
        <v>23</v>
      </c>
      <c r="E201" s="7" t="s">
        <v>14</v>
      </c>
      <c r="F201" s="7" t="s">
        <v>20</v>
      </c>
      <c r="G201" s="1">
        <v>45121</v>
      </c>
      <c r="H201" s="7">
        <v>346</v>
      </c>
      <c r="I201" s="7">
        <v>252.72</v>
      </c>
      <c r="J201" s="7">
        <v>199.43</v>
      </c>
      <c r="K201" s="18">
        <f>$H201*$I201</f>
        <v>87441.12</v>
      </c>
      <c r="L201" s="1">
        <f t="shared" si="3"/>
        <v>18438.339999999997</v>
      </c>
    </row>
    <row r="202" spans="1:12" x14ac:dyDescent="0.25">
      <c r="A202" s="7" t="s">
        <v>224</v>
      </c>
      <c r="B202" s="7" t="s">
        <v>48</v>
      </c>
      <c r="C202" s="7" t="s">
        <v>50</v>
      </c>
      <c r="D202" s="7" t="s">
        <v>13</v>
      </c>
      <c r="E202" s="7" t="s">
        <v>24</v>
      </c>
      <c r="F202" s="7" t="s">
        <v>15</v>
      </c>
      <c r="G202" s="1">
        <v>45122</v>
      </c>
      <c r="H202" s="7">
        <v>391</v>
      </c>
      <c r="I202" s="7">
        <v>273.47000000000003</v>
      </c>
      <c r="J202" s="7">
        <v>7.06</v>
      </c>
      <c r="K202" s="18">
        <f>$H202*$I202</f>
        <v>106926.77</v>
      </c>
      <c r="L202" s="1">
        <f t="shared" si="3"/>
        <v>104166.31000000001</v>
      </c>
    </row>
    <row r="203" spans="1:12" x14ac:dyDescent="0.25">
      <c r="A203" s="7" t="s">
        <v>225</v>
      </c>
      <c r="B203" s="7" t="s">
        <v>48</v>
      </c>
      <c r="C203" s="7" t="s">
        <v>12</v>
      </c>
      <c r="D203" s="7" t="s">
        <v>13</v>
      </c>
      <c r="E203" s="7" t="s">
        <v>14</v>
      </c>
      <c r="F203" s="7" t="s">
        <v>28</v>
      </c>
      <c r="G203" s="1">
        <v>45123</v>
      </c>
      <c r="H203" s="7">
        <v>245</v>
      </c>
      <c r="I203" s="7">
        <v>475.98</v>
      </c>
      <c r="J203" s="7">
        <v>396.98</v>
      </c>
      <c r="K203" s="18">
        <f>$H203*$I203</f>
        <v>116615.1</v>
      </c>
      <c r="L203" s="1">
        <f t="shared" si="3"/>
        <v>19355</v>
      </c>
    </row>
    <row r="204" spans="1:12" x14ac:dyDescent="0.25">
      <c r="A204" s="7" t="s">
        <v>226</v>
      </c>
      <c r="B204" s="7" t="s">
        <v>17</v>
      </c>
      <c r="C204" s="7" t="s">
        <v>18</v>
      </c>
      <c r="D204" s="7" t="s">
        <v>27</v>
      </c>
      <c r="E204" s="7" t="s">
        <v>24</v>
      </c>
      <c r="F204" s="7" t="s">
        <v>20</v>
      </c>
      <c r="G204" s="1">
        <v>45124</v>
      </c>
      <c r="H204" s="7">
        <v>449</v>
      </c>
      <c r="I204" s="7">
        <v>424.35</v>
      </c>
      <c r="J204" s="7">
        <v>269.24</v>
      </c>
      <c r="K204" s="18">
        <f>$H204*$I204</f>
        <v>190533.15000000002</v>
      </c>
      <c r="L204" s="1">
        <f t="shared" si="3"/>
        <v>69644.39</v>
      </c>
    </row>
    <row r="205" spans="1:12" x14ac:dyDescent="0.25">
      <c r="A205" s="7" t="s">
        <v>227</v>
      </c>
      <c r="B205" s="7" t="s">
        <v>22</v>
      </c>
      <c r="C205" s="7" t="s">
        <v>50</v>
      </c>
      <c r="D205" s="7" t="s">
        <v>19</v>
      </c>
      <c r="E205" s="7" t="s">
        <v>24</v>
      </c>
      <c r="F205" s="7" t="s">
        <v>28</v>
      </c>
      <c r="G205" s="1">
        <v>45125</v>
      </c>
      <c r="H205" s="7">
        <v>101</v>
      </c>
      <c r="I205" s="7">
        <v>457.55</v>
      </c>
      <c r="J205" s="7">
        <v>128.13999999999999</v>
      </c>
      <c r="K205" s="18">
        <f>$H205*$I205</f>
        <v>46212.55</v>
      </c>
      <c r="L205" s="1">
        <f t="shared" si="3"/>
        <v>33270.410000000003</v>
      </c>
    </row>
    <row r="206" spans="1:12" x14ac:dyDescent="0.25">
      <c r="A206" s="7" t="s">
        <v>228</v>
      </c>
      <c r="B206" s="7" t="s">
        <v>11</v>
      </c>
      <c r="C206" s="7" t="s">
        <v>26</v>
      </c>
      <c r="D206" s="7" t="s">
        <v>27</v>
      </c>
      <c r="E206" s="7" t="s">
        <v>14</v>
      </c>
      <c r="F206" s="7" t="s">
        <v>20</v>
      </c>
      <c r="G206" s="1">
        <v>45126</v>
      </c>
      <c r="H206" s="7">
        <v>255.9</v>
      </c>
      <c r="I206" s="7">
        <v>407.81</v>
      </c>
      <c r="J206" s="7">
        <v>351.95</v>
      </c>
      <c r="K206" s="18">
        <f>$H206*$I206</f>
        <v>104358.579</v>
      </c>
      <c r="L206" s="1">
        <f t="shared" si="3"/>
        <v>14294.574000000004</v>
      </c>
    </row>
    <row r="207" spans="1:12" x14ac:dyDescent="0.25">
      <c r="A207" s="7" t="s">
        <v>229</v>
      </c>
      <c r="B207" s="7" t="s">
        <v>11</v>
      </c>
      <c r="C207" s="7" t="s">
        <v>26</v>
      </c>
      <c r="D207" s="7" t="s">
        <v>13</v>
      </c>
      <c r="E207" s="7" t="s">
        <v>24</v>
      </c>
      <c r="F207" s="7" t="s">
        <v>20</v>
      </c>
      <c r="G207" s="1">
        <v>45127</v>
      </c>
      <c r="H207" s="7">
        <v>30</v>
      </c>
      <c r="I207" s="7">
        <v>58.91</v>
      </c>
      <c r="J207" s="7">
        <v>104.86</v>
      </c>
      <c r="K207" s="18">
        <f>$H207*$I207</f>
        <v>1767.3</v>
      </c>
      <c r="L207" s="1">
        <f t="shared" si="3"/>
        <v>-1378.5</v>
      </c>
    </row>
    <row r="208" spans="1:12" x14ac:dyDescent="0.25">
      <c r="A208" s="7" t="s">
        <v>230</v>
      </c>
      <c r="B208" s="7" t="s">
        <v>17</v>
      </c>
      <c r="C208" s="7" t="s">
        <v>50</v>
      </c>
      <c r="D208" s="7" t="s">
        <v>13</v>
      </c>
      <c r="E208" s="7" t="s">
        <v>14</v>
      </c>
      <c r="F208" s="7" t="s">
        <v>28</v>
      </c>
      <c r="G208" s="1">
        <v>45128</v>
      </c>
      <c r="H208" s="7">
        <v>312</v>
      </c>
      <c r="I208" s="7">
        <v>78.75</v>
      </c>
      <c r="J208" s="7">
        <v>218.52</v>
      </c>
      <c r="K208" s="18">
        <f>$H208*$I208</f>
        <v>24570</v>
      </c>
      <c r="L208" s="1">
        <f t="shared" si="3"/>
        <v>-43608.240000000005</v>
      </c>
    </row>
    <row r="209" spans="1:12" x14ac:dyDescent="0.25">
      <c r="A209" s="7" t="s">
        <v>231</v>
      </c>
      <c r="B209" s="7" t="s">
        <v>11</v>
      </c>
      <c r="C209" s="7" t="s">
        <v>12</v>
      </c>
      <c r="D209" s="7" t="s">
        <v>42</v>
      </c>
      <c r="E209" s="7" t="s">
        <v>24</v>
      </c>
      <c r="F209" s="7" t="s">
        <v>20</v>
      </c>
      <c r="G209" s="1">
        <v>45129</v>
      </c>
      <c r="H209" s="7">
        <v>473</v>
      </c>
      <c r="I209" s="7">
        <v>265.68</v>
      </c>
      <c r="J209" s="7">
        <v>255.16</v>
      </c>
      <c r="K209" s="18">
        <f>$H209*$I209</f>
        <v>125666.64</v>
      </c>
      <c r="L209" s="1">
        <f t="shared" si="3"/>
        <v>4975.9600000000046</v>
      </c>
    </row>
    <row r="210" spans="1:12" x14ac:dyDescent="0.25">
      <c r="A210" s="7" t="s">
        <v>232</v>
      </c>
      <c r="B210" s="7" t="s">
        <v>22</v>
      </c>
      <c r="C210" s="7" t="s">
        <v>26</v>
      </c>
      <c r="D210" s="7" t="s">
        <v>13</v>
      </c>
      <c r="E210" s="7" t="s">
        <v>14</v>
      </c>
      <c r="F210" s="7" t="s">
        <v>28</v>
      </c>
      <c r="G210" s="1">
        <v>45130</v>
      </c>
      <c r="H210" s="7">
        <v>366</v>
      </c>
      <c r="I210" s="7">
        <v>126.8</v>
      </c>
      <c r="J210" s="7">
        <v>89.98</v>
      </c>
      <c r="K210" s="18">
        <f>$H210*$I210</f>
        <v>46408.799999999996</v>
      </c>
      <c r="L210" s="1">
        <f t="shared" si="3"/>
        <v>13476.119999999997</v>
      </c>
    </row>
    <row r="211" spans="1:12" x14ac:dyDescent="0.25">
      <c r="A211" s="7" t="s">
        <v>233</v>
      </c>
      <c r="B211" s="7" t="s">
        <v>17</v>
      </c>
      <c r="C211" s="7" t="s">
        <v>12</v>
      </c>
      <c r="D211" s="7" t="s">
        <v>42</v>
      </c>
      <c r="E211" s="7" t="s">
        <v>14</v>
      </c>
      <c r="F211" s="7" t="s">
        <v>20</v>
      </c>
      <c r="G211" s="1">
        <v>45131</v>
      </c>
      <c r="H211" s="7">
        <v>452</v>
      </c>
      <c r="I211" s="7">
        <v>240.96</v>
      </c>
      <c r="J211" s="7">
        <v>391.4</v>
      </c>
      <c r="K211" s="18">
        <f>$H211*$I211</f>
        <v>108913.92</v>
      </c>
      <c r="L211" s="1">
        <f t="shared" si="3"/>
        <v>-67998.87999999999</v>
      </c>
    </row>
    <row r="212" spans="1:12" x14ac:dyDescent="0.25">
      <c r="A212" s="7" t="s">
        <v>234</v>
      </c>
      <c r="B212" s="7" t="s">
        <v>22</v>
      </c>
      <c r="C212" s="7" t="s">
        <v>26</v>
      </c>
      <c r="D212" s="7" t="s">
        <v>19</v>
      </c>
      <c r="E212" s="7" t="s">
        <v>24</v>
      </c>
      <c r="F212" s="7" t="s">
        <v>15</v>
      </c>
      <c r="G212" s="1">
        <v>45132</v>
      </c>
      <c r="H212" s="7">
        <v>93</v>
      </c>
      <c r="I212" s="7">
        <v>200.21</v>
      </c>
      <c r="J212" s="7">
        <v>299.77999999999997</v>
      </c>
      <c r="K212" s="18">
        <f>$H212*$I212</f>
        <v>18619.530000000002</v>
      </c>
      <c r="L212" s="1">
        <f t="shared" si="3"/>
        <v>-9260.0099999999966</v>
      </c>
    </row>
    <row r="213" spans="1:12" x14ac:dyDescent="0.25">
      <c r="A213" s="7" t="s">
        <v>235</v>
      </c>
      <c r="B213" s="7" t="s">
        <v>17</v>
      </c>
      <c r="C213" s="7" t="s">
        <v>26</v>
      </c>
      <c r="D213" s="7" t="s">
        <v>27</v>
      </c>
      <c r="E213" s="7" t="s">
        <v>14</v>
      </c>
      <c r="F213" s="7" t="s">
        <v>28</v>
      </c>
      <c r="G213" s="1">
        <v>45133</v>
      </c>
      <c r="H213" s="7">
        <v>271</v>
      </c>
      <c r="I213" s="7">
        <v>276.95999999999998</v>
      </c>
      <c r="J213" s="7">
        <v>224.01</v>
      </c>
      <c r="K213" s="18">
        <f>$H213*$I213</f>
        <v>75056.159999999989</v>
      </c>
      <c r="L213" s="1">
        <f t="shared" si="3"/>
        <v>14349.449999999997</v>
      </c>
    </row>
    <row r="214" spans="1:12" x14ac:dyDescent="0.25">
      <c r="A214" s="7" t="s">
        <v>236</v>
      </c>
      <c r="B214" s="7" t="s">
        <v>17</v>
      </c>
      <c r="C214" s="7" t="s">
        <v>31</v>
      </c>
      <c r="D214" s="7" t="s">
        <v>27</v>
      </c>
      <c r="E214" s="7" t="s">
        <v>14</v>
      </c>
      <c r="F214" s="7" t="s">
        <v>20</v>
      </c>
      <c r="G214" s="1">
        <v>45134</v>
      </c>
      <c r="H214" s="7">
        <v>156</v>
      </c>
      <c r="I214" s="7">
        <v>374.7</v>
      </c>
      <c r="J214" s="7">
        <v>73.88</v>
      </c>
      <c r="K214" s="18">
        <f>$H214*$I214</f>
        <v>58453.2</v>
      </c>
      <c r="L214" s="1">
        <f t="shared" si="3"/>
        <v>46927.92</v>
      </c>
    </row>
    <row r="215" spans="1:12" x14ac:dyDescent="0.25">
      <c r="A215" s="7" t="s">
        <v>237</v>
      </c>
      <c r="B215" s="7" t="s">
        <v>48</v>
      </c>
      <c r="C215" s="7" t="s">
        <v>26</v>
      </c>
      <c r="D215" s="7" t="s">
        <v>42</v>
      </c>
      <c r="E215" s="7" t="s">
        <v>24</v>
      </c>
      <c r="F215" s="7" t="s">
        <v>20</v>
      </c>
      <c r="G215" s="1">
        <v>45135</v>
      </c>
      <c r="H215" s="7">
        <v>450</v>
      </c>
      <c r="I215" s="7">
        <v>359.17</v>
      </c>
      <c r="J215" s="7">
        <v>23.44</v>
      </c>
      <c r="K215" s="18">
        <f>$H215*$I215</f>
        <v>161626.5</v>
      </c>
      <c r="L215" s="1">
        <f t="shared" si="3"/>
        <v>151078.5</v>
      </c>
    </row>
    <row r="216" spans="1:12" x14ac:dyDescent="0.25">
      <c r="A216" s="7" t="s">
        <v>238</v>
      </c>
      <c r="B216" s="7" t="s">
        <v>22</v>
      </c>
      <c r="C216" s="7" t="s">
        <v>18</v>
      </c>
      <c r="D216" s="7" t="s">
        <v>27</v>
      </c>
      <c r="E216" s="7" t="s">
        <v>14</v>
      </c>
      <c r="F216" s="7" t="s">
        <v>15</v>
      </c>
      <c r="G216" s="1">
        <v>45136</v>
      </c>
      <c r="H216" s="7">
        <v>462</v>
      </c>
      <c r="I216" s="7">
        <v>263.01</v>
      </c>
      <c r="J216" s="7">
        <v>129.38</v>
      </c>
      <c r="K216" s="18">
        <f>$H216*$I216</f>
        <v>121510.62</v>
      </c>
      <c r="L216" s="1">
        <f t="shared" si="3"/>
        <v>61737.06</v>
      </c>
    </row>
    <row r="217" spans="1:12" x14ac:dyDescent="0.25">
      <c r="A217" s="7" t="s">
        <v>239</v>
      </c>
      <c r="B217" s="7" t="s">
        <v>11</v>
      </c>
      <c r="C217" s="7" t="s">
        <v>50</v>
      </c>
      <c r="D217" s="7" t="s">
        <v>27</v>
      </c>
      <c r="E217" s="7" t="s">
        <v>14</v>
      </c>
      <c r="F217" s="7" t="s">
        <v>28</v>
      </c>
      <c r="G217" s="1">
        <v>45137</v>
      </c>
      <c r="H217" s="7">
        <v>396</v>
      </c>
      <c r="I217" s="7">
        <v>412.08</v>
      </c>
      <c r="J217" s="7">
        <v>301.77</v>
      </c>
      <c r="K217" s="18">
        <f>$H217*$I217</f>
        <v>163183.67999999999</v>
      </c>
      <c r="L217" s="1">
        <f t="shared" si="3"/>
        <v>43682.76</v>
      </c>
    </row>
    <row r="218" spans="1:12" x14ac:dyDescent="0.25">
      <c r="A218" s="7" t="s">
        <v>240</v>
      </c>
      <c r="B218" s="7" t="s">
        <v>11</v>
      </c>
      <c r="C218" s="7" t="s">
        <v>50</v>
      </c>
      <c r="D218" s="7" t="s">
        <v>23</v>
      </c>
      <c r="E218" s="7" t="s">
        <v>24</v>
      </c>
      <c r="F218" s="7" t="s">
        <v>20</v>
      </c>
      <c r="G218" s="1">
        <v>45138</v>
      </c>
      <c r="H218" s="7">
        <v>266</v>
      </c>
      <c r="I218" s="7">
        <v>218.28</v>
      </c>
      <c r="J218" s="7">
        <v>109.19</v>
      </c>
      <c r="K218" s="18">
        <f>$H218*$I218</f>
        <v>58062.48</v>
      </c>
      <c r="L218" s="1">
        <f t="shared" si="3"/>
        <v>29017.940000000002</v>
      </c>
    </row>
    <row r="219" spans="1:12" x14ac:dyDescent="0.25">
      <c r="A219" s="7" t="s">
        <v>241</v>
      </c>
      <c r="B219" s="7" t="s">
        <v>22</v>
      </c>
      <c r="C219" s="7" t="s">
        <v>12</v>
      </c>
      <c r="D219" s="7" t="s">
        <v>42</v>
      </c>
      <c r="E219" s="7" t="s">
        <v>24</v>
      </c>
      <c r="F219" s="7" t="s">
        <v>15</v>
      </c>
      <c r="G219" s="1">
        <v>45139</v>
      </c>
      <c r="H219" s="7">
        <v>67</v>
      </c>
      <c r="I219" s="7">
        <v>448.87</v>
      </c>
      <c r="J219" s="7">
        <v>216.74</v>
      </c>
      <c r="K219" s="18">
        <f>$H219*$I219</f>
        <v>30074.29</v>
      </c>
      <c r="L219" s="1">
        <f t="shared" si="3"/>
        <v>15552.71</v>
      </c>
    </row>
    <row r="220" spans="1:12" x14ac:dyDescent="0.25">
      <c r="A220" s="7" t="s">
        <v>242</v>
      </c>
      <c r="B220" s="7" t="s">
        <v>11</v>
      </c>
      <c r="C220" s="7" t="s">
        <v>26</v>
      </c>
      <c r="D220" s="7" t="s">
        <v>27</v>
      </c>
      <c r="E220" s="7" t="s">
        <v>14</v>
      </c>
      <c r="F220" s="7" t="s">
        <v>20</v>
      </c>
      <c r="G220" s="1">
        <v>45140</v>
      </c>
      <c r="H220" s="7">
        <v>389</v>
      </c>
      <c r="I220" s="7">
        <v>40.28</v>
      </c>
      <c r="J220" s="7">
        <v>291.72000000000003</v>
      </c>
      <c r="K220" s="18">
        <f>$H220*$I220</f>
        <v>15668.92</v>
      </c>
      <c r="L220" s="1">
        <f t="shared" si="3"/>
        <v>-97810.16</v>
      </c>
    </row>
    <row r="221" spans="1:12" x14ac:dyDescent="0.25">
      <c r="A221" s="7" t="s">
        <v>243</v>
      </c>
      <c r="B221" s="7" t="s">
        <v>11</v>
      </c>
      <c r="C221" s="7" t="s">
        <v>18</v>
      </c>
      <c r="D221" s="7" t="s">
        <v>42</v>
      </c>
      <c r="E221" s="7" t="s">
        <v>14</v>
      </c>
      <c r="F221" s="7" t="s">
        <v>28</v>
      </c>
      <c r="G221" s="1">
        <v>45141</v>
      </c>
      <c r="H221" s="7">
        <v>431</v>
      </c>
      <c r="I221" s="7">
        <v>477.56</v>
      </c>
      <c r="J221" s="7">
        <v>44.96</v>
      </c>
      <c r="K221" s="18">
        <f>$H221*$I221</f>
        <v>205828.36000000002</v>
      </c>
      <c r="L221" s="1">
        <f t="shared" si="3"/>
        <v>186450.6</v>
      </c>
    </row>
    <row r="222" spans="1:12" x14ac:dyDescent="0.25">
      <c r="A222" s="7" t="s">
        <v>244</v>
      </c>
      <c r="B222" s="7" t="s">
        <v>22</v>
      </c>
      <c r="C222" s="7" t="s">
        <v>12</v>
      </c>
      <c r="D222" s="7" t="s">
        <v>42</v>
      </c>
      <c r="E222" s="7" t="s">
        <v>24</v>
      </c>
      <c r="F222" s="7" t="s">
        <v>20</v>
      </c>
      <c r="G222" s="1">
        <v>45142</v>
      </c>
      <c r="H222" s="7">
        <v>24</v>
      </c>
      <c r="I222" s="7">
        <v>329.07</v>
      </c>
      <c r="J222" s="7">
        <v>274.75</v>
      </c>
      <c r="K222" s="18">
        <f>$H222*$I222</f>
        <v>7897.68</v>
      </c>
      <c r="L222" s="1">
        <f t="shared" si="3"/>
        <v>1303.6799999999998</v>
      </c>
    </row>
    <row r="223" spans="1:12" x14ac:dyDescent="0.25">
      <c r="A223" s="7" t="s">
        <v>245</v>
      </c>
      <c r="B223" s="7" t="s">
        <v>17</v>
      </c>
      <c r="C223" s="7" t="s">
        <v>31</v>
      </c>
      <c r="D223" s="7" t="s">
        <v>23</v>
      </c>
      <c r="E223" s="7" t="s">
        <v>24</v>
      </c>
      <c r="F223" s="7" t="s">
        <v>20</v>
      </c>
      <c r="G223" s="1">
        <v>45143</v>
      </c>
      <c r="H223" s="7">
        <v>171</v>
      </c>
      <c r="I223" s="7">
        <v>193.14</v>
      </c>
      <c r="J223" s="7">
        <v>38.56</v>
      </c>
      <c r="K223" s="18">
        <f>$H223*$I223</f>
        <v>33026.939999999995</v>
      </c>
      <c r="L223" s="1">
        <f t="shared" si="3"/>
        <v>26433.179999999997</v>
      </c>
    </row>
    <row r="224" spans="1:12" x14ac:dyDescent="0.25">
      <c r="A224" s="7" t="s">
        <v>246</v>
      </c>
      <c r="B224" s="7" t="s">
        <v>22</v>
      </c>
      <c r="C224" s="7" t="s">
        <v>12</v>
      </c>
      <c r="D224" s="7" t="s">
        <v>13</v>
      </c>
      <c r="E224" s="7" t="s">
        <v>14</v>
      </c>
      <c r="F224" s="7" t="s">
        <v>20</v>
      </c>
      <c r="G224" s="1">
        <v>45144</v>
      </c>
      <c r="H224" s="7">
        <v>454</v>
      </c>
      <c r="I224" s="7">
        <v>102.59</v>
      </c>
      <c r="J224" s="7">
        <v>386.12</v>
      </c>
      <c r="K224" s="18">
        <f>$H224*$I224</f>
        <v>46575.86</v>
      </c>
      <c r="L224" s="1">
        <f t="shared" si="3"/>
        <v>-128722.61999999998</v>
      </c>
    </row>
    <row r="225" spans="1:12" x14ac:dyDescent="0.25">
      <c r="A225" s="7" t="s">
        <v>247</v>
      </c>
      <c r="B225" s="7" t="s">
        <v>17</v>
      </c>
      <c r="C225" s="7" t="s">
        <v>12</v>
      </c>
      <c r="D225" s="7" t="s">
        <v>42</v>
      </c>
      <c r="E225" s="7" t="s">
        <v>24</v>
      </c>
      <c r="F225" s="7" t="s">
        <v>20</v>
      </c>
      <c r="G225" s="1">
        <v>45145</v>
      </c>
      <c r="H225" s="7">
        <v>172</v>
      </c>
      <c r="I225" s="7">
        <v>242.2</v>
      </c>
      <c r="J225" s="7">
        <v>196.38</v>
      </c>
      <c r="K225" s="18">
        <f>$H225*$I225</f>
        <v>41658.400000000001</v>
      </c>
      <c r="L225" s="1">
        <f t="shared" si="3"/>
        <v>7881.0399999999991</v>
      </c>
    </row>
    <row r="226" spans="1:12" x14ac:dyDescent="0.25">
      <c r="A226" s="7" t="s">
        <v>248</v>
      </c>
      <c r="B226" s="7" t="s">
        <v>11</v>
      </c>
      <c r="C226" s="7" t="s">
        <v>26</v>
      </c>
      <c r="D226" s="7" t="s">
        <v>27</v>
      </c>
      <c r="E226" s="7" t="s">
        <v>14</v>
      </c>
      <c r="F226" s="7" t="s">
        <v>15</v>
      </c>
      <c r="G226" s="1">
        <v>45146</v>
      </c>
      <c r="H226" s="7">
        <v>329</v>
      </c>
      <c r="I226" s="7">
        <v>101.31</v>
      </c>
      <c r="J226" s="7">
        <v>61.97</v>
      </c>
      <c r="K226" s="18">
        <f>$H226*$I226</f>
        <v>33330.99</v>
      </c>
      <c r="L226" s="1">
        <f t="shared" si="3"/>
        <v>12942.86</v>
      </c>
    </row>
    <row r="227" spans="1:12" x14ac:dyDescent="0.25">
      <c r="A227" s="7" t="s">
        <v>249</v>
      </c>
      <c r="B227" s="7" t="s">
        <v>11</v>
      </c>
      <c r="C227" s="7" t="s">
        <v>31</v>
      </c>
      <c r="D227" s="7" t="s">
        <v>19</v>
      </c>
      <c r="E227" s="7" t="s">
        <v>14</v>
      </c>
      <c r="F227" s="7" t="s">
        <v>15</v>
      </c>
      <c r="G227" s="1">
        <v>45147</v>
      </c>
      <c r="H227" s="7">
        <v>290</v>
      </c>
      <c r="I227" s="7">
        <v>87.33</v>
      </c>
      <c r="J227" s="7">
        <v>138.27000000000001</v>
      </c>
      <c r="K227" s="18">
        <f>$H227*$I227</f>
        <v>25325.7</v>
      </c>
      <c r="L227" s="1">
        <f t="shared" si="3"/>
        <v>-14772.600000000004</v>
      </c>
    </row>
    <row r="228" spans="1:12" x14ac:dyDescent="0.25">
      <c r="A228" s="7" t="s">
        <v>250</v>
      </c>
      <c r="B228" s="7" t="s">
        <v>11</v>
      </c>
      <c r="C228" s="7" t="s">
        <v>12</v>
      </c>
      <c r="D228" s="7" t="s">
        <v>42</v>
      </c>
      <c r="E228" s="7" t="s">
        <v>14</v>
      </c>
      <c r="F228" s="7" t="s">
        <v>28</v>
      </c>
      <c r="G228" s="1">
        <v>45148</v>
      </c>
      <c r="H228" s="7">
        <v>289</v>
      </c>
      <c r="I228" s="7">
        <v>310.58999999999997</v>
      </c>
      <c r="J228" s="7">
        <v>166.54</v>
      </c>
      <c r="K228" s="18">
        <f>$H228*$I228</f>
        <v>89760.51</v>
      </c>
      <c r="L228" s="1">
        <f t="shared" si="3"/>
        <v>41630.449999999997</v>
      </c>
    </row>
    <row r="229" spans="1:12" x14ac:dyDescent="0.25">
      <c r="A229" s="7" t="s">
        <v>251</v>
      </c>
      <c r="B229" s="7" t="s">
        <v>48</v>
      </c>
      <c r="C229" s="7" t="s">
        <v>18</v>
      </c>
      <c r="D229" s="7" t="s">
        <v>42</v>
      </c>
      <c r="E229" s="7" t="s">
        <v>14</v>
      </c>
      <c r="F229" s="7" t="s">
        <v>15</v>
      </c>
      <c r="G229" s="1">
        <v>45149</v>
      </c>
      <c r="H229" s="7">
        <v>21</v>
      </c>
      <c r="I229" s="7">
        <v>263.93</v>
      </c>
      <c r="J229" s="7">
        <v>303.76</v>
      </c>
      <c r="K229" s="18">
        <f>$H229*$I229</f>
        <v>5542.53</v>
      </c>
      <c r="L229" s="1">
        <f t="shared" si="3"/>
        <v>-836.42999999999961</v>
      </c>
    </row>
    <row r="230" spans="1:12" x14ac:dyDescent="0.25">
      <c r="A230" s="7" t="s">
        <v>252</v>
      </c>
      <c r="B230" s="7" t="s">
        <v>17</v>
      </c>
      <c r="C230" s="7" t="s">
        <v>18</v>
      </c>
      <c r="D230" s="7" t="s">
        <v>23</v>
      </c>
      <c r="E230" s="7" t="s">
        <v>14</v>
      </c>
      <c r="F230" s="7" t="s">
        <v>15</v>
      </c>
      <c r="G230" s="1">
        <v>45150</v>
      </c>
      <c r="H230" s="7">
        <v>283</v>
      </c>
      <c r="I230" s="7">
        <v>336.7</v>
      </c>
      <c r="J230" s="7">
        <v>297.88</v>
      </c>
      <c r="K230" s="18">
        <f>$H230*$I230</f>
        <v>95286.099999999991</v>
      </c>
      <c r="L230" s="1">
        <f t="shared" si="3"/>
        <v>10986.059999999998</v>
      </c>
    </row>
    <row r="231" spans="1:12" x14ac:dyDescent="0.25">
      <c r="A231" s="7" t="s">
        <v>253</v>
      </c>
      <c r="B231" s="7" t="s">
        <v>48</v>
      </c>
      <c r="C231" s="7" t="s">
        <v>50</v>
      </c>
      <c r="D231" s="7" t="s">
        <v>13</v>
      </c>
      <c r="E231" s="7" t="s">
        <v>24</v>
      </c>
      <c r="F231" s="7" t="s">
        <v>28</v>
      </c>
      <c r="G231" s="1">
        <v>45151</v>
      </c>
      <c r="H231" s="7">
        <v>280</v>
      </c>
      <c r="I231" s="7">
        <v>465.15</v>
      </c>
      <c r="J231" s="7">
        <v>245.55</v>
      </c>
      <c r="K231" s="18">
        <f>$H231*$I231</f>
        <v>130242</v>
      </c>
      <c r="L231" s="1">
        <f t="shared" si="3"/>
        <v>61487.999999999993</v>
      </c>
    </row>
    <row r="232" spans="1:12" x14ac:dyDescent="0.25">
      <c r="A232" s="7" t="s">
        <v>254</v>
      </c>
      <c r="B232" s="7" t="s">
        <v>48</v>
      </c>
      <c r="C232" s="7" t="s">
        <v>31</v>
      </c>
      <c r="D232" s="7" t="s">
        <v>19</v>
      </c>
      <c r="E232" s="7" t="s">
        <v>24</v>
      </c>
      <c r="F232" s="7" t="s">
        <v>15</v>
      </c>
      <c r="G232" s="1">
        <v>45152</v>
      </c>
      <c r="H232" s="7">
        <v>217</v>
      </c>
      <c r="I232" s="7">
        <v>268.47000000000003</v>
      </c>
      <c r="J232" s="7">
        <v>44.16</v>
      </c>
      <c r="K232" s="18">
        <f>$H232*$I232</f>
        <v>58257.990000000005</v>
      </c>
      <c r="L232" s="1">
        <f t="shared" si="3"/>
        <v>48675.270000000004</v>
      </c>
    </row>
    <row r="233" spans="1:12" x14ac:dyDescent="0.25">
      <c r="A233" s="7" t="s">
        <v>255</v>
      </c>
      <c r="B233" s="7" t="s">
        <v>22</v>
      </c>
      <c r="C233" s="7" t="s">
        <v>31</v>
      </c>
      <c r="D233" s="7" t="s">
        <v>27</v>
      </c>
      <c r="E233" s="7" t="s">
        <v>24</v>
      </c>
      <c r="F233" s="7" t="s">
        <v>15</v>
      </c>
      <c r="G233" s="1">
        <v>45153</v>
      </c>
      <c r="H233" s="7">
        <v>36</v>
      </c>
      <c r="I233" s="7">
        <v>292.56</v>
      </c>
      <c r="J233" s="7">
        <v>62.32</v>
      </c>
      <c r="K233" s="18">
        <f>$H233*$I233</f>
        <v>10532.16</v>
      </c>
      <c r="L233" s="1">
        <f t="shared" si="3"/>
        <v>8288.64</v>
      </c>
    </row>
    <row r="234" spans="1:12" x14ac:dyDescent="0.25">
      <c r="A234" s="7" t="s">
        <v>256</v>
      </c>
      <c r="B234" s="7" t="s">
        <v>48</v>
      </c>
      <c r="C234" s="7" t="s">
        <v>50</v>
      </c>
      <c r="D234" s="7" t="s">
        <v>19</v>
      </c>
      <c r="E234" s="7" t="s">
        <v>24</v>
      </c>
      <c r="F234" s="7" t="s">
        <v>28</v>
      </c>
      <c r="G234" s="1">
        <v>45154</v>
      </c>
      <c r="H234" s="7">
        <v>255.9</v>
      </c>
      <c r="I234" s="7">
        <v>49.37</v>
      </c>
      <c r="J234" s="7">
        <v>39.32</v>
      </c>
      <c r="K234" s="18">
        <f>$H234*$I234</f>
        <v>12633.782999999999</v>
      </c>
      <c r="L234" s="1">
        <f t="shared" si="3"/>
        <v>2571.7949999999992</v>
      </c>
    </row>
    <row r="235" spans="1:12" x14ac:dyDescent="0.25">
      <c r="A235" s="7" t="s">
        <v>257</v>
      </c>
      <c r="B235" s="7" t="s">
        <v>22</v>
      </c>
      <c r="C235" s="7" t="s">
        <v>12</v>
      </c>
      <c r="D235" s="7" t="s">
        <v>27</v>
      </c>
      <c r="E235" s="7" t="s">
        <v>14</v>
      </c>
      <c r="F235" s="7" t="s">
        <v>28</v>
      </c>
      <c r="G235" s="1">
        <v>45155</v>
      </c>
      <c r="H235" s="7">
        <v>69</v>
      </c>
      <c r="I235" s="7">
        <v>360.23</v>
      </c>
      <c r="J235" s="7">
        <v>231.71</v>
      </c>
      <c r="K235" s="18">
        <f>$H235*$I235</f>
        <v>24855.870000000003</v>
      </c>
      <c r="L235" s="1">
        <f t="shared" si="3"/>
        <v>8867.880000000001</v>
      </c>
    </row>
    <row r="236" spans="1:12" x14ac:dyDescent="0.25">
      <c r="A236" s="7" t="s">
        <v>258</v>
      </c>
      <c r="B236" s="7" t="s">
        <v>22</v>
      </c>
      <c r="C236" s="7" t="s">
        <v>31</v>
      </c>
      <c r="D236" s="7" t="s">
        <v>13</v>
      </c>
      <c r="E236" s="7" t="s">
        <v>14</v>
      </c>
      <c r="F236" s="7" t="s">
        <v>28</v>
      </c>
      <c r="G236" s="1">
        <v>45156</v>
      </c>
      <c r="H236" s="7">
        <v>439</v>
      </c>
      <c r="I236" s="7">
        <v>202.95</v>
      </c>
      <c r="J236" s="7">
        <v>351.1</v>
      </c>
      <c r="K236" s="18">
        <f>$H236*$I236</f>
        <v>89095.049999999988</v>
      </c>
      <c r="L236" s="1">
        <f t="shared" si="3"/>
        <v>-65037.850000000013</v>
      </c>
    </row>
    <row r="237" spans="1:12" x14ac:dyDescent="0.25">
      <c r="A237" s="7" t="s">
        <v>259</v>
      </c>
      <c r="B237" s="7" t="s">
        <v>48</v>
      </c>
      <c r="C237" s="7" t="s">
        <v>18</v>
      </c>
      <c r="D237" s="7" t="s">
        <v>27</v>
      </c>
      <c r="E237" s="7" t="s">
        <v>14</v>
      </c>
      <c r="F237" s="7" t="s">
        <v>20</v>
      </c>
      <c r="G237" s="1">
        <v>45157</v>
      </c>
      <c r="H237" s="7">
        <v>482</v>
      </c>
      <c r="I237" s="7">
        <v>488.48</v>
      </c>
      <c r="J237" s="7">
        <v>174.65</v>
      </c>
      <c r="K237" s="18">
        <f>$H237*$I237</f>
        <v>235447.36000000002</v>
      </c>
      <c r="L237" s="1">
        <f t="shared" si="3"/>
        <v>151266.06000000003</v>
      </c>
    </row>
    <row r="238" spans="1:12" x14ac:dyDescent="0.25">
      <c r="A238" s="7" t="s">
        <v>260</v>
      </c>
      <c r="B238" s="7" t="s">
        <v>17</v>
      </c>
      <c r="C238" s="7" t="s">
        <v>18</v>
      </c>
      <c r="D238" s="7" t="s">
        <v>23</v>
      </c>
      <c r="E238" s="7" t="s">
        <v>14</v>
      </c>
      <c r="F238" s="7" t="s">
        <v>20</v>
      </c>
      <c r="G238" s="1">
        <v>45158</v>
      </c>
      <c r="H238" s="7">
        <v>154</v>
      </c>
      <c r="I238" s="7">
        <v>412.47</v>
      </c>
      <c r="J238" s="7">
        <v>66.02</v>
      </c>
      <c r="K238" s="18">
        <f>$H238*$I238</f>
        <v>63520.380000000005</v>
      </c>
      <c r="L238" s="1">
        <f t="shared" si="3"/>
        <v>53353.30000000001</v>
      </c>
    </row>
    <row r="239" spans="1:12" x14ac:dyDescent="0.25">
      <c r="A239" s="7" t="s">
        <v>261</v>
      </c>
      <c r="B239" s="7" t="s">
        <v>17</v>
      </c>
      <c r="C239" s="7" t="s">
        <v>26</v>
      </c>
      <c r="D239" s="7" t="s">
        <v>23</v>
      </c>
      <c r="E239" s="7" t="s">
        <v>24</v>
      </c>
      <c r="F239" s="7" t="s">
        <v>28</v>
      </c>
      <c r="G239" s="1">
        <v>45159</v>
      </c>
      <c r="H239" s="7">
        <v>102</v>
      </c>
      <c r="I239" s="7">
        <v>263.63</v>
      </c>
      <c r="J239" s="7">
        <v>224.1</v>
      </c>
      <c r="K239" s="18">
        <f>$H239*$I239</f>
        <v>26890.26</v>
      </c>
      <c r="L239" s="1">
        <f t="shared" si="3"/>
        <v>4032.06</v>
      </c>
    </row>
    <row r="240" spans="1:12" x14ac:dyDescent="0.25">
      <c r="A240" s="7" t="s">
        <v>262</v>
      </c>
      <c r="B240" s="7" t="s">
        <v>17</v>
      </c>
      <c r="C240" s="7" t="s">
        <v>31</v>
      </c>
      <c r="D240" s="7" t="s">
        <v>23</v>
      </c>
      <c r="E240" s="7" t="s">
        <v>14</v>
      </c>
      <c r="F240" s="7" t="s">
        <v>28</v>
      </c>
      <c r="G240" s="1">
        <v>45160</v>
      </c>
      <c r="H240" s="7">
        <v>318</v>
      </c>
      <c r="I240" s="7">
        <v>66</v>
      </c>
      <c r="J240" s="7">
        <v>325.08</v>
      </c>
      <c r="K240" s="18">
        <f>$H240*$I240</f>
        <v>20988</v>
      </c>
      <c r="L240" s="1">
        <f t="shared" si="3"/>
        <v>-82387.439999999988</v>
      </c>
    </row>
    <row r="241" spans="1:12" x14ac:dyDescent="0.25">
      <c r="A241" s="7" t="s">
        <v>263</v>
      </c>
      <c r="B241" s="7" t="s">
        <v>17</v>
      </c>
      <c r="C241" s="7" t="s">
        <v>12</v>
      </c>
      <c r="D241" s="7" t="s">
        <v>23</v>
      </c>
      <c r="E241" s="7" t="s">
        <v>14</v>
      </c>
      <c r="F241" s="7" t="s">
        <v>28</v>
      </c>
      <c r="G241" s="1">
        <v>45161</v>
      </c>
      <c r="H241" s="7">
        <v>17</v>
      </c>
      <c r="I241" s="7">
        <v>430.41</v>
      </c>
      <c r="J241" s="7">
        <v>297.2</v>
      </c>
      <c r="K241" s="18">
        <f>$H241*$I241</f>
        <v>7316.97</v>
      </c>
      <c r="L241" s="1">
        <f t="shared" si="3"/>
        <v>2264.5700000000006</v>
      </c>
    </row>
    <row r="242" spans="1:12" x14ac:dyDescent="0.25">
      <c r="A242" s="7" t="s">
        <v>264</v>
      </c>
      <c r="B242" s="7" t="s">
        <v>17</v>
      </c>
      <c r="C242" s="7" t="s">
        <v>50</v>
      </c>
      <c r="D242" s="7" t="s">
        <v>19</v>
      </c>
      <c r="E242" s="7" t="s">
        <v>24</v>
      </c>
      <c r="F242" s="7" t="s">
        <v>20</v>
      </c>
      <c r="G242" s="1">
        <v>45162</v>
      </c>
      <c r="H242" s="7">
        <v>88</v>
      </c>
      <c r="I242" s="7">
        <v>400.89</v>
      </c>
      <c r="J242" s="7">
        <v>352.82</v>
      </c>
      <c r="K242" s="18">
        <f>$H242*$I242</f>
        <v>35278.32</v>
      </c>
      <c r="L242" s="1">
        <f t="shared" si="3"/>
        <v>4230.16</v>
      </c>
    </row>
    <row r="243" spans="1:12" x14ac:dyDescent="0.25">
      <c r="A243" s="7" t="s">
        <v>265</v>
      </c>
      <c r="B243" s="7" t="s">
        <v>48</v>
      </c>
      <c r="C243" s="7" t="s">
        <v>50</v>
      </c>
      <c r="D243" s="7" t="s">
        <v>13</v>
      </c>
      <c r="E243" s="7" t="s">
        <v>24</v>
      </c>
      <c r="F243" s="7" t="s">
        <v>20</v>
      </c>
      <c r="G243" s="1">
        <v>45163</v>
      </c>
      <c r="H243" s="7">
        <v>36</v>
      </c>
      <c r="I243" s="7">
        <v>96.37</v>
      </c>
      <c r="J243" s="7">
        <v>112.61</v>
      </c>
      <c r="K243" s="18">
        <f>$H243*$I243</f>
        <v>3469.32</v>
      </c>
      <c r="L243" s="1">
        <f t="shared" si="3"/>
        <v>-584.63999999999987</v>
      </c>
    </row>
    <row r="244" spans="1:12" x14ac:dyDescent="0.25">
      <c r="A244" s="7" t="s">
        <v>266</v>
      </c>
      <c r="B244" s="7" t="s">
        <v>48</v>
      </c>
      <c r="C244" s="7" t="s">
        <v>12</v>
      </c>
      <c r="D244" s="7" t="s">
        <v>27</v>
      </c>
      <c r="E244" s="7" t="s">
        <v>24</v>
      </c>
      <c r="F244" s="7" t="s">
        <v>15</v>
      </c>
      <c r="G244" s="1">
        <v>45164</v>
      </c>
      <c r="H244" s="7">
        <v>183</v>
      </c>
      <c r="I244" s="7">
        <v>151.16</v>
      </c>
      <c r="J244" s="7">
        <v>79.19</v>
      </c>
      <c r="K244" s="18">
        <f>$H244*$I244</f>
        <v>27662.28</v>
      </c>
      <c r="L244" s="1">
        <f t="shared" si="3"/>
        <v>13170.51</v>
      </c>
    </row>
    <row r="245" spans="1:12" x14ac:dyDescent="0.25">
      <c r="A245" s="7" t="s">
        <v>267</v>
      </c>
      <c r="B245" s="7" t="s">
        <v>11</v>
      </c>
      <c r="C245" s="7" t="s">
        <v>26</v>
      </c>
      <c r="D245" s="7" t="s">
        <v>27</v>
      </c>
      <c r="E245" s="7" t="s">
        <v>24</v>
      </c>
      <c r="F245" s="7" t="s">
        <v>15</v>
      </c>
      <c r="G245" s="1">
        <v>45165</v>
      </c>
      <c r="H245" s="7">
        <v>59</v>
      </c>
      <c r="I245" s="7">
        <v>397.74</v>
      </c>
      <c r="J245" s="7">
        <v>352.17</v>
      </c>
      <c r="K245" s="18">
        <f>$H245*$I245</f>
        <v>23466.66</v>
      </c>
      <c r="L245" s="1">
        <f t="shared" si="3"/>
        <v>2688.6299999999997</v>
      </c>
    </row>
    <row r="246" spans="1:12" x14ac:dyDescent="0.25">
      <c r="A246" s="7" t="s">
        <v>268</v>
      </c>
      <c r="B246" s="7" t="s">
        <v>17</v>
      </c>
      <c r="C246" s="7" t="s">
        <v>50</v>
      </c>
      <c r="D246" s="7" t="s">
        <v>23</v>
      </c>
      <c r="E246" s="7" t="s">
        <v>14</v>
      </c>
      <c r="F246" s="7" t="s">
        <v>28</v>
      </c>
      <c r="G246" s="1">
        <v>45166</v>
      </c>
      <c r="H246" s="7">
        <v>208</v>
      </c>
      <c r="I246" s="7">
        <v>96.69</v>
      </c>
      <c r="J246" s="7">
        <v>263.70999999999998</v>
      </c>
      <c r="K246" s="18">
        <f>$H246*$I246</f>
        <v>20111.52</v>
      </c>
      <c r="L246" s="1">
        <f t="shared" si="3"/>
        <v>-34740.159999999996</v>
      </c>
    </row>
    <row r="247" spans="1:12" x14ac:dyDescent="0.25">
      <c r="A247" s="7" t="s">
        <v>269</v>
      </c>
      <c r="B247" s="7" t="s">
        <v>48</v>
      </c>
      <c r="C247" s="7" t="s">
        <v>31</v>
      </c>
      <c r="D247" s="7" t="s">
        <v>23</v>
      </c>
      <c r="E247" s="7" t="s">
        <v>14</v>
      </c>
      <c r="F247" s="7" t="s">
        <v>20</v>
      </c>
      <c r="G247" s="1">
        <v>45167</v>
      </c>
      <c r="H247" s="7">
        <v>396</v>
      </c>
      <c r="I247" s="7">
        <v>459.29</v>
      </c>
      <c r="J247" s="7">
        <v>125.75</v>
      </c>
      <c r="K247" s="18">
        <f>$H247*$I247</f>
        <v>181878.84</v>
      </c>
      <c r="L247" s="1">
        <f t="shared" si="3"/>
        <v>132081.84</v>
      </c>
    </row>
    <row r="248" spans="1:12" x14ac:dyDescent="0.25">
      <c r="A248" s="7" t="s">
        <v>270</v>
      </c>
      <c r="B248" s="7" t="s">
        <v>11</v>
      </c>
      <c r="C248" s="7" t="s">
        <v>26</v>
      </c>
      <c r="D248" s="7" t="s">
        <v>42</v>
      </c>
      <c r="E248" s="7" t="s">
        <v>24</v>
      </c>
      <c r="F248" s="7" t="s">
        <v>20</v>
      </c>
      <c r="G248" s="1">
        <v>45168</v>
      </c>
      <c r="H248" s="7">
        <v>358</v>
      </c>
      <c r="I248" s="7">
        <v>215.14</v>
      </c>
      <c r="J248" s="7">
        <v>297.45</v>
      </c>
      <c r="K248" s="18">
        <f>$H248*$I248</f>
        <v>77020.12</v>
      </c>
      <c r="L248" s="1">
        <f t="shared" si="3"/>
        <v>-29466.98</v>
      </c>
    </row>
    <row r="249" spans="1:12" x14ac:dyDescent="0.25">
      <c r="A249" s="7" t="s">
        <v>271</v>
      </c>
      <c r="B249" s="7" t="s">
        <v>17</v>
      </c>
      <c r="C249" s="7" t="s">
        <v>31</v>
      </c>
      <c r="D249" s="7" t="s">
        <v>13</v>
      </c>
      <c r="E249" s="7" t="s">
        <v>14</v>
      </c>
      <c r="F249" s="7" t="s">
        <v>20</v>
      </c>
      <c r="G249" s="1">
        <v>45169</v>
      </c>
      <c r="H249" s="7">
        <v>457</v>
      </c>
      <c r="I249" s="7">
        <v>48.08</v>
      </c>
      <c r="J249" s="7">
        <v>326.42</v>
      </c>
      <c r="K249" s="18">
        <f>$H249*$I249</f>
        <v>21972.559999999998</v>
      </c>
      <c r="L249" s="1">
        <f t="shared" si="3"/>
        <v>-127201.38000000002</v>
      </c>
    </row>
    <row r="250" spans="1:12" x14ac:dyDescent="0.25">
      <c r="A250" s="7" t="s">
        <v>272</v>
      </c>
      <c r="B250" s="7" t="s">
        <v>22</v>
      </c>
      <c r="C250" s="7" t="s">
        <v>18</v>
      </c>
      <c r="D250" s="7" t="s">
        <v>19</v>
      </c>
      <c r="E250" s="7" t="s">
        <v>14</v>
      </c>
      <c r="F250" s="7" t="s">
        <v>28</v>
      </c>
      <c r="G250" s="1">
        <v>45170</v>
      </c>
      <c r="H250" s="7">
        <v>437</v>
      </c>
      <c r="I250" s="7">
        <v>408.8</v>
      </c>
      <c r="J250" s="7">
        <v>246.76</v>
      </c>
      <c r="K250" s="18">
        <f>$H250*$I250</f>
        <v>178645.6</v>
      </c>
      <c r="L250" s="1">
        <f t="shared" si="3"/>
        <v>70811.48000000001</v>
      </c>
    </row>
    <row r="251" spans="1:12" x14ac:dyDescent="0.25">
      <c r="A251" s="7" t="s">
        <v>273</v>
      </c>
      <c r="B251" s="7" t="s">
        <v>11</v>
      </c>
      <c r="C251" s="7" t="s">
        <v>26</v>
      </c>
      <c r="D251" s="7" t="s">
        <v>27</v>
      </c>
      <c r="E251" s="7" t="s">
        <v>14</v>
      </c>
      <c r="F251" s="7" t="s">
        <v>15</v>
      </c>
      <c r="G251" s="1">
        <v>45171</v>
      </c>
      <c r="H251" s="7">
        <v>190</v>
      </c>
      <c r="I251" s="7">
        <v>189.89</v>
      </c>
      <c r="J251" s="7">
        <v>275.77999999999997</v>
      </c>
      <c r="K251" s="18">
        <f>$H251*$I251</f>
        <v>36079.1</v>
      </c>
      <c r="L251" s="1">
        <f t="shared" si="3"/>
        <v>-16319.099999999997</v>
      </c>
    </row>
    <row r="252" spans="1:12" x14ac:dyDescent="0.25">
      <c r="A252" s="7" t="s">
        <v>274</v>
      </c>
      <c r="B252" s="7" t="s">
        <v>48</v>
      </c>
      <c r="C252" s="7" t="s">
        <v>50</v>
      </c>
      <c r="D252" s="7" t="s">
        <v>42</v>
      </c>
      <c r="E252" s="7" t="s">
        <v>24</v>
      </c>
      <c r="F252" s="7" t="s">
        <v>28</v>
      </c>
      <c r="G252" s="1">
        <v>45172</v>
      </c>
      <c r="H252" s="7">
        <v>33</v>
      </c>
      <c r="I252" s="7">
        <v>265.62</v>
      </c>
      <c r="J252" s="7">
        <v>151.35</v>
      </c>
      <c r="K252" s="18">
        <f>$H252*$I252</f>
        <v>8765.4600000000009</v>
      </c>
      <c r="L252" s="1">
        <f t="shared" si="3"/>
        <v>3770.9100000000003</v>
      </c>
    </row>
    <row r="253" spans="1:12" x14ac:dyDescent="0.25">
      <c r="A253" s="7" t="s">
        <v>275</v>
      </c>
      <c r="B253" s="7" t="s">
        <v>22</v>
      </c>
      <c r="C253" s="7" t="s">
        <v>26</v>
      </c>
      <c r="D253" s="7" t="s">
        <v>42</v>
      </c>
      <c r="E253" s="7" t="s">
        <v>14</v>
      </c>
      <c r="F253" s="7" t="s">
        <v>15</v>
      </c>
      <c r="G253" s="1">
        <v>45173</v>
      </c>
      <c r="H253" s="7">
        <v>325</v>
      </c>
      <c r="I253" s="7">
        <v>60.59</v>
      </c>
      <c r="J253" s="7">
        <v>216.4</v>
      </c>
      <c r="K253" s="18">
        <f>$H253*$I253</f>
        <v>19691.75</v>
      </c>
      <c r="L253" s="1">
        <f t="shared" si="3"/>
        <v>-50638.25</v>
      </c>
    </row>
    <row r="254" spans="1:12" x14ac:dyDescent="0.25">
      <c r="A254" s="7" t="s">
        <v>276</v>
      </c>
      <c r="B254" s="7" t="s">
        <v>22</v>
      </c>
      <c r="C254" s="7" t="s">
        <v>26</v>
      </c>
      <c r="D254" s="7" t="s">
        <v>27</v>
      </c>
      <c r="E254" s="7" t="s">
        <v>24</v>
      </c>
      <c r="F254" s="7" t="s">
        <v>15</v>
      </c>
      <c r="G254" s="1">
        <v>45174</v>
      </c>
      <c r="H254" s="7">
        <v>387</v>
      </c>
      <c r="I254" s="7">
        <v>6.28</v>
      </c>
      <c r="J254" s="7">
        <v>210.62</v>
      </c>
      <c r="K254" s="18">
        <f>$H254*$I254</f>
        <v>2430.36</v>
      </c>
      <c r="L254" s="1">
        <f t="shared" si="3"/>
        <v>-79079.58</v>
      </c>
    </row>
    <row r="255" spans="1:12" x14ac:dyDescent="0.25">
      <c r="A255" s="7" t="s">
        <v>277</v>
      </c>
      <c r="B255" s="7" t="s">
        <v>22</v>
      </c>
      <c r="C255" s="7" t="s">
        <v>26</v>
      </c>
      <c r="D255" s="7" t="s">
        <v>19</v>
      </c>
      <c r="E255" s="7" t="s">
        <v>14</v>
      </c>
      <c r="F255" s="7" t="s">
        <v>28</v>
      </c>
      <c r="G255" s="1">
        <v>45175</v>
      </c>
      <c r="H255" s="7">
        <v>396</v>
      </c>
      <c r="I255" s="7">
        <v>320.8</v>
      </c>
      <c r="J255" s="7">
        <v>339.52</v>
      </c>
      <c r="K255" s="18">
        <f>$H255*$I255</f>
        <v>127036.8</v>
      </c>
      <c r="L255" s="1">
        <f t="shared" si="3"/>
        <v>-7413.1199999999881</v>
      </c>
    </row>
    <row r="256" spans="1:12" x14ac:dyDescent="0.25">
      <c r="A256" s="7" t="s">
        <v>278</v>
      </c>
      <c r="B256" s="7" t="s">
        <v>11</v>
      </c>
      <c r="C256" s="7" t="s">
        <v>26</v>
      </c>
      <c r="D256" s="7" t="s">
        <v>42</v>
      </c>
      <c r="E256" s="7" t="s">
        <v>14</v>
      </c>
      <c r="F256" s="7" t="s">
        <v>15</v>
      </c>
      <c r="G256" s="1">
        <v>45176</v>
      </c>
      <c r="H256" s="7">
        <v>413</v>
      </c>
      <c r="I256" s="7">
        <v>260.01</v>
      </c>
      <c r="J256" s="7">
        <v>336.31</v>
      </c>
      <c r="K256" s="18">
        <f>$H256*$I256</f>
        <v>107384.12999999999</v>
      </c>
      <c r="L256" s="1">
        <f t="shared" si="3"/>
        <v>-31511.900000000005</v>
      </c>
    </row>
    <row r="257" spans="1:12" x14ac:dyDescent="0.25">
      <c r="A257" s="7" t="s">
        <v>279</v>
      </c>
      <c r="B257" s="7" t="s">
        <v>48</v>
      </c>
      <c r="C257" s="7" t="s">
        <v>31</v>
      </c>
      <c r="D257" s="7" t="s">
        <v>42</v>
      </c>
      <c r="E257" s="7" t="s">
        <v>14</v>
      </c>
      <c r="F257" s="7" t="s">
        <v>15</v>
      </c>
      <c r="G257" s="1">
        <v>45177</v>
      </c>
      <c r="H257" s="7">
        <v>255.9</v>
      </c>
      <c r="I257" s="7">
        <v>298.8</v>
      </c>
      <c r="J257" s="7">
        <v>333.41</v>
      </c>
      <c r="K257" s="18">
        <f>$H257*$I257</f>
        <v>76462.92</v>
      </c>
      <c r="L257" s="1">
        <f t="shared" si="3"/>
        <v>-8856.6990000000042</v>
      </c>
    </row>
    <row r="258" spans="1:12" x14ac:dyDescent="0.25">
      <c r="A258" s="7" t="s">
        <v>280</v>
      </c>
      <c r="B258" s="7" t="s">
        <v>22</v>
      </c>
      <c r="C258" s="7" t="s">
        <v>18</v>
      </c>
      <c r="D258" s="7" t="s">
        <v>13</v>
      </c>
      <c r="E258" s="7" t="s">
        <v>24</v>
      </c>
      <c r="F258" s="7" t="s">
        <v>20</v>
      </c>
      <c r="G258" s="1">
        <v>45178</v>
      </c>
      <c r="H258" s="7">
        <v>24</v>
      </c>
      <c r="I258" s="7">
        <v>397.9</v>
      </c>
      <c r="J258" s="7">
        <v>6.39</v>
      </c>
      <c r="K258" s="18">
        <f>$H258*$I258</f>
        <v>9549.5999999999985</v>
      </c>
      <c r="L258" s="1">
        <f t="shared" si="3"/>
        <v>9396.24</v>
      </c>
    </row>
    <row r="259" spans="1:12" x14ac:dyDescent="0.25">
      <c r="A259" s="7" t="s">
        <v>281</v>
      </c>
      <c r="B259" s="7" t="s">
        <v>17</v>
      </c>
      <c r="C259" s="7" t="s">
        <v>12</v>
      </c>
      <c r="D259" s="7" t="s">
        <v>13</v>
      </c>
      <c r="E259" s="7" t="s">
        <v>14</v>
      </c>
      <c r="F259" s="7" t="s">
        <v>15</v>
      </c>
      <c r="G259" s="1">
        <v>45179</v>
      </c>
      <c r="H259" s="7">
        <v>162</v>
      </c>
      <c r="I259" s="7">
        <v>325.07</v>
      </c>
      <c r="J259" s="7">
        <v>300.32</v>
      </c>
      <c r="K259" s="18">
        <f>$H259*$I259</f>
        <v>52661.34</v>
      </c>
      <c r="L259" s="1">
        <f t="shared" si="3"/>
        <v>4009.5</v>
      </c>
    </row>
    <row r="260" spans="1:12" x14ac:dyDescent="0.25">
      <c r="A260" s="7" t="s">
        <v>282</v>
      </c>
      <c r="B260" s="7" t="s">
        <v>22</v>
      </c>
      <c r="C260" s="7" t="s">
        <v>26</v>
      </c>
      <c r="D260" s="7" t="s">
        <v>42</v>
      </c>
      <c r="E260" s="7" t="s">
        <v>24</v>
      </c>
      <c r="F260" s="7" t="s">
        <v>28</v>
      </c>
      <c r="G260" s="1">
        <v>45180</v>
      </c>
      <c r="H260" s="7">
        <v>231</v>
      </c>
      <c r="I260" s="7">
        <v>91.51</v>
      </c>
      <c r="J260" s="7">
        <v>303.95</v>
      </c>
      <c r="K260" s="18">
        <f>$H260*$I260</f>
        <v>21138.81</v>
      </c>
      <c r="L260" s="1">
        <f t="shared" si="3"/>
        <v>-49073.64</v>
      </c>
    </row>
    <row r="261" spans="1:12" x14ac:dyDescent="0.25">
      <c r="A261" s="7" t="s">
        <v>283</v>
      </c>
      <c r="B261" s="7" t="s">
        <v>22</v>
      </c>
      <c r="C261" s="7" t="s">
        <v>50</v>
      </c>
      <c r="D261" s="7" t="s">
        <v>19</v>
      </c>
      <c r="E261" s="7" t="s">
        <v>24</v>
      </c>
      <c r="F261" s="7" t="s">
        <v>28</v>
      </c>
      <c r="G261" s="1">
        <v>45181</v>
      </c>
      <c r="H261" s="7">
        <v>215</v>
      </c>
      <c r="I261" s="7">
        <v>183.58</v>
      </c>
      <c r="J261" s="7">
        <v>271.99</v>
      </c>
      <c r="K261" s="18">
        <f>$H261*$I261</f>
        <v>39469.700000000004</v>
      </c>
      <c r="L261" s="1">
        <f t="shared" si="3"/>
        <v>-19008.149999999998</v>
      </c>
    </row>
    <row r="262" spans="1:12" x14ac:dyDescent="0.25">
      <c r="A262" s="7" t="s">
        <v>284</v>
      </c>
      <c r="B262" s="7" t="s">
        <v>11</v>
      </c>
      <c r="C262" s="7" t="s">
        <v>26</v>
      </c>
      <c r="D262" s="7" t="s">
        <v>27</v>
      </c>
      <c r="E262" s="7" t="s">
        <v>24</v>
      </c>
      <c r="F262" s="7" t="s">
        <v>15</v>
      </c>
      <c r="G262" s="1">
        <v>45182</v>
      </c>
      <c r="H262" s="7">
        <v>464</v>
      </c>
      <c r="I262" s="7">
        <v>453.42</v>
      </c>
      <c r="J262" s="7">
        <v>302.99</v>
      </c>
      <c r="K262" s="18">
        <f>$H262*$I262</f>
        <v>210386.88</v>
      </c>
      <c r="L262" s="1">
        <f t="shared" si="3"/>
        <v>69799.520000000004</v>
      </c>
    </row>
    <row r="263" spans="1:12" x14ac:dyDescent="0.25">
      <c r="A263" s="7" t="s">
        <v>285</v>
      </c>
      <c r="B263" s="7" t="s">
        <v>11</v>
      </c>
      <c r="C263" s="7" t="s">
        <v>50</v>
      </c>
      <c r="D263" s="7" t="s">
        <v>23</v>
      </c>
      <c r="E263" s="7" t="s">
        <v>14</v>
      </c>
      <c r="F263" s="7" t="s">
        <v>20</v>
      </c>
      <c r="G263" s="1">
        <v>45183</v>
      </c>
      <c r="H263" s="7">
        <v>282</v>
      </c>
      <c r="I263" s="7">
        <v>249.64</v>
      </c>
      <c r="J263" s="7">
        <v>337.1</v>
      </c>
      <c r="K263" s="18">
        <f>$H263*$I263</f>
        <v>70398.48</v>
      </c>
      <c r="L263" s="1">
        <f t="shared" si="3"/>
        <v>-24663.720000000008</v>
      </c>
    </row>
    <row r="264" spans="1:12" x14ac:dyDescent="0.25">
      <c r="A264" s="7" t="s">
        <v>286</v>
      </c>
      <c r="B264" s="7" t="s">
        <v>48</v>
      </c>
      <c r="C264" s="7" t="s">
        <v>31</v>
      </c>
      <c r="D264" s="7" t="s">
        <v>42</v>
      </c>
      <c r="E264" s="7" t="s">
        <v>14</v>
      </c>
      <c r="F264" s="7" t="s">
        <v>20</v>
      </c>
      <c r="G264" s="1">
        <v>45184</v>
      </c>
      <c r="H264" s="7">
        <v>391</v>
      </c>
      <c r="I264" s="7">
        <v>280.54000000000002</v>
      </c>
      <c r="J264" s="7">
        <v>189.19</v>
      </c>
      <c r="K264" s="18">
        <f>$H264*$I264</f>
        <v>109691.14000000001</v>
      </c>
      <c r="L264" s="1">
        <f t="shared" ref="L264:L327" si="4">($I264-$J264)*$H264</f>
        <v>35717.850000000006</v>
      </c>
    </row>
    <row r="265" spans="1:12" x14ac:dyDescent="0.25">
      <c r="A265" s="7" t="s">
        <v>287</v>
      </c>
      <c r="B265" s="7" t="s">
        <v>17</v>
      </c>
      <c r="C265" s="7" t="s">
        <v>50</v>
      </c>
      <c r="D265" s="7" t="s">
        <v>13</v>
      </c>
      <c r="E265" s="7" t="s">
        <v>14</v>
      </c>
      <c r="F265" s="7" t="s">
        <v>15</v>
      </c>
      <c r="G265" s="1">
        <v>45185</v>
      </c>
      <c r="H265" s="7">
        <v>245</v>
      </c>
      <c r="I265" s="7">
        <v>131.54</v>
      </c>
      <c r="J265" s="7">
        <v>201.82</v>
      </c>
      <c r="K265" s="18">
        <f>$H265*$I265</f>
        <v>32227.3</v>
      </c>
      <c r="L265" s="1">
        <f t="shared" si="4"/>
        <v>-17218.599999999999</v>
      </c>
    </row>
    <row r="266" spans="1:12" x14ac:dyDescent="0.25">
      <c r="A266" s="7" t="s">
        <v>288</v>
      </c>
      <c r="B266" s="7" t="s">
        <v>11</v>
      </c>
      <c r="C266" s="7" t="s">
        <v>12</v>
      </c>
      <c r="D266" s="7" t="s">
        <v>27</v>
      </c>
      <c r="E266" s="7" t="s">
        <v>14</v>
      </c>
      <c r="F266" s="7" t="s">
        <v>15</v>
      </c>
      <c r="G266" s="1">
        <v>45186</v>
      </c>
      <c r="H266" s="7">
        <v>349</v>
      </c>
      <c r="I266" s="7">
        <v>154.52000000000001</v>
      </c>
      <c r="J266" s="7">
        <v>51.64</v>
      </c>
      <c r="K266" s="18">
        <f>$H266*$I266</f>
        <v>53927.48</v>
      </c>
      <c r="L266" s="1">
        <f t="shared" si="4"/>
        <v>35905.120000000003</v>
      </c>
    </row>
    <row r="267" spans="1:12" x14ac:dyDescent="0.25">
      <c r="A267" s="7" t="s">
        <v>289</v>
      </c>
      <c r="B267" s="7" t="s">
        <v>22</v>
      </c>
      <c r="C267" s="7" t="s">
        <v>18</v>
      </c>
      <c r="D267" s="7" t="s">
        <v>19</v>
      </c>
      <c r="E267" s="7" t="s">
        <v>24</v>
      </c>
      <c r="F267" s="7" t="s">
        <v>28</v>
      </c>
      <c r="G267" s="1">
        <v>45187</v>
      </c>
      <c r="H267" s="7">
        <v>237</v>
      </c>
      <c r="I267" s="7">
        <v>249.64</v>
      </c>
      <c r="J267" s="7">
        <v>155.38</v>
      </c>
      <c r="K267" s="18">
        <f>$H267*$I267</f>
        <v>59164.68</v>
      </c>
      <c r="L267" s="1">
        <f t="shared" si="4"/>
        <v>22339.62</v>
      </c>
    </row>
    <row r="268" spans="1:12" x14ac:dyDescent="0.25">
      <c r="A268" s="7" t="s">
        <v>290</v>
      </c>
      <c r="B268" s="7" t="s">
        <v>48</v>
      </c>
      <c r="C268" s="7" t="s">
        <v>50</v>
      </c>
      <c r="D268" s="7" t="s">
        <v>27</v>
      </c>
      <c r="E268" s="7" t="s">
        <v>24</v>
      </c>
      <c r="F268" s="7" t="s">
        <v>15</v>
      </c>
      <c r="G268" s="1">
        <v>45188</v>
      </c>
      <c r="H268" s="7">
        <v>18</v>
      </c>
      <c r="I268" s="7">
        <v>426.33</v>
      </c>
      <c r="J268" s="7">
        <v>258.06</v>
      </c>
      <c r="K268" s="18">
        <f>$H268*$I268</f>
        <v>7673.94</v>
      </c>
      <c r="L268" s="1">
        <f t="shared" si="4"/>
        <v>3028.8599999999997</v>
      </c>
    </row>
    <row r="269" spans="1:12" x14ac:dyDescent="0.25">
      <c r="A269" s="7" t="s">
        <v>291</v>
      </c>
      <c r="B269" s="7" t="s">
        <v>22</v>
      </c>
      <c r="C269" s="7" t="s">
        <v>50</v>
      </c>
      <c r="D269" s="7" t="s">
        <v>42</v>
      </c>
      <c r="E269" s="7" t="s">
        <v>24</v>
      </c>
      <c r="F269" s="7" t="s">
        <v>20</v>
      </c>
      <c r="G269" s="1">
        <v>45189</v>
      </c>
      <c r="H269" s="7">
        <v>175</v>
      </c>
      <c r="I269" s="7">
        <v>337.36</v>
      </c>
      <c r="J269" s="7">
        <v>312.60000000000002</v>
      </c>
      <c r="K269" s="18">
        <f>$H269*$I269</f>
        <v>59038</v>
      </c>
      <c r="L269" s="1">
        <f t="shared" si="4"/>
        <v>4332.9999999999982</v>
      </c>
    </row>
    <row r="270" spans="1:12" x14ac:dyDescent="0.25">
      <c r="A270" s="7" t="s">
        <v>292</v>
      </c>
      <c r="B270" s="7" t="s">
        <v>22</v>
      </c>
      <c r="C270" s="7" t="s">
        <v>18</v>
      </c>
      <c r="D270" s="7" t="s">
        <v>42</v>
      </c>
      <c r="E270" s="7" t="s">
        <v>14</v>
      </c>
      <c r="F270" s="7" t="s">
        <v>15</v>
      </c>
      <c r="G270" s="1">
        <v>45190</v>
      </c>
      <c r="H270" s="7">
        <v>441</v>
      </c>
      <c r="I270" s="7">
        <v>405.72</v>
      </c>
      <c r="J270" s="7">
        <v>88.45</v>
      </c>
      <c r="K270" s="18">
        <f>$H270*$I270</f>
        <v>178922.52000000002</v>
      </c>
      <c r="L270" s="1">
        <f t="shared" si="4"/>
        <v>139916.07</v>
      </c>
    </row>
    <row r="271" spans="1:12" x14ac:dyDescent="0.25">
      <c r="A271" s="7" t="s">
        <v>293</v>
      </c>
      <c r="B271" s="7" t="s">
        <v>11</v>
      </c>
      <c r="C271" s="7" t="s">
        <v>12</v>
      </c>
      <c r="D271" s="7" t="s">
        <v>23</v>
      </c>
      <c r="E271" s="7" t="s">
        <v>24</v>
      </c>
      <c r="F271" s="7" t="s">
        <v>28</v>
      </c>
      <c r="G271" s="1">
        <v>45191</v>
      </c>
      <c r="H271" s="7">
        <v>453</v>
      </c>
      <c r="I271" s="7">
        <v>384.49</v>
      </c>
      <c r="J271" s="7">
        <v>56.85</v>
      </c>
      <c r="K271" s="18">
        <f>$H271*$I271</f>
        <v>174173.97</v>
      </c>
      <c r="L271" s="1">
        <f t="shared" si="4"/>
        <v>148420.91999999998</v>
      </c>
    </row>
    <row r="272" spans="1:12" x14ac:dyDescent="0.25">
      <c r="A272" s="7" t="s">
        <v>294</v>
      </c>
      <c r="B272" s="7" t="s">
        <v>48</v>
      </c>
      <c r="C272" s="7" t="s">
        <v>26</v>
      </c>
      <c r="D272" s="7" t="s">
        <v>27</v>
      </c>
      <c r="E272" s="7" t="s">
        <v>14</v>
      </c>
      <c r="F272" s="7" t="s">
        <v>28</v>
      </c>
      <c r="G272" s="1">
        <v>45192</v>
      </c>
      <c r="H272" s="7">
        <v>328</v>
      </c>
      <c r="I272" s="7">
        <v>79.099999999999994</v>
      </c>
      <c r="J272" s="7">
        <v>265.89</v>
      </c>
      <c r="K272" s="18">
        <f>$H272*$I272</f>
        <v>25944.799999999999</v>
      </c>
      <c r="L272" s="1">
        <f t="shared" si="4"/>
        <v>-61267.119999999995</v>
      </c>
    </row>
    <row r="273" spans="1:12" x14ac:dyDescent="0.25">
      <c r="A273" s="7" t="s">
        <v>295</v>
      </c>
      <c r="B273" s="7" t="s">
        <v>17</v>
      </c>
      <c r="C273" s="7" t="s">
        <v>50</v>
      </c>
      <c r="D273" s="7" t="s">
        <v>42</v>
      </c>
      <c r="E273" s="7" t="s">
        <v>24</v>
      </c>
      <c r="F273" s="7" t="s">
        <v>28</v>
      </c>
      <c r="G273" s="1">
        <v>45193</v>
      </c>
      <c r="H273" s="7">
        <v>223</v>
      </c>
      <c r="I273" s="7">
        <v>214.85</v>
      </c>
      <c r="J273" s="7">
        <v>2.75</v>
      </c>
      <c r="K273" s="18">
        <f>$H273*$I273</f>
        <v>47911.549999999996</v>
      </c>
      <c r="L273" s="1">
        <f t="shared" si="4"/>
        <v>47298.299999999996</v>
      </c>
    </row>
    <row r="274" spans="1:12" x14ac:dyDescent="0.25">
      <c r="A274" s="7" t="s">
        <v>296</v>
      </c>
      <c r="B274" s="7" t="s">
        <v>17</v>
      </c>
      <c r="C274" s="7" t="s">
        <v>18</v>
      </c>
      <c r="D274" s="7" t="s">
        <v>13</v>
      </c>
      <c r="E274" s="7" t="s">
        <v>14</v>
      </c>
      <c r="F274" s="7" t="s">
        <v>28</v>
      </c>
      <c r="G274" s="1">
        <v>45194</v>
      </c>
      <c r="H274" s="7">
        <v>126</v>
      </c>
      <c r="I274" s="7">
        <v>80.73</v>
      </c>
      <c r="J274" s="7">
        <v>72.989999999999995</v>
      </c>
      <c r="K274" s="18">
        <f>$H274*$I274</f>
        <v>10171.980000000001</v>
      </c>
      <c r="L274" s="1">
        <f t="shared" si="4"/>
        <v>975.24000000000115</v>
      </c>
    </row>
    <row r="275" spans="1:12" x14ac:dyDescent="0.25">
      <c r="A275" s="7" t="s">
        <v>297</v>
      </c>
      <c r="B275" s="7" t="s">
        <v>11</v>
      </c>
      <c r="C275" s="7" t="s">
        <v>31</v>
      </c>
      <c r="D275" s="7" t="s">
        <v>19</v>
      </c>
      <c r="E275" s="7" t="s">
        <v>14</v>
      </c>
      <c r="F275" s="7" t="s">
        <v>28</v>
      </c>
      <c r="G275" s="1">
        <v>45195</v>
      </c>
      <c r="H275" s="7">
        <v>395</v>
      </c>
      <c r="I275" s="7">
        <v>121.44</v>
      </c>
      <c r="J275" s="7">
        <v>13.57</v>
      </c>
      <c r="K275" s="18">
        <f>$H275*$I275</f>
        <v>47968.799999999996</v>
      </c>
      <c r="L275" s="1">
        <f t="shared" si="4"/>
        <v>42608.65</v>
      </c>
    </row>
    <row r="276" spans="1:12" x14ac:dyDescent="0.25">
      <c r="A276" s="7" t="s">
        <v>298</v>
      </c>
      <c r="B276" s="7" t="s">
        <v>11</v>
      </c>
      <c r="C276" s="7" t="s">
        <v>18</v>
      </c>
      <c r="D276" s="7" t="s">
        <v>27</v>
      </c>
      <c r="E276" s="7" t="s">
        <v>24</v>
      </c>
      <c r="F276" s="7" t="s">
        <v>15</v>
      </c>
      <c r="G276" s="1">
        <v>45196</v>
      </c>
      <c r="H276" s="7">
        <v>353</v>
      </c>
      <c r="I276" s="7">
        <v>435.28</v>
      </c>
      <c r="J276" s="7">
        <v>68.42</v>
      </c>
      <c r="K276" s="18">
        <f>$H276*$I276</f>
        <v>153653.84</v>
      </c>
      <c r="L276" s="1">
        <f t="shared" si="4"/>
        <v>129501.57999999999</v>
      </c>
    </row>
    <row r="277" spans="1:12" x14ac:dyDescent="0.25">
      <c r="A277" s="7" t="s">
        <v>299</v>
      </c>
      <c r="B277" s="7" t="s">
        <v>48</v>
      </c>
      <c r="C277" s="7" t="s">
        <v>31</v>
      </c>
      <c r="D277" s="7" t="s">
        <v>27</v>
      </c>
      <c r="E277" s="7" t="s">
        <v>24</v>
      </c>
      <c r="F277" s="7" t="s">
        <v>15</v>
      </c>
      <c r="G277" s="1">
        <v>45197</v>
      </c>
      <c r="H277" s="7">
        <v>81</v>
      </c>
      <c r="I277" s="7">
        <v>239.08</v>
      </c>
      <c r="J277" s="7">
        <v>74.17</v>
      </c>
      <c r="K277" s="18">
        <f>$H277*$I277</f>
        <v>19365.48</v>
      </c>
      <c r="L277" s="1">
        <f t="shared" si="4"/>
        <v>13357.710000000003</v>
      </c>
    </row>
    <row r="278" spans="1:12" x14ac:dyDescent="0.25">
      <c r="A278" s="7" t="s">
        <v>300</v>
      </c>
      <c r="B278" s="7" t="s">
        <v>17</v>
      </c>
      <c r="C278" s="7" t="s">
        <v>12</v>
      </c>
      <c r="D278" s="7" t="s">
        <v>23</v>
      </c>
      <c r="E278" s="7" t="s">
        <v>24</v>
      </c>
      <c r="F278" s="7" t="s">
        <v>15</v>
      </c>
      <c r="G278" s="1">
        <v>45198</v>
      </c>
      <c r="H278" s="7">
        <v>404</v>
      </c>
      <c r="I278" s="7">
        <v>270</v>
      </c>
      <c r="J278" s="7">
        <v>156.29</v>
      </c>
      <c r="K278" s="18">
        <f>$H278*$I278</f>
        <v>109080</v>
      </c>
      <c r="L278" s="1">
        <f t="shared" si="4"/>
        <v>45938.840000000004</v>
      </c>
    </row>
    <row r="279" spans="1:12" x14ac:dyDescent="0.25">
      <c r="A279" s="7" t="s">
        <v>301</v>
      </c>
      <c r="B279" s="7" t="s">
        <v>17</v>
      </c>
      <c r="C279" s="7" t="s">
        <v>26</v>
      </c>
      <c r="D279" s="7" t="s">
        <v>23</v>
      </c>
      <c r="E279" s="7" t="s">
        <v>24</v>
      </c>
      <c r="F279" s="7" t="s">
        <v>15</v>
      </c>
      <c r="G279" s="1">
        <v>45199</v>
      </c>
      <c r="H279" s="7">
        <v>73</v>
      </c>
      <c r="I279" s="7">
        <v>93.33</v>
      </c>
      <c r="J279" s="7">
        <v>162.13</v>
      </c>
      <c r="K279" s="18">
        <f>$H279*$I279</f>
        <v>6813.09</v>
      </c>
      <c r="L279" s="1">
        <f t="shared" si="4"/>
        <v>-5022.3999999999996</v>
      </c>
    </row>
    <row r="280" spans="1:12" x14ac:dyDescent="0.25">
      <c r="A280" s="7" t="s">
        <v>302</v>
      </c>
      <c r="B280" s="7" t="s">
        <v>17</v>
      </c>
      <c r="C280" s="7" t="s">
        <v>18</v>
      </c>
      <c r="D280" s="7" t="s">
        <v>13</v>
      </c>
      <c r="E280" s="7" t="s">
        <v>14</v>
      </c>
      <c r="F280" s="7" t="s">
        <v>28</v>
      </c>
      <c r="G280" s="1">
        <v>45200</v>
      </c>
      <c r="H280" s="7">
        <v>214</v>
      </c>
      <c r="I280" s="7">
        <v>159.57</v>
      </c>
      <c r="J280" s="7">
        <v>349.96</v>
      </c>
      <c r="K280" s="18">
        <f>$H280*$I280</f>
        <v>34147.979999999996</v>
      </c>
      <c r="L280" s="1">
        <f t="shared" si="4"/>
        <v>-40743.46</v>
      </c>
    </row>
    <row r="281" spans="1:12" x14ac:dyDescent="0.25">
      <c r="A281" s="7" t="s">
        <v>303</v>
      </c>
      <c r="B281" s="7" t="s">
        <v>22</v>
      </c>
      <c r="C281" s="7" t="s">
        <v>50</v>
      </c>
      <c r="D281" s="7" t="s">
        <v>13</v>
      </c>
      <c r="E281" s="7" t="s">
        <v>24</v>
      </c>
      <c r="F281" s="7" t="s">
        <v>20</v>
      </c>
      <c r="G281" s="1">
        <v>45201</v>
      </c>
      <c r="H281" s="7">
        <v>218</v>
      </c>
      <c r="I281" s="7">
        <v>118.97</v>
      </c>
      <c r="J281" s="7">
        <v>205.02</v>
      </c>
      <c r="K281" s="18">
        <f>$H281*$I281</f>
        <v>25935.46</v>
      </c>
      <c r="L281" s="1">
        <f t="shared" si="4"/>
        <v>-18758.900000000001</v>
      </c>
    </row>
    <row r="282" spans="1:12" x14ac:dyDescent="0.25">
      <c r="A282" s="7" t="s">
        <v>304</v>
      </c>
      <c r="B282" s="7" t="s">
        <v>17</v>
      </c>
      <c r="C282" s="7" t="s">
        <v>12</v>
      </c>
      <c r="D282" s="7" t="s">
        <v>42</v>
      </c>
      <c r="E282" s="7" t="s">
        <v>24</v>
      </c>
      <c r="F282" s="7" t="s">
        <v>15</v>
      </c>
      <c r="G282" s="1">
        <v>45202</v>
      </c>
      <c r="H282" s="7">
        <v>81</v>
      </c>
      <c r="I282" s="7">
        <v>107.06</v>
      </c>
      <c r="J282" s="7">
        <v>289.92</v>
      </c>
      <c r="K282" s="18">
        <f>$H282*$I282</f>
        <v>8671.86</v>
      </c>
      <c r="L282" s="1">
        <f t="shared" si="4"/>
        <v>-14811.660000000002</v>
      </c>
    </row>
    <row r="283" spans="1:12" x14ac:dyDescent="0.25">
      <c r="A283" s="7" t="s">
        <v>305</v>
      </c>
      <c r="B283" s="7" t="s">
        <v>22</v>
      </c>
      <c r="C283" s="7" t="s">
        <v>18</v>
      </c>
      <c r="D283" s="7" t="s">
        <v>42</v>
      </c>
      <c r="E283" s="7" t="s">
        <v>24</v>
      </c>
      <c r="F283" s="7" t="s">
        <v>20</v>
      </c>
      <c r="G283" s="1">
        <v>45203</v>
      </c>
      <c r="H283" s="7">
        <v>286</v>
      </c>
      <c r="I283" s="7">
        <v>320.79000000000002</v>
      </c>
      <c r="J283" s="7">
        <v>43.45</v>
      </c>
      <c r="K283" s="18">
        <f>$H283*$I283</f>
        <v>91745.94</v>
      </c>
      <c r="L283" s="1">
        <f t="shared" si="4"/>
        <v>79319.240000000005</v>
      </c>
    </row>
    <row r="284" spans="1:12" x14ac:dyDescent="0.25">
      <c r="A284" s="7" t="s">
        <v>306</v>
      </c>
      <c r="B284" s="7" t="s">
        <v>48</v>
      </c>
      <c r="C284" s="7" t="s">
        <v>50</v>
      </c>
      <c r="D284" s="7" t="s">
        <v>13</v>
      </c>
      <c r="E284" s="7" t="s">
        <v>14</v>
      </c>
      <c r="F284" s="7" t="s">
        <v>15</v>
      </c>
      <c r="G284" s="1">
        <v>45204</v>
      </c>
      <c r="H284" s="7">
        <v>283</v>
      </c>
      <c r="I284" s="7">
        <v>132.16</v>
      </c>
      <c r="J284" s="7">
        <v>91.72</v>
      </c>
      <c r="K284" s="18">
        <f>$H284*$I284</f>
        <v>37401.279999999999</v>
      </c>
      <c r="L284" s="1">
        <f t="shared" si="4"/>
        <v>11444.519999999999</v>
      </c>
    </row>
    <row r="285" spans="1:12" x14ac:dyDescent="0.25">
      <c r="A285" s="7" t="s">
        <v>307</v>
      </c>
      <c r="B285" s="7" t="s">
        <v>22</v>
      </c>
      <c r="C285" s="7" t="s">
        <v>18</v>
      </c>
      <c r="D285" s="7" t="s">
        <v>13</v>
      </c>
      <c r="E285" s="7" t="s">
        <v>14</v>
      </c>
      <c r="F285" s="7" t="s">
        <v>15</v>
      </c>
      <c r="G285" s="1">
        <v>45205</v>
      </c>
      <c r="H285" s="7">
        <v>487</v>
      </c>
      <c r="I285" s="7">
        <v>317.85000000000002</v>
      </c>
      <c r="J285" s="7">
        <v>281.77</v>
      </c>
      <c r="K285" s="18">
        <f>$H285*$I285</f>
        <v>154792.95000000001</v>
      </c>
      <c r="L285" s="1">
        <f t="shared" si="4"/>
        <v>17570.960000000021</v>
      </c>
    </row>
    <row r="286" spans="1:12" x14ac:dyDescent="0.25">
      <c r="A286" s="7" t="s">
        <v>308</v>
      </c>
      <c r="B286" s="7" t="s">
        <v>48</v>
      </c>
      <c r="C286" s="7" t="s">
        <v>31</v>
      </c>
      <c r="D286" s="7" t="s">
        <v>19</v>
      </c>
      <c r="E286" s="7" t="s">
        <v>24</v>
      </c>
      <c r="F286" s="7" t="s">
        <v>20</v>
      </c>
      <c r="G286" s="1">
        <v>45206</v>
      </c>
      <c r="H286" s="7">
        <v>329</v>
      </c>
      <c r="I286" s="7">
        <v>33.94</v>
      </c>
      <c r="J286" s="7">
        <v>23.02</v>
      </c>
      <c r="K286" s="18">
        <f>$H286*$I286</f>
        <v>11166.259999999998</v>
      </c>
      <c r="L286" s="1">
        <f t="shared" si="4"/>
        <v>3592.6799999999994</v>
      </c>
    </row>
    <row r="287" spans="1:12" x14ac:dyDescent="0.25">
      <c r="A287" s="7" t="s">
        <v>309</v>
      </c>
      <c r="B287" s="7" t="s">
        <v>17</v>
      </c>
      <c r="C287" s="7" t="s">
        <v>18</v>
      </c>
      <c r="D287" s="7" t="s">
        <v>23</v>
      </c>
      <c r="E287" s="7" t="s">
        <v>14</v>
      </c>
      <c r="F287" s="7" t="s">
        <v>28</v>
      </c>
      <c r="G287" s="1">
        <v>45207</v>
      </c>
      <c r="H287" s="7">
        <v>347</v>
      </c>
      <c r="I287" s="7">
        <v>75.180000000000007</v>
      </c>
      <c r="J287" s="7">
        <v>195.67</v>
      </c>
      <c r="K287" s="18">
        <f>$H287*$I287</f>
        <v>26087.460000000003</v>
      </c>
      <c r="L287" s="1">
        <f t="shared" si="4"/>
        <v>-41810.029999999992</v>
      </c>
    </row>
    <row r="288" spans="1:12" x14ac:dyDescent="0.25">
      <c r="A288" s="7" t="s">
        <v>310</v>
      </c>
      <c r="B288" s="7" t="s">
        <v>17</v>
      </c>
      <c r="C288" s="7" t="s">
        <v>18</v>
      </c>
      <c r="D288" s="7" t="s">
        <v>42</v>
      </c>
      <c r="E288" s="7" t="s">
        <v>24</v>
      </c>
      <c r="F288" s="7" t="s">
        <v>15</v>
      </c>
      <c r="G288" s="1">
        <v>45208</v>
      </c>
      <c r="H288" s="7">
        <v>375</v>
      </c>
      <c r="I288" s="7">
        <v>140.9</v>
      </c>
      <c r="J288" s="7">
        <v>240.55</v>
      </c>
      <c r="K288" s="18">
        <f>$H288*$I288</f>
        <v>52837.5</v>
      </c>
      <c r="L288" s="1">
        <f t="shared" si="4"/>
        <v>-37368.75</v>
      </c>
    </row>
    <row r="289" spans="1:12" x14ac:dyDescent="0.25">
      <c r="A289" s="7" t="s">
        <v>311</v>
      </c>
      <c r="B289" s="7" t="s">
        <v>48</v>
      </c>
      <c r="C289" s="7" t="s">
        <v>18</v>
      </c>
      <c r="D289" s="7" t="s">
        <v>23</v>
      </c>
      <c r="E289" s="7" t="s">
        <v>14</v>
      </c>
      <c r="F289" s="7" t="s">
        <v>15</v>
      </c>
      <c r="G289" s="1">
        <v>45209</v>
      </c>
      <c r="H289" s="7">
        <v>104</v>
      </c>
      <c r="I289" s="7">
        <v>300.54000000000002</v>
      </c>
      <c r="J289" s="7">
        <v>241.65</v>
      </c>
      <c r="K289" s="18">
        <f>$H289*$I289</f>
        <v>31256.160000000003</v>
      </c>
      <c r="L289" s="1">
        <f t="shared" si="4"/>
        <v>6124.5600000000013</v>
      </c>
    </row>
    <row r="290" spans="1:12" x14ac:dyDescent="0.25">
      <c r="A290" s="7" t="s">
        <v>312</v>
      </c>
      <c r="B290" s="7" t="s">
        <v>11</v>
      </c>
      <c r="C290" s="7" t="s">
        <v>12</v>
      </c>
      <c r="D290" s="7" t="s">
        <v>23</v>
      </c>
      <c r="E290" s="7" t="s">
        <v>14</v>
      </c>
      <c r="F290" s="7" t="s">
        <v>15</v>
      </c>
      <c r="G290" s="1">
        <v>45210</v>
      </c>
      <c r="H290" s="7">
        <v>175</v>
      </c>
      <c r="I290" s="7">
        <v>339.54</v>
      </c>
      <c r="J290" s="7">
        <v>11.13</v>
      </c>
      <c r="K290" s="18">
        <f>$H290*$I290</f>
        <v>59419.5</v>
      </c>
      <c r="L290" s="1">
        <f t="shared" si="4"/>
        <v>57471.750000000007</v>
      </c>
    </row>
    <row r="291" spans="1:12" x14ac:dyDescent="0.25">
      <c r="A291" s="7" t="s">
        <v>313</v>
      </c>
      <c r="B291" s="7" t="s">
        <v>48</v>
      </c>
      <c r="C291" s="7" t="s">
        <v>18</v>
      </c>
      <c r="D291" s="7" t="s">
        <v>13</v>
      </c>
      <c r="E291" s="7" t="s">
        <v>14</v>
      </c>
      <c r="F291" s="7" t="s">
        <v>20</v>
      </c>
      <c r="G291" s="1">
        <v>45211</v>
      </c>
      <c r="H291" s="7">
        <v>41</v>
      </c>
      <c r="I291" s="7">
        <v>224.14</v>
      </c>
      <c r="J291" s="7">
        <v>130.19999999999999</v>
      </c>
      <c r="K291" s="18">
        <f>$H291*$I291</f>
        <v>9189.74</v>
      </c>
      <c r="L291" s="1">
        <f t="shared" si="4"/>
        <v>3851.54</v>
      </c>
    </row>
    <row r="292" spans="1:12" x14ac:dyDescent="0.25">
      <c r="A292" s="7" t="s">
        <v>314</v>
      </c>
      <c r="B292" s="7" t="s">
        <v>11</v>
      </c>
      <c r="C292" s="7" t="s">
        <v>50</v>
      </c>
      <c r="D292" s="7" t="s">
        <v>19</v>
      </c>
      <c r="E292" s="7" t="s">
        <v>14</v>
      </c>
      <c r="F292" s="7" t="s">
        <v>28</v>
      </c>
      <c r="G292" s="1">
        <v>45212</v>
      </c>
      <c r="H292" s="7">
        <v>20</v>
      </c>
      <c r="I292" s="7">
        <v>225.67</v>
      </c>
      <c r="J292" s="7">
        <v>255.32</v>
      </c>
      <c r="K292" s="18">
        <f>$H292*$I292</f>
        <v>4513.3999999999996</v>
      </c>
      <c r="L292" s="1">
        <f t="shared" si="4"/>
        <v>-593.00000000000011</v>
      </c>
    </row>
    <row r="293" spans="1:12" x14ac:dyDescent="0.25">
      <c r="A293" s="7" t="s">
        <v>315</v>
      </c>
      <c r="B293" s="7" t="s">
        <v>22</v>
      </c>
      <c r="C293" s="7" t="s">
        <v>31</v>
      </c>
      <c r="D293" s="7" t="s">
        <v>27</v>
      </c>
      <c r="E293" s="7" t="s">
        <v>24</v>
      </c>
      <c r="F293" s="7" t="s">
        <v>20</v>
      </c>
      <c r="G293" s="1">
        <v>45213</v>
      </c>
      <c r="H293" s="7">
        <v>310</v>
      </c>
      <c r="I293" s="7">
        <v>363.64</v>
      </c>
      <c r="J293" s="7">
        <v>61.3</v>
      </c>
      <c r="K293" s="18">
        <f>$H293*$I293</f>
        <v>112728.4</v>
      </c>
      <c r="L293" s="1">
        <f t="shared" si="4"/>
        <v>93725.4</v>
      </c>
    </row>
    <row r="294" spans="1:12" x14ac:dyDescent="0.25">
      <c r="A294" s="7" t="s">
        <v>316</v>
      </c>
      <c r="B294" s="7" t="s">
        <v>22</v>
      </c>
      <c r="C294" s="7" t="s">
        <v>31</v>
      </c>
      <c r="D294" s="7" t="s">
        <v>19</v>
      </c>
      <c r="E294" s="7" t="s">
        <v>24</v>
      </c>
      <c r="F294" s="7" t="s">
        <v>20</v>
      </c>
      <c r="G294" s="1">
        <v>45214</v>
      </c>
      <c r="H294" s="7">
        <v>226</v>
      </c>
      <c r="I294" s="7">
        <v>249.64</v>
      </c>
      <c r="J294" s="7">
        <v>278.77999999999997</v>
      </c>
      <c r="K294" s="18">
        <f>$H294*$I294</f>
        <v>56418.64</v>
      </c>
      <c r="L294" s="1">
        <f t="shared" si="4"/>
        <v>-6585.6399999999967</v>
      </c>
    </row>
    <row r="295" spans="1:12" x14ac:dyDescent="0.25">
      <c r="A295" s="7" t="s">
        <v>317</v>
      </c>
      <c r="B295" s="7" t="s">
        <v>22</v>
      </c>
      <c r="C295" s="7" t="s">
        <v>18</v>
      </c>
      <c r="D295" s="7" t="s">
        <v>19</v>
      </c>
      <c r="E295" s="7" t="s">
        <v>24</v>
      </c>
      <c r="F295" s="7" t="s">
        <v>28</v>
      </c>
      <c r="G295" s="1">
        <v>45215</v>
      </c>
      <c r="H295" s="7">
        <v>255.9</v>
      </c>
      <c r="I295" s="7">
        <v>173.84</v>
      </c>
      <c r="J295" s="7">
        <v>298.88</v>
      </c>
      <c r="K295" s="18">
        <f>$H295*$I295</f>
        <v>44485.656000000003</v>
      </c>
      <c r="L295" s="1">
        <f t="shared" si="4"/>
        <v>-31997.735999999997</v>
      </c>
    </row>
    <row r="296" spans="1:12" x14ac:dyDescent="0.25">
      <c r="A296" s="7" t="s">
        <v>318</v>
      </c>
      <c r="B296" s="7" t="s">
        <v>17</v>
      </c>
      <c r="C296" s="7" t="s">
        <v>12</v>
      </c>
      <c r="D296" s="7" t="s">
        <v>23</v>
      </c>
      <c r="E296" s="7" t="s">
        <v>14</v>
      </c>
      <c r="F296" s="7" t="s">
        <v>20</v>
      </c>
      <c r="G296" s="1">
        <v>45216</v>
      </c>
      <c r="H296" s="7">
        <v>111</v>
      </c>
      <c r="I296" s="7">
        <v>410.26</v>
      </c>
      <c r="J296" s="7">
        <v>392.82</v>
      </c>
      <c r="K296" s="18">
        <f>$H296*$I296</f>
        <v>45538.86</v>
      </c>
      <c r="L296" s="1">
        <f t="shared" si="4"/>
        <v>1935.8399999999997</v>
      </c>
    </row>
    <row r="297" spans="1:12" x14ac:dyDescent="0.25">
      <c r="A297" s="7" t="s">
        <v>319</v>
      </c>
      <c r="B297" s="7" t="s">
        <v>22</v>
      </c>
      <c r="C297" s="7" t="s">
        <v>12</v>
      </c>
      <c r="D297" s="7" t="s">
        <v>19</v>
      </c>
      <c r="E297" s="7" t="s">
        <v>24</v>
      </c>
      <c r="F297" s="7" t="s">
        <v>28</v>
      </c>
      <c r="G297" s="1">
        <v>45217</v>
      </c>
      <c r="H297" s="7">
        <v>434</v>
      </c>
      <c r="I297" s="7">
        <v>303.58999999999997</v>
      </c>
      <c r="J297" s="7">
        <v>85.52</v>
      </c>
      <c r="K297" s="18">
        <f>$H297*$I297</f>
        <v>131758.06</v>
      </c>
      <c r="L297" s="1">
        <f t="shared" si="4"/>
        <v>94642.37999999999</v>
      </c>
    </row>
    <row r="298" spans="1:12" x14ac:dyDescent="0.25">
      <c r="A298" s="7" t="s">
        <v>320</v>
      </c>
      <c r="B298" s="7" t="s">
        <v>11</v>
      </c>
      <c r="C298" s="7" t="s">
        <v>50</v>
      </c>
      <c r="D298" s="7" t="s">
        <v>42</v>
      </c>
      <c r="E298" s="7" t="s">
        <v>24</v>
      </c>
      <c r="F298" s="7" t="s">
        <v>15</v>
      </c>
      <c r="G298" s="1">
        <v>45218</v>
      </c>
      <c r="H298" s="7">
        <v>401</v>
      </c>
      <c r="I298" s="7">
        <v>171.93</v>
      </c>
      <c r="J298" s="7">
        <v>330.4</v>
      </c>
      <c r="K298" s="18">
        <f>$H298*$I298</f>
        <v>68943.930000000008</v>
      </c>
      <c r="L298" s="1">
        <f t="shared" si="4"/>
        <v>-63546.469999999987</v>
      </c>
    </row>
    <row r="299" spans="1:12" x14ac:dyDescent="0.25">
      <c r="A299" s="7" t="s">
        <v>321</v>
      </c>
      <c r="B299" s="7" t="s">
        <v>22</v>
      </c>
      <c r="C299" s="7" t="s">
        <v>18</v>
      </c>
      <c r="D299" s="7" t="s">
        <v>23</v>
      </c>
      <c r="E299" s="7" t="s">
        <v>24</v>
      </c>
      <c r="F299" s="7" t="s">
        <v>28</v>
      </c>
      <c r="G299" s="1">
        <v>45219</v>
      </c>
      <c r="H299" s="7">
        <v>276</v>
      </c>
      <c r="I299" s="7">
        <v>453.23</v>
      </c>
      <c r="J299" s="7">
        <v>209.08</v>
      </c>
      <c r="K299" s="18">
        <f>$H299*$I299</f>
        <v>125091.48000000001</v>
      </c>
      <c r="L299" s="1">
        <f t="shared" si="4"/>
        <v>67385.400000000009</v>
      </c>
    </row>
    <row r="300" spans="1:12" x14ac:dyDescent="0.25">
      <c r="A300" s="7" t="s">
        <v>322</v>
      </c>
      <c r="B300" s="7" t="s">
        <v>48</v>
      </c>
      <c r="C300" s="7" t="s">
        <v>31</v>
      </c>
      <c r="D300" s="7" t="s">
        <v>42</v>
      </c>
      <c r="E300" s="7" t="s">
        <v>14</v>
      </c>
      <c r="F300" s="7" t="s">
        <v>15</v>
      </c>
      <c r="G300" s="1">
        <v>45220</v>
      </c>
      <c r="H300" s="7">
        <v>255.9</v>
      </c>
      <c r="I300" s="7">
        <v>387.45</v>
      </c>
      <c r="J300" s="7">
        <v>150.63999999999999</v>
      </c>
      <c r="K300" s="18">
        <f>$H300*$I300</f>
        <v>99148.455000000002</v>
      </c>
      <c r="L300" s="1">
        <f t="shared" si="4"/>
        <v>60599.679000000004</v>
      </c>
    </row>
    <row r="301" spans="1:12" x14ac:dyDescent="0.25">
      <c r="A301" s="7" t="s">
        <v>323</v>
      </c>
      <c r="B301" s="7" t="s">
        <v>48</v>
      </c>
      <c r="C301" s="7" t="s">
        <v>12</v>
      </c>
      <c r="D301" s="7" t="s">
        <v>27</v>
      </c>
      <c r="E301" s="7" t="s">
        <v>14</v>
      </c>
      <c r="F301" s="7" t="s">
        <v>20</v>
      </c>
      <c r="G301" s="1">
        <v>45221</v>
      </c>
      <c r="H301" s="7">
        <v>188</v>
      </c>
      <c r="I301" s="7">
        <v>136.12</v>
      </c>
      <c r="J301" s="7">
        <v>50.71</v>
      </c>
      <c r="K301" s="18">
        <f>$H301*$I301</f>
        <v>25590.560000000001</v>
      </c>
      <c r="L301" s="1">
        <f t="shared" si="4"/>
        <v>16057.08</v>
      </c>
    </row>
    <row r="302" spans="1:12" x14ac:dyDescent="0.25">
      <c r="A302" s="7" t="s">
        <v>324</v>
      </c>
      <c r="B302" s="7" t="s">
        <v>17</v>
      </c>
      <c r="C302" s="7" t="s">
        <v>18</v>
      </c>
      <c r="D302" s="7" t="s">
        <v>23</v>
      </c>
      <c r="E302" s="7" t="s">
        <v>14</v>
      </c>
      <c r="F302" s="7" t="s">
        <v>20</v>
      </c>
      <c r="G302" s="1">
        <v>45222</v>
      </c>
      <c r="H302" s="7">
        <v>97</v>
      </c>
      <c r="I302" s="7">
        <v>324.42</v>
      </c>
      <c r="J302" s="7">
        <v>294.73</v>
      </c>
      <c r="K302" s="18">
        <f>$H302*$I302</f>
        <v>31468.74</v>
      </c>
      <c r="L302" s="1">
        <f t="shared" si="4"/>
        <v>2879.93</v>
      </c>
    </row>
    <row r="303" spans="1:12" x14ac:dyDescent="0.25">
      <c r="A303" s="7" t="s">
        <v>325</v>
      </c>
      <c r="B303" s="7" t="s">
        <v>48</v>
      </c>
      <c r="C303" s="7" t="s">
        <v>12</v>
      </c>
      <c r="D303" s="7" t="s">
        <v>27</v>
      </c>
      <c r="E303" s="7" t="s">
        <v>24</v>
      </c>
      <c r="F303" s="7" t="s">
        <v>15</v>
      </c>
      <c r="G303" s="1">
        <v>45223</v>
      </c>
      <c r="H303" s="7">
        <v>50</v>
      </c>
      <c r="I303" s="7">
        <v>299.89999999999998</v>
      </c>
      <c r="J303" s="7">
        <v>95.87</v>
      </c>
      <c r="K303" s="18">
        <f>$H303*$I303</f>
        <v>14994.999999999998</v>
      </c>
      <c r="L303" s="1">
        <f t="shared" si="4"/>
        <v>10201.499999999998</v>
      </c>
    </row>
    <row r="304" spans="1:12" x14ac:dyDescent="0.25">
      <c r="A304" s="7" t="s">
        <v>326</v>
      </c>
      <c r="B304" s="7" t="s">
        <v>11</v>
      </c>
      <c r="C304" s="7" t="s">
        <v>12</v>
      </c>
      <c r="D304" s="7" t="s">
        <v>23</v>
      </c>
      <c r="E304" s="7" t="s">
        <v>24</v>
      </c>
      <c r="F304" s="7" t="s">
        <v>20</v>
      </c>
      <c r="G304" s="1">
        <v>45224</v>
      </c>
      <c r="H304" s="7">
        <v>410</v>
      </c>
      <c r="I304" s="7">
        <v>203.59</v>
      </c>
      <c r="J304" s="7">
        <v>149.83000000000001</v>
      </c>
      <c r="K304" s="18">
        <f>$H304*$I304</f>
        <v>83471.899999999994</v>
      </c>
      <c r="L304" s="1">
        <f t="shared" si="4"/>
        <v>22041.599999999995</v>
      </c>
    </row>
    <row r="305" spans="1:12" x14ac:dyDescent="0.25">
      <c r="A305" s="7" t="s">
        <v>327</v>
      </c>
      <c r="B305" s="7" t="s">
        <v>22</v>
      </c>
      <c r="C305" s="7" t="s">
        <v>31</v>
      </c>
      <c r="D305" s="7" t="s">
        <v>13</v>
      </c>
      <c r="E305" s="7" t="s">
        <v>24</v>
      </c>
      <c r="F305" s="7" t="s">
        <v>28</v>
      </c>
      <c r="G305" s="1">
        <v>45225</v>
      </c>
      <c r="H305" s="7">
        <v>85</v>
      </c>
      <c r="I305" s="7">
        <v>186.64</v>
      </c>
      <c r="J305" s="7">
        <v>26.89</v>
      </c>
      <c r="K305" s="18">
        <f>$H305*$I305</f>
        <v>15864.4</v>
      </c>
      <c r="L305" s="1">
        <f t="shared" si="4"/>
        <v>13578.75</v>
      </c>
    </row>
    <row r="306" spans="1:12" x14ac:dyDescent="0.25">
      <c r="A306" s="7" t="s">
        <v>328</v>
      </c>
      <c r="B306" s="7" t="s">
        <v>17</v>
      </c>
      <c r="C306" s="7" t="s">
        <v>26</v>
      </c>
      <c r="D306" s="7" t="s">
        <v>19</v>
      </c>
      <c r="E306" s="7" t="s">
        <v>14</v>
      </c>
      <c r="F306" s="7" t="s">
        <v>15</v>
      </c>
      <c r="G306" s="1">
        <v>45226</v>
      </c>
      <c r="H306" s="7">
        <v>386</v>
      </c>
      <c r="I306" s="7">
        <v>175.06</v>
      </c>
      <c r="J306" s="7">
        <v>320.94</v>
      </c>
      <c r="K306" s="18">
        <f>$H306*$I306</f>
        <v>67573.16</v>
      </c>
      <c r="L306" s="1">
        <f t="shared" si="4"/>
        <v>-56309.68</v>
      </c>
    </row>
    <row r="307" spans="1:12" x14ac:dyDescent="0.25">
      <c r="A307" s="7" t="s">
        <v>329</v>
      </c>
      <c r="B307" s="7" t="s">
        <v>22</v>
      </c>
      <c r="C307" s="7" t="s">
        <v>50</v>
      </c>
      <c r="D307" s="7" t="s">
        <v>13</v>
      </c>
      <c r="E307" s="7" t="s">
        <v>14</v>
      </c>
      <c r="F307" s="7" t="s">
        <v>20</v>
      </c>
      <c r="G307" s="1">
        <v>45227</v>
      </c>
      <c r="H307" s="7">
        <v>55</v>
      </c>
      <c r="I307" s="7">
        <v>310.49</v>
      </c>
      <c r="J307" s="7">
        <v>307.10000000000002</v>
      </c>
      <c r="K307" s="18">
        <f>$H307*$I307</f>
        <v>17076.95</v>
      </c>
      <c r="L307" s="1">
        <f t="shared" si="4"/>
        <v>186.44999999999925</v>
      </c>
    </row>
    <row r="308" spans="1:12" x14ac:dyDescent="0.25">
      <c r="A308" s="7" t="s">
        <v>330</v>
      </c>
      <c r="B308" s="7" t="s">
        <v>22</v>
      </c>
      <c r="C308" s="7" t="s">
        <v>50</v>
      </c>
      <c r="D308" s="7" t="s">
        <v>27</v>
      </c>
      <c r="E308" s="7" t="s">
        <v>24</v>
      </c>
      <c r="F308" s="7" t="s">
        <v>15</v>
      </c>
      <c r="G308" s="1">
        <v>45228</v>
      </c>
      <c r="H308" s="7">
        <v>169</v>
      </c>
      <c r="I308" s="7">
        <v>223.99</v>
      </c>
      <c r="J308" s="7">
        <v>293.98</v>
      </c>
      <c r="K308" s="18">
        <f>$H308*$I308</f>
        <v>37854.310000000005</v>
      </c>
      <c r="L308" s="1">
        <f t="shared" si="4"/>
        <v>-11828.310000000001</v>
      </c>
    </row>
    <row r="309" spans="1:12" x14ac:dyDescent="0.25">
      <c r="A309" s="7" t="s">
        <v>331</v>
      </c>
      <c r="B309" s="7" t="s">
        <v>11</v>
      </c>
      <c r="C309" s="7" t="s">
        <v>31</v>
      </c>
      <c r="D309" s="7" t="s">
        <v>19</v>
      </c>
      <c r="E309" s="7" t="s">
        <v>14</v>
      </c>
      <c r="F309" s="7" t="s">
        <v>28</v>
      </c>
      <c r="G309" s="1">
        <v>45229</v>
      </c>
      <c r="H309" s="7">
        <v>472</v>
      </c>
      <c r="I309" s="7">
        <v>416.77</v>
      </c>
      <c r="J309" s="7">
        <v>121.18</v>
      </c>
      <c r="K309" s="18">
        <f>$H309*$I309</f>
        <v>196715.44</v>
      </c>
      <c r="L309" s="1">
        <f t="shared" si="4"/>
        <v>139518.47999999998</v>
      </c>
    </row>
    <row r="310" spans="1:12" x14ac:dyDescent="0.25">
      <c r="A310" s="7" t="s">
        <v>332</v>
      </c>
      <c r="B310" s="7" t="s">
        <v>48</v>
      </c>
      <c r="C310" s="7" t="s">
        <v>12</v>
      </c>
      <c r="D310" s="7" t="s">
        <v>23</v>
      </c>
      <c r="E310" s="7" t="s">
        <v>14</v>
      </c>
      <c r="F310" s="7" t="s">
        <v>28</v>
      </c>
      <c r="G310" s="1">
        <v>45230</v>
      </c>
      <c r="H310" s="7">
        <v>89</v>
      </c>
      <c r="I310" s="7">
        <v>336.45</v>
      </c>
      <c r="J310" s="7">
        <v>71.05</v>
      </c>
      <c r="K310" s="18">
        <f>$H310*$I310</f>
        <v>29944.05</v>
      </c>
      <c r="L310" s="1">
        <f t="shared" si="4"/>
        <v>23620.6</v>
      </c>
    </row>
    <row r="311" spans="1:12" x14ac:dyDescent="0.25">
      <c r="A311" s="7" t="s">
        <v>333</v>
      </c>
      <c r="B311" s="7" t="s">
        <v>48</v>
      </c>
      <c r="C311" s="7" t="s">
        <v>18</v>
      </c>
      <c r="D311" s="7" t="s">
        <v>19</v>
      </c>
      <c r="E311" s="7" t="s">
        <v>14</v>
      </c>
      <c r="F311" s="7" t="s">
        <v>20</v>
      </c>
      <c r="G311" s="1">
        <v>45231</v>
      </c>
      <c r="H311" s="7">
        <v>319</v>
      </c>
      <c r="I311" s="7">
        <v>39.619999999999997</v>
      </c>
      <c r="J311" s="7">
        <v>255.75</v>
      </c>
      <c r="K311" s="18">
        <f>$H311*$I311</f>
        <v>12638.779999999999</v>
      </c>
      <c r="L311" s="1">
        <f t="shared" si="4"/>
        <v>-68945.47</v>
      </c>
    </row>
    <row r="312" spans="1:12" x14ac:dyDescent="0.25">
      <c r="A312" s="7" t="s">
        <v>334</v>
      </c>
      <c r="B312" s="7" t="s">
        <v>22</v>
      </c>
      <c r="C312" s="7" t="s">
        <v>12</v>
      </c>
      <c r="D312" s="7" t="s">
        <v>19</v>
      </c>
      <c r="E312" s="7" t="s">
        <v>14</v>
      </c>
      <c r="F312" s="7" t="s">
        <v>28</v>
      </c>
      <c r="G312" s="1">
        <v>45232</v>
      </c>
      <c r="H312" s="7">
        <v>95</v>
      </c>
      <c r="I312" s="7">
        <v>321.88</v>
      </c>
      <c r="J312" s="7">
        <v>199.47</v>
      </c>
      <c r="K312" s="18">
        <f>$H312*$I312</f>
        <v>30578.6</v>
      </c>
      <c r="L312" s="1">
        <f t="shared" si="4"/>
        <v>11628.949999999999</v>
      </c>
    </row>
    <row r="313" spans="1:12" x14ac:dyDescent="0.25">
      <c r="A313" s="7" t="s">
        <v>335</v>
      </c>
      <c r="B313" s="7" t="s">
        <v>17</v>
      </c>
      <c r="C313" s="7" t="s">
        <v>31</v>
      </c>
      <c r="D313" s="7" t="s">
        <v>19</v>
      </c>
      <c r="E313" s="7" t="s">
        <v>24</v>
      </c>
      <c r="F313" s="7" t="s">
        <v>15</v>
      </c>
      <c r="G313" s="1">
        <v>45233</v>
      </c>
      <c r="H313" s="7">
        <v>101</v>
      </c>
      <c r="I313" s="7">
        <v>139.22</v>
      </c>
      <c r="J313" s="7">
        <v>72.94</v>
      </c>
      <c r="K313" s="18">
        <f>$H313*$I313</f>
        <v>14061.22</v>
      </c>
      <c r="L313" s="1">
        <f t="shared" si="4"/>
        <v>6694.28</v>
      </c>
    </row>
    <row r="314" spans="1:12" x14ac:dyDescent="0.25">
      <c r="A314" s="7" t="s">
        <v>336</v>
      </c>
      <c r="B314" s="7" t="s">
        <v>48</v>
      </c>
      <c r="C314" s="7" t="s">
        <v>50</v>
      </c>
      <c r="D314" s="7" t="s">
        <v>19</v>
      </c>
      <c r="E314" s="7" t="s">
        <v>14</v>
      </c>
      <c r="F314" s="7" t="s">
        <v>28</v>
      </c>
      <c r="G314" s="1">
        <v>45234</v>
      </c>
      <c r="H314" s="7">
        <v>157</v>
      </c>
      <c r="I314" s="7">
        <v>249.64</v>
      </c>
      <c r="J314" s="7">
        <v>274.99</v>
      </c>
      <c r="K314" s="18">
        <f>$H314*$I314</f>
        <v>39193.479999999996</v>
      </c>
      <c r="L314" s="1">
        <f t="shared" si="4"/>
        <v>-3979.9500000000035</v>
      </c>
    </row>
    <row r="315" spans="1:12" x14ac:dyDescent="0.25">
      <c r="A315" s="7" t="s">
        <v>337</v>
      </c>
      <c r="B315" s="7" t="s">
        <v>17</v>
      </c>
      <c r="C315" s="7" t="s">
        <v>12</v>
      </c>
      <c r="D315" s="7" t="s">
        <v>19</v>
      </c>
      <c r="E315" s="7" t="s">
        <v>14</v>
      </c>
      <c r="F315" s="7" t="s">
        <v>15</v>
      </c>
      <c r="G315" s="1">
        <v>45235</v>
      </c>
      <c r="H315" s="7">
        <v>170</v>
      </c>
      <c r="I315" s="7">
        <v>341.67</v>
      </c>
      <c r="J315" s="7">
        <v>396.47</v>
      </c>
      <c r="K315" s="18">
        <f>$H315*$I315</f>
        <v>58083.9</v>
      </c>
      <c r="L315" s="1">
        <f t="shared" si="4"/>
        <v>-9316.0000000000018</v>
      </c>
    </row>
    <row r="316" spans="1:12" x14ac:dyDescent="0.25">
      <c r="A316" s="7" t="s">
        <v>338</v>
      </c>
      <c r="B316" s="7" t="s">
        <v>48</v>
      </c>
      <c r="C316" s="7" t="s">
        <v>50</v>
      </c>
      <c r="D316" s="7" t="s">
        <v>42</v>
      </c>
      <c r="E316" s="7" t="s">
        <v>14</v>
      </c>
      <c r="F316" s="7" t="s">
        <v>15</v>
      </c>
      <c r="G316" s="1">
        <v>45236</v>
      </c>
      <c r="H316" s="7">
        <v>211</v>
      </c>
      <c r="I316" s="7">
        <v>119.26</v>
      </c>
      <c r="J316" s="7">
        <v>299.39</v>
      </c>
      <c r="K316" s="18">
        <f>$H316*$I316</f>
        <v>25163.86</v>
      </c>
      <c r="L316" s="1">
        <f t="shared" si="4"/>
        <v>-38007.43</v>
      </c>
    </row>
    <row r="317" spans="1:12" x14ac:dyDescent="0.25">
      <c r="A317" s="7" t="s">
        <v>339</v>
      </c>
      <c r="B317" s="7" t="s">
        <v>17</v>
      </c>
      <c r="C317" s="7" t="s">
        <v>18</v>
      </c>
      <c r="D317" s="7" t="s">
        <v>27</v>
      </c>
      <c r="E317" s="7" t="s">
        <v>14</v>
      </c>
      <c r="F317" s="7" t="s">
        <v>28</v>
      </c>
      <c r="G317" s="1">
        <v>45237</v>
      </c>
      <c r="H317" s="7">
        <v>433</v>
      </c>
      <c r="I317" s="7">
        <v>231.15</v>
      </c>
      <c r="J317" s="7">
        <v>296.51</v>
      </c>
      <c r="K317" s="18">
        <f>$H317*$I317</f>
        <v>100087.95</v>
      </c>
      <c r="L317" s="1">
        <f t="shared" si="4"/>
        <v>-28300.879999999994</v>
      </c>
    </row>
    <row r="318" spans="1:12" x14ac:dyDescent="0.25">
      <c r="A318" s="7" t="s">
        <v>340</v>
      </c>
      <c r="B318" s="7" t="s">
        <v>11</v>
      </c>
      <c r="C318" s="7" t="s">
        <v>50</v>
      </c>
      <c r="D318" s="7" t="s">
        <v>13</v>
      </c>
      <c r="E318" s="7" t="s">
        <v>24</v>
      </c>
      <c r="F318" s="7" t="s">
        <v>20</v>
      </c>
      <c r="G318" s="1">
        <v>45238</v>
      </c>
      <c r="H318" s="7">
        <v>425</v>
      </c>
      <c r="I318" s="7">
        <v>99.21</v>
      </c>
      <c r="J318" s="7">
        <v>380.22</v>
      </c>
      <c r="K318" s="18">
        <f>$H318*$I318</f>
        <v>42164.25</v>
      </c>
      <c r="L318" s="1">
        <f t="shared" si="4"/>
        <v>-119429.25000000001</v>
      </c>
    </row>
    <row r="319" spans="1:12" x14ac:dyDescent="0.25">
      <c r="A319" s="7" t="s">
        <v>341</v>
      </c>
      <c r="B319" s="7" t="s">
        <v>17</v>
      </c>
      <c r="C319" s="7" t="s">
        <v>50</v>
      </c>
      <c r="D319" s="7" t="s">
        <v>23</v>
      </c>
      <c r="E319" s="7" t="s">
        <v>24</v>
      </c>
      <c r="F319" s="7" t="s">
        <v>28</v>
      </c>
      <c r="G319" s="1">
        <v>45239</v>
      </c>
      <c r="H319" s="7">
        <v>251</v>
      </c>
      <c r="I319" s="7">
        <v>30.91</v>
      </c>
      <c r="J319" s="7">
        <v>82.77</v>
      </c>
      <c r="K319" s="18">
        <f>$H319*$I319</f>
        <v>7758.41</v>
      </c>
      <c r="L319" s="1">
        <f t="shared" si="4"/>
        <v>-13016.86</v>
      </c>
    </row>
    <row r="320" spans="1:12" x14ac:dyDescent="0.25">
      <c r="A320" s="7" t="s">
        <v>342</v>
      </c>
      <c r="B320" s="7" t="s">
        <v>11</v>
      </c>
      <c r="C320" s="7" t="s">
        <v>26</v>
      </c>
      <c r="D320" s="7" t="s">
        <v>19</v>
      </c>
      <c r="E320" s="7" t="s">
        <v>14</v>
      </c>
      <c r="F320" s="7" t="s">
        <v>15</v>
      </c>
      <c r="G320" s="1">
        <v>45240</v>
      </c>
      <c r="H320" s="7">
        <v>255.9</v>
      </c>
      <c r="I320" s="7">
        <v>192.35</v>
      </c>
      <c r="J320" s="7">
        <v>227.09</v>
      </c>
      <c r="K320" s="18">
        <f>$H320*$I320</f>
        <v>49222.364999999998</v>
      </c>
      <c r="L320" s="1">
        <f t="shared" si="4"/>
        <v>-8889.9660000000022</v>
      </c>
    </row>
    <row r="321" spans="1:12" x14ac:dyDescent="0.25">
      <c r="A321" s="7" t="s">
        <v>343</v>
      </c>
      <c r="B321" s="7" t="s">
        <v>11</v>
      </c>
      <c r="C321" s="7" t="s">
        <v>26</v>
      </c>
      <c r="D321" s="7" t="s">
        <v>13</v>
      </c>
      <c r="E321" s="7" t="s">
        <v>14</v>
      </c>
      <c r="F321" s="7" t="s">
        <v>15</v>
      </c>
      <c r="G321" s="1">
        <v>45241</v>
      </c>
      <c r="H321" s="7">
        <v>11</v>
      </c>
      <c r="I321" s="7">
        <v>184.66</v>
      </c>
      <c r="J321" s="7">
        <v>391.9</v>
      </c>
      <c r="K321" s="18">
        <f>$H321*$I321</f>
        <v>2031.26</v>
      </c>
      <c r="L321" s="1">
        <f t="shared" si="4"/>
        <v>-2279.64</v>
      </c>
    </row>
    <row r="322" spans="1:12" x14ac:dyDescent="0.25">
      <c r="A322" s="7" t="s">
        <v>344</v>
      </c>
      <c r="B322" s="7" t="s">
        <v>17</v>
      </c>
      <c r="C322" s="7" t="s">
        <v>26</v>
      </c>
      <c r="D322" s="7" t="s">
        <v>23</v>
      </c>
      <c r="E322" s="7" t="s">
        <v>14</v>
      </c>
      <c r="F322" s="7" t="s">
        <v>28</v>
      </c>
      <c r="G322" s="1">
        <v>45242</v>
      </c>
      <c r="H322" s="7">
        <v>234</v>
      </c>
      <c r="I322" s="7">
        <v>497.76</v>
      </c>
      <c r="J322" s="7">
        <v>67.790000000000006</v>
      </c>
      <c r="K322" s="18">
        <f>$H322*$I322</f>
        <v>116475.84</v>
      </c>
      <c r="L322" s="1">
        <f t="shared" si="4"/>
        <v>100612.98</v>
      </c>
    </row>
    <row r="323" spans="1:12" x14ac:dyDescent="0.25">
      <c r="A323" s="7" t="s">
        <v>345</v>
      </c>
      <c r="B323" s="7" t="s">
        <v>11</v>
      </c>
      <c r="C323" s="7" t="s">
        <v>50</v>
      </c>
      <c r="D323" s="7" t="s">
        <v>23</v>
      </c>
      <c r="E323" s="7" t="s">
        <v>14</v>
      </c>
      <c r="F323" s="7" t="s">
        <v>20</v>
      </c>
      <c r="G323" s="1">
        <v>45243</v>
      </c>
      <c r="H323" s="7">
        <v>255.9</v>
      </c>
      <c r="I323" s="7">
        <v>225.94</v>
      </c>
      <c r="J323" s="7">
        <v>280.7</v>
      </c>
      <c r="K323" s="18">
        <f>$H323*$I323</f>
        <v>57818.046000000002</v>
      </c>
      <c r="L323" s="1">
        <f t="shared" si="4"/>
        <v>-14013.083999999997</v>
      </c>
    </row>
    <row r="324" spans="1:12" x14ac:dyDescent="0.25">
      <c r="A324" s="7" t="s">
        <v>346</v>
      </c>
      <c r="B324" s="7" t="s">
        <v>22</v>
      </c>
      <c r="C324" s="7" t="s">
        <v>31</v>
      </c>
      <c r="D324" s="7" t="s">
        <v>42</v>
      </c>
      <c r="E324" s="7" t="s">
        <v>14</v>
      </c>
      <c r="F324" s="7" t="s">
        <v>20</v>
      </c>
      <c r="G324" s="1">
        <v>45244</v>
      </c>
      <c r="H324" s="7">
        <v>242</v>
      </c>
      <c r="I324" s="7">
        <v>170.12</v>
      </c>
      <c r="J324" s="7">
        <v>235.15</v>
      </c>
      <c r="K324" s="18">
        <f>$H324*$I324</f>
        <v>41169.040000000001</v>
      </c>
      <c r="L324" s="1">
        <f t="shared" si="4"/>
        <v>-15737.26</v>
      </c>
    </row>
    <row r="325" spans="1:12" x14ac:dyDescent="0.25">
      <c r="A325" s="7" t="s">
        <v>347</v>
      </c>
      <c r="B325" s="7" t="s">
        <v>11</v>
      </c>
      <c r="C325" s="7" t="s">
        <v>50</v>
      </c>
      <c r="D325" s="7" t="s">
        <v>27</v>
      </c>
      <c r="E325" s="7" t="s">
        <v>14</v>
      </c>
      <c r="F325" s="7" t="s">
        <v>15</v>
      </c>
      <c r="G325" s="1">
        <v>45245</v>
      </c>
      <c r="H325" s="7">
        <v>470</v>
      </c>
      <c r="I325" s="7">
        <v>292.33999999999997</v>
      </c>
      <c r="J325" s="7">
        <v>235.42</v>
      </c>
      <c r="K325" s="18">
        <f>$H325*$I325</f>
        <v>137399.79999999999</v>
      </c>
      <c r="L325" s="1">
        <f t="shared" si="4"/>
        <v>26752.399999999994</v>
      </c>
    </row>
    <row r="326" spans="1:12" x14ac:dyDescent="0.25">
      <c r="A326" s="7" t="s">
        <v>348</v>
      </c>
      <c r="B326" s="7" t="s">
        <v>48</v>
      </c>
      <c r="C326" s="7" t="s">
        <v>31</v>
      </c>
      <c r="D326" s="7" t="s">
        <v>27</v>
      </c>
      <c r="E326" s="7" t="s">
        <v>24</v>
      </c>
      <c r="F326" s="7" t="s">
        <v>15</v>
      </c>
      <c r="G326" s="1">
        <v>45246</v>
      </c>
      <c r="H326" s="7">
        <v>423</v>
      </c>
      <c r="I326" s="7">
        <v>48.94</v>
      </c>
      <c r="J326" s="7">
        <v>279.67</v>
      </c>
      <c r="K326" s="18">
        <f>$H326*$I326</f>
        <v>20701.62</v>
      </c>
      <c r="L326" s="1">
        <f t="shared" si="4"/>
        <v>-97598.790000000008</v>
      </c>
    </row>
    <row r="327" spans="1:12" x14ac:dyDescent="0.25">
      <c r="A327" s="7" t="s">
        <v>349</v>
      </c>
      <c r="B327" s="7" t="s">
        <v>17</v>
      </c>
      <c r="C327" s="7" t="s">
        <v>31</v>
      </c>
      <c r="D327" s="7" t="s">
        <v>13</v>
      </c>
      <c r="E327" s="7" t="s">
        <v>14</v>
      </c>
      <c r="F327" s="7" t="s">
        <v>20</v>
      </c>
      <c r="G327" s="1">
        <v>45247</v>
      </c>
      <c r="H327" s="7">
        <v>426</v>
      </c>
      <c r="I327" s="7">
        <v>481.02</v>
      </c>
      <c r="J327" s="7">
        <v>371.99</v>
      </c>
      <c r="K327" s="18">
        <f>$H327*$I327</f>
        <v>204914.52</v>
      </c>
      <c r="L327" s="1">
        <f t="shared" si="4"/>
        <v>46446.779999999992</v>
      </c>
    </row>
    <row r="328" spans="1:12" x14ac:dyDescent="0.25">
      <c r="A328" s="7" t="s">
        <v>350</v>
      </c>
      <c r="B328" s="7" t="s">
        <v>22</v>
      </c>
      <c r="C328" s="7" t="s">
        <v>26</v>
      </c>
      <c r="D328" s="7" t="s">
        <v>27</v>
      </c>
      <c r="E328" s="7" t="s">
        <v>24</v>
      </c>
      <c r="F328" s="7" t="s">
        <v>28</v>
      </c>
      <c r="G328" s="1">
        <v>45248</v>
      </c>
      <c r="H328" s="7">
        <v>86</v>
      </c>
      <c r="I328" s="7">
        <v>319.31</v>
      </c>
      <c r="J328" s="7">
        <v>313.47000000000003</v>
      </c>
      <c r="K328" s="18">
        <f>$H328*$I328</f>
        <v>27460.66</v>
      </c>
      <c r="L328" s="1">
        <f t="shared" ref="L328:L356" si="5">($I328-$J328)*$H328</f>
        <v>502.23999999999785</v>
      </c>
    </row>
    <row r="329" spans="1:12" x14ac:dyDescent="0.25">
      <c r="A329" s="7" t="s">
        <v>351</v>
      </c>
      <c r="B329" s="7" t="s">
        <v>17</v>
      </c>
      <c r="C329" s="7" t="s">
        <v>12</v>
      </c>
      <c r="D329" s="7" t="s">
        <v>19</v>
      </c>
      <c r="E329" s="7" t="s">
        <v>24</v>
      </c>
      <c r="F329" s="7" t="s">
        <v>15</v>
      </c>
      <c r="G329" s="1">
        <v>45249</v>
      </c>
      <c r="H329" s="7">
        <v>125</v>
      </c>
      <c r="I329" s="7">
        <v>378.64</v>
      </c>
      <c r="J329" s="7">
        <v>24.34</v>
      </c>
      <c r="K329" s="18">
        <f>$H329*$I329</f>
        <v>47330</v>
      </c>
      <c r="L329" s="1">
        <f t="shared" si="5"/>
        <v>44287.5</v>
      </c>
    </row>
    <row r="330" spans="1:12" x14ac:dyDescent="0.25">
      <c r="A330" s="7" t="s">
        <v>352</v>
      </c>
      <c r="B330" s="7" t="s">
        <v>48</v>
      </c>
      <c r="C330" s="7" t="s">
        <v>18</v>
      </c>
      <c r="D330" s="7" t="s">
        <v>19</v>
      </c>
      <c r="E330" s="7" t="s">
        <v>14</v>
      </c>
      <c r="F330" s="7" t="s">
        <v>15</v>
      </c>
      <c r="G330" s="1">
        <v>45250</v>
      </c>
      <c r="H330" s="7">
        <v>163</v>
      </c>
      <c r="I330" s="7">
        <v>89.39</v>
      </c>
      <c r="J330" s="7">
        <v>341.39</v>
      </c>
      <c r="K330" s="18">
        <f>$H330*$I330</f>
        <v>14570.57</v>
      </c>
      <c r="L330" s="1">
        <f t="shared" si="5"/>
        <v>-41076</v>
      </c>
    </row>
    <row r="331" spans="1:12" x14ac:dyDescent="0.25">
      <c r="A331" s="7" t="s">
        <v>353</v>
      </c>
      <c r="B331" s="7" t="s">
        <v>48</v>
      </c>
      <c r="C331" s="7" t="s">
        <v>26</v>
      </c>
      <c r="D331" s="7" t="s">
        <v>13</v>
      </c>
      <c r="E331" s="7" t="s">
        <v>24</v>
      </c>
      <c r="F331" s="7" t="s">
        <v>20</v>
      </c>
      <c r="G331" s="1">
        <v>45251</v>
      </c>
      <c r="H331" s="7">
        <v>415</v>
      </c>
      <c r="I331" s="7">
        <v>207.69</v>
      </c>
      <c r="J331" s="7">
        <v>91.77</v>
      </c>
      <c r="K331" s="18">
        <f>$H331*$I331</f>
        <v>86191.35</v>
      </c>
      <c r="L331" s="1">
        <f t="shared" si="5"/>
        <v>48106.8</v>
      </c>
    </row>
    <row r="332" spans="1:12" x14ac:dyDescent="0.25">
      <c r="A332" s="7" t="s">
        <v>354</v>
      </c>
      <c r="B332" s="7" t="s">
        <v>48</v>
      </c>
      <c r="C332" s="7" t="s">
        <v>26</v>
      </c>
      <c r="D332" s="7" t="s">
        <v>27</v>
      </c>
      <c r="E332" s="7" t="s">
        <v>24</v>
      </c>
      <c r="F332" s="7" t="s">
        <v>28</v>
      </c>
      <c r="G332" s="1">
        <v>45252</v>
      </c>
      <c r="H332" s="7">
        <v>112</v>
      </c>
      <c r="I332" s="7">
        <v>214.23</v>
      </c>
      <c r="J332" s="7">
        <v>152.01</v>
      </c>
      <c r="K332" s="18">
        <f>$H332*$I332</f>
        <v>23993.759999999998</v>
      </c>
      <c r="L332" s="1">
        <f t="shared" si="5"/>
        <v>6968.6399999999994</v>
      </c>
    </row>
    <row r="333" spans="1:12" x14ac:dyDescent="0.25">
      <c r="A333" s="7" t="s">
        <v>355</v>
      </c>
      <c r="B333" s="7" t="s">
        <v>11</v>
      </c>
      <c r="C333" s="7" t="s">
        <v>12</v>
      </c>
      <c r="D333" s="7" t="s">
        <v>19</v>
      </c>
      <c r="E333" s="7" t="s">
        <v>24</v>
      </c>
      <c r="F333" s="7" t="s">
        <v>20</v>
      </c>
      <c r="G333" s="1">
        <v>45253</v>
      </c>
      <c r="H333" s="7">
        <v>203</v>
      </c>
      <c r="I333" s="7">
        <v>411.79</v>
      </c>
      <c r="J333" s="7">
        <v>185.77</v>
      </c>
      <c r="K333" s="18">
        <f>$H333*$I333</f>
        <v>83593.37000000001</v>
      </c>
      <c r="L333" s="1">
        <f t="shared" si="5"/>
        <v>45882.060000000005</v>
      </c>
    </row>
    <row r="334" spans="1:12" x14ac:dyDescent="0.25">
      <c r="A334" s="7" t="s">
        <v>356</v>
      </c>
      <c r="B334" s="7" t="s">
        <v>11</v>
      </c>
      <c r="C334" s="7" t="s">
        <v>18</v>
      </c>
      <c r="D334" s="7" t="s">
        <v>42</v>
      </c>
      <c r="E334" s="7" t="s">
        <v>24</v>
      </c>
      <c r="F334" s="7" t="s">
        <v>28</v>
      </c>
      <c r="G334" s="1">
        <v>45254</v>
      </c>
      <c r="H334" s="7">
        <v>255.9</v>
      </c>
      <c r="I334" s="7">
        <v>5.61</v>
      </c>
      <c r="J334" s="7">
        <v>193.4</v>
      </c>
      <c r="K334" s="18">
        <f>$H334*$I334</f>
        <v>1435.5990000000002</v>
      </c>
      <c r="L334" s="1">
        <f t="shared" si="5"/>
        <v>-48055.460999999996</v>
      </c>
    </row>
    <row r="335" spans="1:12" x14ac:dyDescent="0.25">
      <c r="A335" s="7" t="s">
        <v>357</v>
      </c>
      <c r="B335" s="7" t="s">
        <v>17</v>
      </c>
      <c r="C335" s="7" t="s">
        <v>50</v>
      </c>
      <c r="D335" s="7" t="s">
        <v>13</v>
      </c>
      <c r="E335" s="7" t="s">
        <v>24</v>
      </c>
      <c r="F335" s="7" t="s">
        <v>28</v>
      </c>
      <c r="G335" s="1">
        <v>45255</v>
      </c>
      <c r="H335" s="7">
        <v>368</v>
      </c>
      <c r="I335" s="7">
        <v>153.91999999999999</v>
      </c>
      <c r="J335" s="7">
        <v>175.2</v>
      </c>
      <c r="K335" s="18">
        <f>$H335*$I335</f>
        <v>56642.559999999998</v>
      </c>
      <c r="L335" s="1">
        <f t="shared" si="5"/>
        <v>-7831.0400000000009</v>
      </c>
    </row>
    <row r="336" spans="1:12" x14ac:dyDescent="0.25">
      <c r="A336" s="7" t="s">
        <v>358</v>
      </c>
      <c r="B336" s="7" t="s">
        <v>17</v>
      </c>
      <c r="C336" s="7" t="s">
        <v>50</v>
      </c>
      <c r="D336" s="7" t="s">
        <v>42</v>
      </c>
      <c r="E336" s="7" t="s">
        <v>24</v>
      </c>
      <c r="F336" s="7" t="s">
        <v>28</v>
      </c>
      <c r="G336" s="1">
        <v>45256</v>
      </c>
      <c r="H336" s="7">
        <v>99</v>
      </c>
      <c r="I336" s="7">
        <v>490.71</v>
      </c>
      <c r="J336" s="7">
        <v>375.07</v>
      </c>
      <c r="K336" s="18">
        <f>$H336*$I336</f>
        <v>48580.29</v>
      </c>
      <c r="L336" s="1">
        <f t="shared" si="5"/>
        <v>11448.359999999999</v>
      </c>
    </row>
    <row r="337" spans="1:12" x14ac:dyDescent="0.25">
      <c r="A337" s="7" t="s">
        <v>359</v>
      </c>
      <c r="B337" s="7" t="s">
        <v>22</v>
      </c>
      <c r="C337" s="7" t="s">
        <v>26</v>
      </c>
      <c r="D337" s="7" t="s">
        <v>42</v>
      </c>
      <c r="E337" s="7" t="s">
        <v>14</v>
      </c>
      <c r="F337" s="7" t="s">
        <v>15</v>
      </c>
      <c r="G337" s="1">
        <v>45257</v>
      </c>
      <c r="H337" s="7">
        <v>183</v>
      </c>
      <c r="I337" s="7">
        <v>240.07</v>
      </c>
      <c r="J337" s="7">
        <v>283</v>
      </c>
      <c r="K337" s="18">
        <f>$H337*$I337</f>
        <v>43932.81</v>
      </c>
      <c r="L337" s="1">
        <f t="shared" si="5"/>
        <v>-7856.1900000000014</v>
      </c>
    </row>
    <row r="338" spans="1:12" x14ac:dyDescent="0.25">
      <c r="A338" s="7" t="s">
        <v>360</v>
      </c>
      <c r="B338" s="7" t="s">
        <v>22</v>
      </c>
      <c r="C338" s="7" t="s">
        <v>18</v>
      </c>
      <c r="D338" s="7" t="s">
        <v>42</v>
      </c>
      <c r="E338" s="7" t="s">
        <v>24</v>
      </c>
      <c r="F338" s="7" t="s">
        <v>20</v>
      </c>
      <c r="G338" s="1">
        <v>45258</v>
      </c>
      <c r="H338" s="7">
        <v>131</v>
      </c>
      <c r="I338" s="7">
        <v>194.35</v>
      </c>
      <c r="J338" s="7">
        <v>253.21</v>
      </c>
      <c r="K338" s="18">
        <f>$H338*$I338</f>
        <v>25459.85</v>
      </c>
      <c r="L338" s="1">
        <f t="shared" si="5"/>
        <v>-7710.6600000000017</v>
      </c>
    </row>
    <row r="339" spans="1:12" x14ac:dyDescent="0.25">
      <c r="A339" s="7" t="s">
        <v>361</v>
      </c>
      <c r="B339" s="7" t="s">
        <v>17</v>
      </c>
      <c r="C339" s="7" t="s">
        <v>26</v>
      </c>
      <c r="D339" s="7" t="s">
        <v>23</v>
      </c>
      <c r="E339" s="7" t="s">
        <v>24</v>
      </c>
      <c r="F339" s="7" t="s">
        <v>20</v>
      </c>
      <c r="G339" s="1">
        <v>45259</v>
      </c>
      <c r="H339" s="7">
        <v>152</v>
      </c>
      <c r="I339" s="7">
        <v>64.319999999999993</v>
      </c>
      <c r="J339" s="7">
        <v>21.84</v>
      </c>
      <c r="K339" s="18">
        <f>$H339*$I339</f>
        <v>9776.64</v>
      </c>
      <c r="L339" s="1">
        <f t="shared" si="5"/>
        <v>6456.9599999999982</v>
      </c>
    </row>
    <row r="340" spans="1:12" x14ac:dyDescent="0.25">
      <c r="A340" s="7" t="s">
        <v>362</v>
      </c>
      <c r="B340" s="7" t="s">
        <v>11</v>
      </c>
      <c r="C340" s="7" t="s">
        <v>31</v>
      </c>
      <c r="D340" s="7" t="s">
        <v>23</v>
      </c>
      <c r="E340" s="7" t="s">
        <v>24</v>
      </c>
      <c r="F340" s="7" t="s">
        <v>28</v>
      </c>
      <c r="G340" s="1">
        <v>45260</v>
      </c>
      <c r="H340" s="7">
        <v>491</v>
      </c>
      <c r="I340" s="7">
        <v>487.21</v>
      </c>
      <c r="J340" s="7">
        <v>361.76</v>
      </c>
      <c r="K340" s="18">
        <f>$H340*$I340</f>
        <v>239220.11</v>
      </c>
      <c r="L340" s="1">
        <f t="shared" si="5"/>
        <v>61595.95</v>
      </c>
    </row>
    <row r="341" spans="1:12" x14ac:dyDescent="0.25">
      <c r="A341" s="7" t="s">
        <v>363</v>
      </c>
      <c r="B341" s="7" t="s">
        <v>48</v>
      </c>
      <c r="C341" s="7" t="s">
        <v>26</v>
      </c>
      <c r="D341" s="7" t="s">
        <v>42</v>
      </c>
      <c r="E341" s="7" t="s">
        <v>14</v>
      </c>
      <c r="F341" s="7" t="s">
        <v>15</v>
      </c>
      <c r="G341" s="1">
        <v>45261</v>
      </c>
      <c r="H341" s="7">
        <v>115</v>
      </c>
      <c r="I341" s="7">
        <v>14.91</v>
      </c>
      <c r="J341" s="7">
        <v>363.94</v>
      </c>
      <c r="K341" s="18">
        <f>$H341*$I341</f>
        <v>1714.65</v>
      </c>
      <c r="L341" s="1">
        <f t="shared" si="5"/>
        <v>-40138.449999999997</v>
      </c>
    </row>
    <row r="342" spans="1:12" x14ac:dyDescent="0.25">
      <c r="A342" s="7" t="s">
        <v>364</v>
      </c>
      <c r="B342" s="7" t="s">
        <v>17</v>
      </c>
      <c r="C342" s="7" t="s">
        <v>26</v>
      </c>
      <c r="D342" s="7" t="s">
        <v>13</v>
      </c>
      <c r="E342" s="7" t="s">
        <v>24</v>
      </c>
      <c r="F342" s="7" t="s">
        <v>15</v>
      </c>
      <c r="G342" s="1">
        <v>45262</v>
      </c>
      <c r="H342" s="7">
        <v>384</v>
      </c>
      <c r="I342" s="7">
        <v>369.9</v>
      </c>
      <c r="J342" s="7">
        <v>312.52</v>
      </c>
      <c r="K342" s="18">
        <f>$H342*$I342</f>
        <v>142041.59999999998</v>
      </c>
      <c r="L342" s="1">
        <f t="shared" si="5"/>
        <v>22033.919999999998</v>
      </c>
    </row>
    <row r="343" spans="1:12" x14ac:dyDescent="0.25">
      <c r="A343" s="7" t="s">
        <v>365</v>
      </c>
      <c r="B343" s="7" t="s">
        <v>22</v>
      </c>
      <c r="C343" s="7" t="s">
        <v>50</v>
      </c>
      <c r="D343" s="7" t="s">
        <v>19</v>
      </c>
      <c r="E343" s="7" t="s">
        <v>14</v>
      </c>
      <c r="F343" s="7" t="s">
        <v>20</v>
      </c>
      <c r="G343" s="1">
        <v>45263</v>
      </c>
      <c r="H343" s="7">
        <v>437</v>
      </c>
      <c r="I343" s="7">
        <v>385.46</v>
      </c>
      <c r="J343" s="7">
        <v>4.8</v>
      </c>
      <c r="K343" s="18">
        <f>$H343*$I343</f>
        <v>168446.02</v>
      </c>
      <c r="L343" s="1">
        <f t="shared" si="5"/>
        <v>166348.41999999998</v>
      </c>
    </row>
    <row r="344" spans="1:12" x14ac:dyDescent="0.25">
      <c r="A344" s="7" t="s">
        <v>366</v>
      </c>
      <c r="B344" s="7" t="s">
        <v>11</v>
      </c>
      <c r="C344" s="7" t="s">
        <v>50</v>
      </c>
      <c r="D344" s="7" t="s">
        <v>19</v>
      </c>
      <c r="E344" s="7" t="s">
        <v>24</v>
      </c>
      <c r="F344" s="7" t="s">
        <v>15</v>
      </c>
      <c r="G344" s="1">
        <v>45264</v>
      </c>
      <c r="H344" s="7">
        <v>314</v>
      </c>
      <c r="I344" s="7">
        <v>125.61</v>
      </c>
      <c r="J344" s="7">
        <v>24.8</v>
      </c>
      <c r="K344" s="18">
        <f>$H344*$I344</f>
        <v>39441.54</v>
      </c>
      <c r="L344" s="1">
        <f t="shared" si="5"/>
        <v>31654.34</v>
      </c>
    </row>
    <row r="345" spans="1:12" x14ac:dyDescent="0.25">
      <c r="A345" s="7" t="s">
        <v>367</v>
      </c>
      <c r="B345" s="7" t="s">
        <v>17</v>
      </c>
      <c r="C345" s="7" t="s">
        <v>50</v>
      </c>
      <c r="D345" s="7" t="s">
        <v>27</v>
      </c>
      <c r="E345" s="7" t="s">
        <v>14</v>
      </c>
      <c r="F345" s="7" t="s">
        <v>15</v>
      </c>
      <c r="G345" s="1">
        <v>45265</v>
      </c>
      <c r="H345" s="7">
        <v>369</v>
      </c>
      <c r="I345" s="7">
        <v>337.42</v>
      </c>
      <c r="J345" s="7">
        <v>91.64</v>
      </c>
      <c r="K345" s="18">
        <f>$H345*$I345</f>
        <v>124507.98000000001</v>
      </c>
      <c r="L345" s="1">
        <f t="shared" si="5"/>
        <v>90692.82</v>
      </c>
    </row>
    <row r="346" spans="1:12" x14ac:dyDescent="0.25">
      <c r="A346" s="7" t="s">
        <v>368</v>
      </c>
      <c r="B346" s="7" t="s">
        <v>17</v>
      </c>
      <c r="C346" s="7" t="s">
        <v>31</v>
      </c>
      <c r="D346" s="7" t="s">
        <v>13</v>
      </c>
      <c r="E346" s="7" t="s">
        <v>14</v>
      </c>
      <c r="F346" s="7" t="s">
        <v>28</v>
      </c>
      <c r="G346" s="1">
        <v>45266</v>
      </c>
      <c r="H346" s="7">
        <v>468</v>
      </c>
      <c r="I346" s="7">
        <v>51</v>
      </c>
      <c r="J346" s="7">
        <v>54.28</v>
      </c>
      <c r="K346" s="18">
        <f>$H346*$I346</f>
        <v>23868</v>
      </c>
      <c r="L346" s="1">
        <f t="shared" si="5"/>
        <v>-1535.0400000000004</v>
      </c>
    </row>
    <row r="347" spans="1:12" x14ac:dyDescent="0.25">
      <c r="A347" s="7" t="s">
        <v>369</v>
      </c>
      <c r="B347" s="7" t="s">
        <v>11</v>
      </c>
      <c r="C347" s="7" t="s">
        <v>50</v>
      </c>
      <c r="D347" s="7" t="s">
        <v>23</v>
      </c>
      <c r="E347" s="7" t="s">
        <v>24</v>
      </c>
      <c r="F347" s="7" t="s">
        <v>15</v>
      </c>
      <c r="G347" s="1">
        <v>45267</v>
      </c>
      <c r="H347" s="7">
        <v>326</v>
      </c>
      <c r="I347" s="7">
        <v>132.24</v>
      </c>
      <c r="J347" s="7">
        <v>160.74</v>
      </c>
      <c r="K347" s="18">
        <f>$H347*$I347</f>
        <v>43110.240000000005</v>
      </c>
      <c r="L347" s="1">
        <f t="shared" si="5"/>
        <v>-9291</v>
      </c>
    </row>
    <row r="348" spans="1:12" x14ac:dyDescent="0.25">
      <c r="A348" s="7" t="s">
        <v>370</v>
      </c>
      <c r="B348" s="7" t="s">
        <v>17</v>
      </c>
      <c r="C348" s="7" t="s">
        <v>18</v>
      </c>
      <c r="D348" s="7" t="s">
        <v>42</v>
      </c>
      <c r="E348" s="7" t="s">
        <v>24</v>
      </c>
      <c r="F348" s="7" t="s">
        <v>28</v>
      </c>
      <c r="G348" s="1">
        <v>45268</v>
      </c>
      <c r="H348" s="7">
        <v>460</v>
      </c>
      <c r="I348" s="7">
        <v>395.01</v>
      </c>
      <c r="J348" s="7">
        <v>369.2</v>
      </c>
      <c r="K348" s="18">
        <f>$H348*$I348</f>
        <v>181704.6</v>
      </c>
      <c r="L348" s="1">
        <f t="shared" si="5"/>
        <v>11872.6</v>
      </c>
    </row>
    <row r="349" spans="1:12" x14ac:dyDescent="0.25">
      <c r="A349" s="7" t="s">
        <v>371</v>
      </c>
      <c r="B349" s="7" t="s">
        <v>11</v>
      </c>
      <c r="C349" s="7" t="s">
        <v>12</v>
      </c>
      <c r="D349" s="7" t="s">
        <v>27</v>
      </c>
      <c r="E349" s="7" t="s">
        <v>14</v>
      </c>
      <c r="F349" s="7" t="s">
        <v>20</v>
      </c>
      <c r="G349" s="1">
        <v>45269</v>
      </c>
      <c r="H349" s="7">
        <v>132</v>
      </c>
      <c r="I349" s="7">
        <v>433.02</v>
      </c>
      <c r="J349" s="7">
        <v>189.88</v>
      </c>
      <c r="K349" s="18">
        <f>$H349*$I349</f>
        <v>57158.64</v>
      </c>
      <c r="L349" s="1">
        <f t="shared" si="5"/>
        <v>32094.48</v>
      </c>
    </row>
    <row r="350" spans="1:12" x14ac:dyDescent="0.25">
      <c r="A350" s="7" t="s">
        <v>372</v>
      </c>
      <c r="B350" s="7" t="s">
        <v>48</v>
      </c>
      <c r="C350" s="7" t="s">
        <v>18</v>
      </c>
      <c r="D350" s="7" t="s">
        <v>19</v>
      </c>
      <c r="E350" s="7" t="s">
        <v>24</v>
      </c>
      <c r="F350" s="7" t="s">
        <v>15</v>
      </c>
      <c r="G350" s="1">
        <v>45270</v>
      </c>
      <c r="H350" s="7">
        <v>399</v>
      </c>
      <c r="I350" s="7">
        <v>306.2</v>
      </c>
      <c r="J350" s="7">
        <v>7.33</v>
      </c>
      <c r="K350" s="18">
        <f>$H350*$I350</f>
        <v>122173.79999999999</v>
      </c>
      <c r="L350" s="1">
        <f t="shared" si="5"/>
        <v>119249.13</v>
      </c>
    </row>
    <row r="351" spans="1:12" x14ac:dyDescent="0.25">
      <c r="A351" s="7" t="s">
        <v>373</v>
      </c>
      <c r="B351" s="7" t="s">
        <v>11</v>
      </c>
      <c r="C351" s="7" t="s">
        <v>18</v>
      </c>
      <c r="D351" s="7" t="s">
        <v>23</v>
      </c>
      <c r="E351" s="7" t="s">
        <v>14</v>
      </c>
      <c r="F351" s="7" t="s">
        <v>20</v>
      </c>
      <c r="G351" s="1">
        <v>45271</v>
      </c>
      <c r="H351" s="7">
        <v>18</v>
      </c>
      <c r="I351" s="7">
        <v>255.89</v>
      </c>
      <c r="J351" s="7">
        <v>114.53</v>
      </c>
      <c r="K351" s="18">
        <f>$H351*$I351</f>
        <v>4606.0199999999995</v>
      </c>
      <c r="L351" s="1">
        <f t="shared" si="5"/>
        <v>2544.4799999999996</v>
      </c>
    </row>
    <row r="352" spans="1:12" x14ac:dyDescent="0.25">
      <c r="A352" s="7" t="s">
        <v>374</v>
      </c>
      <c r="B352" s="7" t="s">
        <v>11</v>
      </c>
      <c r="C352" s="7" t="s">
        <v>50</v>
      </c>
      <c r="D352" s="7" t="s">
        <v>23</v>
      </c>
      <c r="E352" s="7" t="s">
        <v>14</v>
      </c>
      <c r="F352" s="7" t="s">
        <v>20</v>
      </c>
      <c r="G352" s="1">
        <v>45272</v>
      </c>
      <c r="H352" s="7">
        <v>271</v>
      </c>
      <c r="I352" s="7">
        <v>83.86</v>
      </c>
      <c r="J352" s="7">
        <v>19.75</v>
      </c>
      <c r="K352" s="18">
        <f>$H352*$I352</f>
        <v>22726.06</v>
      </c>
      <c r="L352" s="1">
        <f t="shared" si="5"/>
        <v>17373.810000000001</v>
      </c>
    </row>
    <row r="353" spans="1:12" x14ac:dyDescent="0.25">
      <c r="A353" s="7" t="s">
        <v>375</v>
      </c>
      <c r="B353" s="7" t="s">
        <v>11</v>
      </c>
      <c r="C353" s="7" t="s">
        <v>12</v>
      </c>
      <c r="D353" s="7" t="s">
        <v>42</v>
      </c>
      <c r="E353" s="7" t="s">
        <v>14</v>
      </c>
      <c r="F353" s="7" t="s">
        <v>15</v>
      </c>
      <c r="G353" s="1">
        <v>45273</v>
      </c>
      <c r="H353" s="7">
        <v>82</v>
      </c>
      <c r="I353" s="7">
        <v>36.24</v>
      </c>
      <c r="J353" s="7">
        <v>16.440000000000001</v>
      </c>
      <c r="K353" s="18">
        <f>$H353*$I353</f>
        <v>2971.6800000000003</v>
      </c>
      <c r="L353" s="1">
        <f t="shared" si="5"/>
        <v>1623.6000000000001</v>
      </c>
    </row>
    <row r="354" spans="1:12" x14ac:dyDescent="0.25">
      <c r="A354" s="7" t="s">
        <v>376</v>
      </c>
      <c r="B354" s="7" t="s">
        <v>17</v>
      </c>
      <c r="C354" s="7" t="s">
        <v>12</v>
      </c>
      <c r="D354" s="7" t="s">
        <v>19</v>
      </c>
      <c r="E354" s="7" t="s">
        <v>14</v>
      </c>
      <c r="F354" s="7" t="s">
        <v>15</v>
      </c>
      <c r="G354" s="1">
        <v>45274</v>
      </c>
      <c r="H354" s="7">
        <v>368</v>
      </c>
      <c r="I354" s="7">
        <v>63.24</v>
      </c>
      <c r="J354" s="7">
        <v>111.74</v>
      </c>
      <c r="K354" s="18">
        <f>$H354*$I354</f>
        <v>23272.32</v>
      </c>
      <c r="L354" s="1">
        <f t="shared" si="5"/>
        <v>-17847.999999999996</v>
      </c>
    </row>
    <row r="355" spans="1:12" x14ac:dyDescent="0.25">
      <c r="A355" s="7" t="s">
        <v>377</v>
      </c>
      <c r="B355" s="7" t="s">
        <v>17</v>
      </c>
      <c r="C355" s="7" t="s">
        <v>12</v>
      </c>
      <c r="D355" s="7" t="s">
        <v>13</v>
      </c>
      <c r="E355" s="7" t="s">
        <v>14</v>
      </c>
      <c r="F355" s="7" t="s">
        <v>20</v>
      </c>
      <c r="G355" s="1">
        <v>45275</v>
      </c>
      <c r="H355" s="7">
        <v>232</v>
      </c>
      <c r="I355" s="7">
        <v>117.54</v>
      </c>
      <c r="J355" s="7">
        <v>111.69</v>
      </c>
      <c r="K355" s="18">
        <f>$H355*$I355</f>
        <v>27269.280000000002</v>
      </c>
      <c r="L355" s="1">
        <f t="shared" si="5"/>
        <v>1357.2000000000021</v>
      </c>
    </row>
    <row r="356" spans="1:12" x14ac:dyDescent="0.25">
      <c r="A356" s="7" t="s">
        <v>378</v>
      </c>
      <c r="B356" s="7" t="s">
        <v>11</v>
      </c>
      <c r="C356" s="7" t="s">
        <v>31</v>
      </c>
      <c r="D356" s="7" t="s">
        <v>23</v>
      </c>
      <c r="E356" s="7" t="s">
        <v>24</v>
      </c>
      <c r="F356" s="7" t="s">
        <v>15</v>
      </c>
      <c r="G356" s="1">
        <v>45276</v>
      </c>
      <c r="H356" s="7">
        <v>425</v>
      </c>
      <c r="I356" s="7">
        <v>174.13</v>
      </c>
      <c r="J356" s="7">
        <v>315.27999999999997</v>
      </c>
      <c r="K356" s="18">
        <f>$H356*$I356</f>
        <v>74005.25</v>
      </c>
      <c r="L356" s="1">
        <f t="shared" si="5"/>
        <v>-59988.749999999993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273CF-62F4-443F-93FC-2604D6B23475}">
  <dimension ref="A1:K9"/>
  <sheetViews>
    <sheetView workbookViewId="0">
      <selection activeCell="I6" sqref="I6:K6"/>
    </sheetView>
  </sheetViews>
  <sheetFormatPr defaultRowHeight="15" x14ac:dyDescent="0.25"/>
  <cols>
    <col min="1" max="1" width="16.42578125" bestFit="1" customWidth="1"/>
    <col min="2" max="2" width="15.42578125" bestFit="1" customWidth="1"/>
    <col min="3" max="3" width="11.42578125" bestFit="1" customWidth="1"/>
    <col min="4" max="4" width="17.85546875" bestFit="1" customWidth="1"/>
    <col min="7" max="7" width="14" customWidth="1"/>
    <col min="8" max="8" width="14.5703125" customWidth="1"/>
  </cols>
  <sheetData>
    <row r="1" spans="1:11" ht="21" x14ac:dyDescent="0.35">
      <c r="A1" s="23" t="s">
        <v>398</v>
      </c>
      <c r="B1" s="23" t="s">
        <v>399</v>
      </c>
      <c r="C1" s="23" t="s">
        <v>400</v>
      </c>
      <c r="D1" s="23" t="s">
        <v>401</v>
      </c>
      <c r="I1" s="22"/>
    </row>
    <row r="2" spans="1:11" x14ac:dyDescent="0.25">
      <c r="A2" s="15">
        <f>SUM('Q8'!$K$7:$K$356)</f>
        <v>22459455.993999988</v>
      </c>
      <c r="B2">
        <f>SUM('Q8'!$L$7:$L$356)</f>
        <v>5069205.9530000016</v>
      </c>
      <c r="C2">
        <f>COUNT('Q8'!$H$7:$H$356)</f>
        <v>350</v>
      </c>
      <c r="D2" s="15">
        <f>AVERAGE('Q8'!$L$7:$L$356)</f>
        <v>14483.445580000005</v>
      </c>
    </row>
    <row r="3" spans="1:11" x14ac:dyDescent="0.25">
      <c r="G3" s="24" t="s">
        <v>402</v>
      </c>
      <c r="H3" s="24"/>
      <c r="I3" s="24"/>
      <c r="J3" s="24"/>
      <c r="K3" s="24"/>
    </row>
    <row r="4" spans="1:11" x14ac:dyDescent="0.25">
      <c r="G4" s="30" t="s">
        <v>403</v>
      </c>
      <c r="H4" s="30"/>
      <c r="I4" s="31">
        <v>22456363</v>
      </c>
      <c r="J4" s="31"/>
      <c r="K4" s="31"/>
    </row>
    <row r="5" spans="1:11" x14ac:dyDescent="0.25">
      <c r="G5" s="30" t="s">
        <v>404</v>
      </c>
      <c r="H5" s="30"/>
      <c r="I5" s="32">
        <v>5084286</v>
      </c>
      <c r="J5" s="32"/>
      <c r="K5" s="32"/>
    </row>
    <row r="6" spans="1:11" x14ac:dyDescent="0.25">
      <c r="G6" s="30" t="s">
        <v>405</v>
      </c>
      <c r="H6" s="30"/>
      <c r="I6" s="33">
        <f>$I5/$I4</f>
        <v>0.22640736614384083</v>
      </c>
      <c r="J6" s="33"/>
      <c r="K6" s="33"/>
    </row>
    <row r="7" spans="1:11" x14ac:dyDescent="0.25">
      <c r="G7" s="30" t="s">
        <v>424</v>
      </c>
      <c r="H7" s="30"/>
      <c r="I7" s="32" t="s">
        <v>42</v>
      </c>
      <c r="J7" s="32"/>
      <c r="K7" s="32"/>
    </row>
    <row r="8" spans="1:11" x14ac:dyDescent="0.25">
      <c r="G8" s="30" t="s">
        <v>425</v>
      </c>
      <c r="H8" s="30"/>
      <c r="I8" s="32" t="s">
        <v>48</v>
      </c>
      <c r="J8" s="32"/>
      <c r="K8" s="32"/>
    </row>
    <row r="9" spans="1:11" x14ac:dyDescent="0.25">
      <c r="G9" s="25"/>
      <c r="H9" s="25"/>
    </row>
  </sheetData>
  <mergeCells count="12">
    <mergeCell ref="G9:H9"/>
    <mergeCell ref="G7:H7"/>
    <mergeCell ref="I7:K7"/>
    <mergeCell ref="G6:H6"/>
    <mergeCell ref="I6:K6"/>
    <mergeCell ref="G8:H8"/>
    <mergeCell ref="I8:K8"/>
    <mergeCell ref="G3:K3"/>
    <mergeCell ref="G4:H4"/>
    <mergeCell ref="I4:K4"/>
    <mergeCell ref="G5:H5"/>
    <mergeCell ref="I5:K5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C378-046E-40CA-BBF5-BE33BF8C7DAC}">
  <dimension ref="A2:K30"/>
  <sheetViews>
    <sheetView workbookViewId="0">
      <selection activeCell="C16" sqref="C16"/>
    </sheetView>
  </sheetViews>
  <sheetFormatPr defaultRowHeight="15" x14ac:dyDescent="0.25"/>
  <sheetData>
    <row r="2" spans="1:11" ht="21" x14ac:dyDescent="0.35">
      <c r="A2" s="4" t="s">
        <v>379</v>
      </c>
      <c r="B2" s="4" t="s">
        <v>389</v>
      </c>
    </row>
    <row r="4" spans="1:11" ht="21" x14ac:dyDescent="0.35">
      <c r="A4" s="4" t="s">
        <v>381</v>
      </c>
    </row>
    <row r="6" spans="1:11" ht="18.75" x14ac:dyDescent="0.3">
      <c r="B6" s="27" t="s">
        <v>406</v>
      </c>
      <c r="C6" s="27"/>
      <c r="D6" s="27"/>
      <c r="E6" s="27"/>
      <c r="F6" s="27"/>
      <c r="G6" s="26"/>
      <c r="H6" s="26"/>
      <c r="I6" s="26"/>
      <c r="J6" s="26"/>
      <c r="K6" s="26"/>
    </row>
    <row r="7" spans="1:11" x14ac:dyDescent="0.25">
      <c r="B7" s="26"/>
      <c r="C7" s="26"/>
      <c r="D7" s="26"/>
      <c r="E7" s="26"/>
      <c r="F7" s="26"/>
      <c r="G7" s="26"/>
      <c r="H7" s="26"/>
      <c r="I7" s="26"/>
      <c r="J7" s="26"/>
      <c r="K7" s="26"/>
    </row>
    <row r="8" spans="1:11" ht="15.75" x14ac:dyDescent="0.25">
      <c r="B8" s="28" t="s">
        <v>407</v>
      </c>
      <c r="C8" s="28"/>
      <c r="D8" s="26"/>
      <c r="E8" s="26"/>
      <c r="F8" s="26"/>
      <c r="G8" s="26"/>
      <c r="H8" s="26"/>
      <c r="I8" s="26"/>
      <c r="J8" s="26"/>
      <c r="K8" s="26"/>
    </row>
    <row r="9" spans="1:11" x14ac:dyDescent="0.25">
      <c r="B9" s="26"/>
      <c r="C9" s="26"/>
      <c r="D9" s="26" t="s">
        <v>408</v>
      </c>
      <c r="E9" s="26"/>
      <c r="F9" s="26"/>
      <c r="G9" s="26"/>
      <c r="H9" s="26"/>
      <c r="I9" s="26"/>
      <c r="J9" s="26"/>
      <c r="K9" s="26"/>
    </row>
    <row r="10" spans="1:11" x14ac:dyDescent="0.25">
      <c r="B10" s="26"/>
      <c r="C10" s="26"/>
      <c r="D10" s="26" t="s">
        <v>409</v>
      </c>
      <c r="E10" s="26"/>
      <c r="F10" s="26"/>
      <c r="G10" s="26"/>
      <c r="H10" s="26"/>
      <c r="I10" s="26"/>
      <c r="J10" s="26"/>
      <c r="K10" s="26"/>
    </row>
    <row r="11" spans="1:11" x14ac:dyDescent="0.25">
      <c r="B11" s="26"/>
      <c r="C11" s="26"/>
      <c r="D11" s="26"/>
      <c r="E11" s="26"/>
      <c r="F11" s="26"/>
      <c r="G11" s="26"/>
      <c r="H11" s="26"/>
      <c r="I11" s="26"/>
      <c r="J11" s="26"/>
      <c r="K11" s="26"/>
    </row>
    <row r="12" spans="1:11" ht="18.75" x14ac:dyDescent="0.3">
      <c r="B12" s="27" t="s">
        <v>410</v>
      </c>
      <c r="C12" s="27"/>
      <c r="D12" s="27"/>
      <c r="E12" s="27"/>
      <c r="F12" s="27"/>
      <c r="G12" s="27"/>
      <c r="H12" s="27"/>
      <c r="I12" s="26"/>
      <c r="J12" s="26"/>
      <c r="K12" s="26"/>
    </row>
    <row r="13" spans="1:11" x14ac:dyDescent="0.25">
      <c r="B13" s="26"/>
      <c r="C13" s="26"/>
      <c r="D13" s="26"/>
      <c r="E13" s="26"/>
      <c r="F13" s="26"/>
      <c r="G13" s="26"/>
      <c r="H13" s="26"/>
      <c r="I13" s="26"/>
      <c r="J13" s="26"/>
      <c r="K13" s="26"/>
    </row>
    <row r="14" spans="1:11" x14ac:dyDescent="0.25">
      <c r="B14" s="29" t="s">
        <v>411</v>
      </c>
      <c r="C14" s="26"/>
      <c r="D14" s="26"/>
      <c r="E14" s="26"/>
      <c r="F14" s="26"/>
      <c r="G14" s="26"/>
      <c r="H14" s="26"/>
      <c r="I14" s="26"/>
      <c r="J14" s="26"/>
      <c r="K14" s="26"/>
    </row>
    <row r="15" spans="1:11" x14ac:dyDescent="0.25">
      <c r="B15" s="29" t="s">
        <v>412</v>
      </c>
      <c r="C15" s="26"/>
      <c r="D15" s="26"/>
      <c r="E15" s="26"/>
      <c r="F15" s="26"/>
      <c r="G15" s="26"/>
      <c r="H15" s="26"/>
      <c r="I15" s="26"/>
      <c r="J15" s="26"/>
      <c r="K15" s="26"/>
    </row>
    <row r="16" spans="1:11" x14ac:dyDescent="0.25">
      <c r="B16" s="29" t="s">
        <v>423</v>
      </c>
      <c r="C16" s="26"/>
      <c r="D16" s="26"/>
      <c r="E16" s="26"/>
      <c r="F16" s="26"/>
      <c r="G16" s="26"/>
      <c r="H16" s="26"/>
      <c r="I16" s="26"/>
      <c r="J16" s="26"/>
      <c r="K16" s="26"/>
    </row>
    <row r="17" spans="2:11" x14ac:dyDescent="0.25">
      <c r="B17" s="29" t="s">
        <v>413</v>
      </c>
      <c r="C17" s="26"/>
      <c r="D17" s="26"/>
      <c r="E17" s="26"/>
      <c r="F17" s="26"/>
      <c r="G17" s="26"/>
      <c r="H17" s="26"/>
      <c r="I17" s="26"/>
      <c r="J17" s="26"/>
      <c r="K17" s="26"/>
    </row>
    <row r="18" spans="2:11" x14ac:dyDescent="0.25">
      <c r="B18" s="26"/>
      <c r="C18" s="26"/>
      <c r="D18" s="26"/>
      <c r="E18" s="26"/>
      <c r="F18" s="26"/>
      <c r="G18" s="26"/>
      <c r="H18" s="26"/>
      <c r="I18" s="26"/>
      <c r="J18" s="26"/>
      <c r="K18" s="26"/>
    </row>
    <row r="19" spans="2:11" ht="18.75" x14ac:dyDescent="0.3">
      <c r="B19" s="27" t="s">
        <v>414</v>
      </c>
      <c r="C19" s="27"/>
      <c r="D19" s="27"/>
      <c r="E19" s="27"/>
      <c r="F19" s="27"/>
      <c r="G19" s="27"/>
      <c r="H19" s="26"/>
      <c r="I19" s="26"/>
      <c r="J19" s="26"/>
      <c r="K19" s="26"/>
    </row>
    <row r="20" spans="2:11" x14ac:dyDescent="0.25">
      <c r="B20" s="26"/>
      <c r="C20" s="26"/>
      <c r="D20" s="26"/>
      <c r="E20" s="26"/>
      <c r="F20" s="26"/>
      <c r="G20" s="26"/>
      <c r="H20" s="26"/>
      <c r="I20" s="26"/>
      <c r="J20" s="26"/>
      <c r="K20" s="26"/>
    </row>
    <row r="21" spans="2:11" ht="15.75" x14ac:dyDescent="0.25">
      <c r="B21" s="28" t="s">
        <v>415</v>
      </c>
      <c r="C21" s="28"/>
      <c r="D21" s="28"/>
      <c r="E21" s="26"/>
      <c r="F21" s="26"/>
      <c r="G21" s="26"/>
      <c r="H21" s="26"/>
      <c r="I21" s="26"/>
      <c r="J21" s="26"/>
      <c r="K21" s="26"/>
    </row>
    <row r="22" spans="2:11" x14ac:dyDescent="0.25">
      <c r="B22" s="26" t="s">
        <v>416</v>
      </c>
      <c r="C22" s="26"/>
      <c r="D22" s="26"/>
      <c r="E22" s="26"/>
      <c r="F22" s="26"/>
      <c r="G22" s="26"/>
      <c r="H22" s="26"/>
      <c r="I22" s="26"/>
      <c r="J22" s="26"/>
      <c r="K22" s="26"/>
    </row>
    <row r="23" spans="2:11" ht="15.75" x14ac:dyDescent="0.25">
      <c r="B23" s="28" t="s">
        <v>417</v>
      </c>
      <c r="C23" s="28"/>
      <c r="D23" s="28"/>
      <c r="E23" s="26"/>
      <c r="F23" s="26"/>
      <c r="G23" s="26"/>
      <c r="H23" s="26"/>
      <c r="I23" s="26"/>
      <c r="J23" s="26"/>
      <c r="K23" s="26"/>
    </row>
    <row r="24" spans="2:11" x14ac:dyDescent="0.25">
      <c r="B24" s="26" t="s">
        <v>418</v>
      </c>
      <c r="C24" s="26"/>
      <c r="D24" s="26"/>
      <c r="E24" s="26"/>
      <c r="F24" s="26"/>
      <c r="G24" s="26"/>
      <c r="H24" s="26"/>
      <c r="I24" s="26"/>
      <c r="J24" s="26"/>
      <c r="K24" s="26"/>
    </row>
    <row r="25" spans="2:11" x14ac:dyDescent="0.25">
      <c r="B25" s="26" t="s">
        <v>419</v>
      </c>
      <c r="C25" s="26"/>
      <c r="D25" s="26"/>
      <c r="E25" s="26"/>
      <c r="F25" s="26"/>
      <c r="G25" s="26"/>
      <c r="H25" s="26"/>
      <c r="I25" s="26"/>
      <c r="J25" s="26"/>
      <c r="K25" s="26"/>
    </row>
    <row r="26" spans="2:11" x14ac:dyDescent="0.25">
      <c r="B26" s="26"/>
      <c r="C26" s="26"/>
      <c r="D26" s="26"/>
      <c r="E26" s="26"/>
      <c r="F26" s="26"/>
      <c r="G26" s="26"/>
      <c r="H26" s="26"/>
      <c r="I26" s="26"/>
      <c r="J26" s="26"/>
      <c r="K26" s="26"/>
    </row>
    <row r="27" spans="2:11" ht="18.75" x14ac:dyDescent="0.3">
      <c r="B27" s="27" t="s">
        <v>420</v>
      </c>
      <c r="C27" s="27"/>
      <c r="D27" s="27"/>
      <c r="E27" s="27"/>
      <c r="F27" s="28"/>
      <c r="G27" s="26"/>
      <c r="H27" s="26"/>
      <c r="I27" s="26"/>
      <c r="J27" s="26"/>
      <c r="K27" s="26"/>
    </row>
    <row r="28" spans="2:11" x14ac:dyDescent="0.25">
      <c r="B28" s="26"/>
      <c r="C28" s="26"/>
      <c r="D28" s="26"/>
      <c r="E28" s="26"/>
      <c r="F28" s="26"/>
      <c r="G28" s="26"/>
      <c r="H28" s="26"/>
      <c r="I28" s="26"/>
      <c r="J28" s="26"/>
      <c r="K28" s="26"/>
    </row>
    <row r="29" spans="2:11" ht="15.75" x14ac:dyDescent="0.25">
      <c r="B29" s="28" t="s">
        <v>421</v>
      </c>
      <c r="C29" s="28"/>
      <c r="D29" s="28"/>
      <c r="E29" s="28"/>
      <c r="F29" s="28"/>
      <c r="G29" s="26"/>
      <c r="H29" s="26"/>
      <c r="I29" s="26"/>
      <c r="J29" s="26"/>
      <c r="K29" s="26"/>
    </row>
    <row r="30" spans="2:11" x14ac:dyDescent="0.25">
      <c r="B30" s="26" t="s">
        <v>422</v>
      </c>
      <c r="C30" s="26"/>
      <c r="D30" s="26"/>
      <c r="E30" s="26"/>
      <c r="F30" s="26"/>
      <c r="G30" s="26"/>
      <c r="H30" s="26"/>
      <c r="I30" s="26"/>
      <c r="J30" s="26"/>
      <c r="K30" s="2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 SET</vt:lpstr>
      <vt:lpstr>Q1</vt:lpstr>
      <vt:lpstr>Q2</vt:lpstr>
      <vt:lpstr>Q3</vt:lpstr>
      <vt:lpstr>Q4</vt:lpstr>
      <vt:lpstr>Q5</vt:lpstr>
      <vt:lpstr>Q6</vt:lpstr>
      <vt:lpstr>Q7</vt:lpstr>
      <vt:lpstr>Q8</vt:lpstr>
      <vt:lpstr>Q8 DASHBOARD</vt:lpstr>
      <vt:lpstr>Q9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Gopi Singha</cp:lastModifiedBy>
  <dcterms:created xsi:type="dcterms:W3CDTF">2015-06-05T18:17:20Z</dcterms:created>
  <dcterms:modified xsi:type="dcterms:W3CDTF">2025-12-25T16:10:48Z</dcterms:modified>
</cp:coreProperties>
</file>