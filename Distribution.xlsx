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e30c12a326608a7/Desktop/PW COURSE/EXCEL/"/>
    </mc:Choice>
  </mc:AlternateContent>
  <xr:revisionPtr revIDLastSave="0" documentId="14_{62A86F40-F2A7-4BFE-A62A-0E73B85DEFAB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chart.v1.0" hidden="1">'Q2'!$C$7</definedName>
    <definedName name="_xlchart.v1.1" hidden="1">'Q2'!$C$8:$C$107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6" l="1"/>
  <c r="E40" i="6"/>
  <c r="E39" i="6"/>
  <c r="E38" i="6"/>
  <c r="E37" i="6"/>
  <c r="E36" i="6"/>
  <c r="G8" i="3"/>
  <c r="H8" i="3" s="1"/>
  <c r="D55" i="8"/>
  <c r="D56" i="8"/>
  <c r="D57" i="8"/>
  <c r="D58" i="8"/>
  <c r="D59" i="8"/>
  <c r="F59" i="7"/>
  <c r="F60" i="7"/>
  <c r="E41" i="7"/>
  <c r="E38" i="7"/>
  <c r="E34" i="7"/>
  <c r="E18" i="5"/>
  <c r="D8" i="5"/>
  <c r="E8" i="1"/>
  <c r="E8" i="4"/>
  <c r="F12" i="4" s="1"/>
  <c r="D8" i="4"/>
  <c r="C102" i="2"/>
  <c r="C103" i="2"/>
  <c r="C104" i="2"/>
  <c r="C105" i="2"/>
  <c r="C106" i="2"/>
  <c r="C10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8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8" i="1"/>
  <c r="D47" i="6" l="1"/>
  <c r="D8" i="1"/>
  <c r="F8" i="4"/>
  <c r="F9" i="4"/>
  <c r="F10" i="4"/>
  <c r="F11" i="4"/>
</calcChain>
</file>

<file path=xl/sharedStrings.xml><?xml version="1.0" encoding="utf-8"?>
<sst xmlns="http://schemas.openxmlformats.org/spreadsheetml/2006/main" count="186" uniqueCount="165">
  <si>
    <t>Q)</t>
  </si>
  <si>
    <t>ANS</t>
  </si>
  <si>
    <t>Simulate 30 rolls with =RANDBETWEEN(1,6). What is the probability of rolling a 3 exactly 5 times? (Hint: Use BINOM.DIST)</t>
  </si>
  <si>
    <t>Generate 100 values in Excel using the continuous uniform distribution RAND() and plot a histogram. Describe the shape of the distribution.</t>
  </si>
  <si>
    <t>A dataset has a mean of 50 and a standard deviation of 5. What percentage of values lie between 45 and 55 if the data follows a normal distribution?</t>
  </si>
  <si>
    <t>What is the concept of standardization (z-score), and why is it important in data analysis? Explain the formula and how standardization transforms a dataset.</t>
  </si>
  <si>
    <t>What is Kurtosis and their type?</t>
  </si>
  <si>
    <t>Explain why the uniform distribution is a good model for the outcome of rolling a fair die.</t>
  </si>
  <si>
    <t>Use Excel to compute the probability of getting at least 8 successes in 15 trials with success probability 0.5</t>
  </si>
  <si>
    <t>How does log transformation help in stabilizing variance and making data more normally distributed?</t>
  </si>
  <si>
    <t>Roll</t>
  </si>
  <si>
    <t>Count of 3</t>
  </si>
  <si>
    <t>Probability</t>
  </si>
  <si>
    <r>
      <t xml:space="preserve">Each roll has probability </t>
    </r>
    <r>
      <rPr>
        <b/>
        <sz val="11"/>
        <color theme="1"/>
        <rFont val="Calibri"/>
        <family val="2"/>
        <scheme val="minor"/>
      </rPr>
      <t>1/6</t>
    </r>
    <r>
      <rPr>
        <sz val="11"/>
        <color theme="1"/>
        <rFont val="Calibri"/>
        <family val="2"/>
        <scheme val="minor"/>
      </rPr>
      <t xml:space="preserve"> of being a 3</t>
    </r>
  </si>
  <si>
    <r>
      <t xml:space="preserve">Number of rolls = </t>
    </r>
    <r>
      <rPr>
        <b/>
        <sz val="11"/>
        <color theme="1"/>
        <rFont val="Calibri"/>
        <family val="2"/>
        <scheme val="minor"/>
      </rPr>
      <t>30</t>
    </r>
  </si>
  <si>
    <r>
      <t xml:space="preserve">We want </t>
    </r>
    <r>
      <rPr>
        <b/>
        <sz val="11"/>
        <color theme="1"/>
        <rFont val="Calibri"/>
        <family val="2"/>
        <scheme val="minor"/>
      </rPr>
      <t>exactly 5 successes</t>
    </r>
  </si>
  <si>
    <r>
      <t xml:space="preserve">This follows a </t>
    </r>
    <r>
      <rPr>
        <b/>
        <sz val="11"/>
        <color theme="1"/>
        <rFont val="Calibri"/>
        <family val="2"/>
        <scheme val="minor"/>
      </rPr>
      <t>Binomial Distribution</t>
    </r>
  </si>
  <si>
    <t>• Explanation</t>
  </si>
  <si>
    <r>
      <t>FALSE</t>
    </r>
    <r>
      <rPr>
        <sz val="11"/>
        <color theme="1"/>
        <rFont val="Calibri"/>
        <family val="2"/>
        <scheme val="minor"/>
      </rPr>
      <t xml:space="preserve"> → probability of </t>
    </r>
    <r>
      <rPr>
        <b/>
        <sz val="11"/>
        <color theme="1"/>
        <rFont val="Calibri"/>
        <family val="2"/>
        <scheme val="minor"/>
      </rPr>
      <t>exactly</t>
    </r>
    <r>
      <rPr>
        <sz val="11"/>
        <color theme="1"/>
        <rFont val="Calibri"/>
        <family val="2"/>
        <scheme val="minor"/>
      </rPr>
      <t xml:space="preserve"> 5 times</t>
    </r>
  </si>
  <si>
    <r>
      <t xml:space="preserve">Simulation results change every recalculation, but </t>
    </r>
    <r>
      <rPr>
        <b/>
        <sz val="11"/>
        <color theme="1"/>
        <rFont val="Calibri"/>
        <family val="2"/>
        <scheme val="minor"/>
      </rPr>
      <t>BINOM.DIST gives the exact probability</t>
    </r>
  </si>
  <si>
    <t>📌 Important Notes</t>
  </si>
  <si>
    <t xml:space="preserve">Generate 100 values </t>
  </si>
  <si>
    <r>
      <t xml:space="preserve">The histogram is </t>
    </r>
    <r>
      <rPr>
        <b/>
        <sz val="11"/>
        <color theme="1"/>
        <rFont val="Calibri"/>
        <family val="2"/>
        <scheme val="minor"/>
      </rPr>
      <t>approximately flat (rectangular)</t>
    </r>
  </si>
  <si>
    <t>No peak, skewness, or clustering</t>
  </si>
  <si>
    <r>
      <t xml:space="preserve">All values between </t>
    </r>
    <r>
      <rPr>
        <b/>
        <sz val="11"/>
        <color theme="1"/>
        <rFont val="Calibri"/>
        <family val="2"/>
        <scheme val="minor"/>
      </rPr>
      <t>0 and 1</t>
    </r>
    <r>
      <rPr>
        <sz val="11"/>
        <color theme="1"/>
        <rFont val="Calibri"/>
        <family val="2"/>
        <scheme val="minor"/>
      </rPr>
      <t xml:space="preserve"> occur with </t>
    </r>
    <r>
      <rPr>
        <b/>
        <sz val="11"/>
        <color theme="1"/>
        <rFont val="Calibri"/>
        <family val="2"/>
        <scheme val="minor"/>
      </rPr>
      <t>roughly equal frequency</t>
    </r>
  </si>
  <si>
    <t>• Description of the Distribution Shape</t>
  </si>
  <si>
    <r>
      <t>RAND()</t>
    </r>
    <r>
      <rPr>
        <sz val="11"/>
        <color theme="1"/>
        <rFont val="Calibri"/>
        <family val="2"/>
        <scheme val="minor"/>
      </rPr>
      <t xml:space="preserve"> generates numbers where </t>
    </r>
    <r>
      <rPr>
        <b/>
        <sz val="11"/>
        <color theme="1"/>
        <rFont val="Calibri"/>
        <family val="2"/>
        <scheme val="minor"/>
      </rPr>
      <t>every value between 0 and 1 has the same probability</t>
    </r>
  </si>
  <si>
    <t>Because of randomness, bars won’t be perfectly equal</t>
  </si>
  <si>
    <r>
      <t xml:space="preserve">As sample size increases (e.g., 1,000+ values), the histogram becomes </t>
    </r>
    <r>
      <rPr>
        <b/>
        <sz val="11"/>
        <color theme="1"/>
        <rFont val="Calibri"/>
        <family val="2"/>
        <scheme val="minor"/>
      </rPr>
      <t>more evenly flat</t>
    </r>
  </si>
  <si>
    <t>• Explanation (In Simple Words)</t>
  </si>
  <si>
    <t>The histogram of values generated using RAND() shows an approximately flat, rectangular shape, indicating a continuous uniform distribution where all values between 0 and 1 are equally likely.</t>
  </si>
  <si>
    <t>✅ Final Conclusion</t>
  </si>
  <si>
    <t>Value</t>
  </si>
  <si>
    <t>Mean</t>
  </si>
  <si>
    <t>Std Dev</t>
  </si>
  <si>
    <t>Lower Limit</t>
  </si>
  <si>
    <t>Upper Limit</t>
  </si>
  <si>
    <t>Convert to percentage:</t>
  </si>
  <si>
    <r>
      <t xml:space="preserve">📌 </t>
    </r>
    <r>
      <rPr>
        <b/>
        <sz val="11"/>
        <color theme="1"/>
        <rFont val="Calibri"/>
        <family val="2"/>
        <scheme val="minor"/>
      </rPr>
      <t>Approximately 68% (or 68.27% using Excel) of the values lie between 45 and 55.</t>
    </r>
  </si>
  <si>
    <t>• Final Answer</t>
  </si>
  <si>
    <t>Standard Deviation</t>
  </si>
  <si>
    <t>Z-Score</t>
  </si>
  <si>
    <t>Standardization converts data into z-scores</t>
  </si>
  <si>
    <t>Makes datasets comparable</t>
  </si>
  <si>
    <t>Mean becomes 0, SD becomes 1</t>
  </si>
  <si>
    <t>Very useful in analysis, exams, and Excel modeling</t>
  </si>
  <si>
    <t>In Excel, standardization is the process of transforming each value in a dataset into a z-score, which measures how far that value is from the mean of the dataset in terms of standard deviations.</t>
  </si>
  <si>
    <t>After standardization:</t>
  </si>
  <si>
    <t>Mean of the dataset = 0</t>
  </si>
  <si>
    <t>Standard deviation = 1</t>
  </si>
  <si>
    <t>Excel can calculate it using formulas or the built-in STANDARDIZE function.</t>
  </si>
  <si>
    <t>• Standardization (Z-Score) in Excel</t>
  </si>
  <si>
    <t>• Definition:</t>
  </si>
  <si>
    <t>• Importance in Data Analysis:</t>
  </si>
  <si>
    <t>• Summary</t>
  </si>
  <si>
    <r>
      <rPr>
        <b/>
        <sz val="11"/>
        <color theme="1"/>
        <rFont val="Calibri"/>
        <family val="2"/>
        <scheme val="minor"/>
      </rPr>
      <t xml:space="preserve">1. Compare values on different scales: </t>
    </r>
    <r>
      <rPr>
        <sz val="11"/>
        <color theme="1"/>
        <rFont val="Calibri"/>
        <family val="2"/>
        <scheme val="minor"/>
      </rPr>
      <t>Standardization converts all data to the same scale, useful when combining multiple datasets.</t>
    </r>
  </si>
  <si>
    <r>
      <rPr>
        <b/>
        <sz val="11"/>
        <color theme="1"/>
        <rFont val="Calibri"/>
        <family val="2"/>
        <scheme val="minor"/>
      </rPr>
      <t>2. Prepares data for statistical analysis or machine learning:</t>
    </r>
    <r>
      <rPr>
        <sz val="11"/>
        <color theme="1"/>
        <rFont val="Calibri"/>
        <family val="2"/>
        <scheme val="minor"/>
      </rPr>
      <t xml:space="preserve"> Many Excel add-ins and models require standardized data.</t>
    </r>
  </si>
  <si>
    <r>
      <rPr>
        <b/>
        <sz val="11"/>
        <color theme="1"/>
        <rFont val="Calibri"/>
        <family val="2"/>
        <scheme val="minor"/>
      </rPr>
      <t xml:space="preserve">3. Detect outliers: </t>
    </r>
    <r>
      <rPr>
        <sz val="11"/>
        <color theme="1"/>
        <rFont val="Calibri"/>
        <family val="2"/>
        <scheme val="minor"/>
      </rPr>
      <t>Z-scores clearly show which values are unusually high or low.</t>
    </r>
  </si>
  <si>
    <r>
      <t xml:space="preserve">✅ </t>
    </r>
    <r>
      <rPr>
        <b/>
        <sz val="11"/>
        <color theme="1"/>
        <rFont val="Calibri"/>
        <family val="2"/>
        <scheme val="minor"/>
      </rPr>
      <t>Summary in Excel Terms:</t>
    </r>
  </si>
  <si>
    <t>1. Input your data in a column</t>
  </si>
  <si>
    <r>
      <t>2. Compute mean and standard deviation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AVERAGE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STDEV.S</t>
    </r>
  </si>
  <si>
    <r>
      <t>3. Apply z-score formula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=(A2-Mean)/StdDev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STANDARDIZE(A2, Mean, StdDev)</t>
    </r>
  </si>
  <si>
    <r>
      <t>4. Drag down</t>
    </r>
    <r>
      <rPr>
        <sz val="11"/>
        <color theme="1"/>
        <rFont val="Calibri"/>
        <family val="2"/>
        <scheme val="minor"/>
      </rPr>
      <t xml:space="preserve"> to standardize the entire dataset</t>
    </r>
  </si>
  <si>
    <t>Scores</t>
  </si>
  <si>
    <t>Kurtosis</t>
  </si>
  <si>
    <t>Kurtosis Value</t>
  </si>
  <si>
    <t>Distribution Type</t>
  </si>
  <si>
    <t>&lt; 0</t>
  </si>
  <si>
    <t>Platykurtic (flat)</t>
  </si>
  <si>
    <t>Mesokurtic (normal)</t>
  </si>
  <si>
    <t>&gt; 0</t>
  </si>
  <si>
    <t>Leptokurtic (peaked)</t>
  </si>
  <si>
    <r>
      <t xml:space="preserve">• In our example: </t>
    </r>
    <r>
      <rPr>
        <b/>
        <sz val="11"/>
        <color theme="1"/>
        <rFont val="Calibri"/>
        <family val="2"/>
        <scheme val="minor"/>
      </rPr>
      <t>-1.2 → Platykurtic</t>
    </r>
    <r>
      <rPr>
        <sz val="11"/>
        <color theme="1"/>
        <rFont val="Calibri"/>
        <family val="2"/>
        <scheme val="minor"/>
      </rPr>
      <t xml:space="preserve">, so the data has a </t>
    </r>
    <r>
      <rPr>
        <b/>
        <sz val="11"/>
        <color theme="1"/>
        <rFont val="Calibri"/>
        <family val="2"/>
        <scheme val="minor"/>
      </rPr>
      <t>flat peak and light tails</t>
    </r>
    <r>
      <rPr>
        <sz val="11"/>
        <color theme="1"/>
        <rFont val="Calibri"/>
        <family val="2"/>
        <scheme val="minor"/>
      </rPr>
      <t>.</t>
    </r>
  </si>
  <si>
    <t>What is Kurtosis?</t>
  </si>
  <si>
    <r>
      <t>• Kurtosis</t>
    </r>
    <r>
      <rPr>
        <sz val="11"/>
        <color theme="1"/>
        <rFont val="Calibri"/>
        <family val="2"/>
        <scheme val="minor"/>
      </rPr>
      <t xml:space="preserve"> is a measure of the </t>
    </r>
    <r>
      <rPr>
        <b/>
        <sz val="11"/>
        <color theme="1"/>
        <rFont val="Calibri"/>
        <family val="2"/>
        <scheme val="minor"/>
      </rPr>
      <t>“tailedness”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peakedness</t>
    </r>
    <r>
      <rPr>
        <sz val="11"/>
        <color theme="1"/>
        <rFont val="Calibri"/>
        <family val="2"/>
        <scheme val="minor"/>
      </rPr>
      <t xml:space="preserve"> of a dataset.</t>
    </r>
  </si>
  <si>
    <r>
      <t xml:space="preserve">• It tells us whether data have </t>
    </r>
    <r>
      <rPr>
        <b/>
        <sz val="11"/>
        <color theme="1"/>
        <rFont val="Calibri"/>
        <family val="2"/>
        <scheme val="minor"/>
      </rPr>
      <t>heavy tails or light tails</t>
    </r>
    <r>
      <rPr>
        <sz val="11"/>
        <color theme="1"/>
        <rFont val="Calibri"/>
        <family val="2"/>
        <scheme val="minor"/>
      </rPr>
      <t xml:space="preserve"> compared to a normal distribution.</t>
    </r>
  </si>
  <si>
    <r>
      <t xml:space="preserve">• Helps identify </t>
    </r>
    <r>
      <rPr>
        <b/>
        <sz val="11"/>
        <color theme="1"/>
        <rFont val="Calibri"/>
        <family val="2"/>
        <scheme val="minor"/>
      </rPr>
      <t>outliers or extreme values</t>
    </r>
    <r>
      <rPr>
        <sz val="11"/>
        <color theme="1"/>
        <rFont val="Calibri"/>
        <family val="2"/>
        <scheme val="minor"/>
      </rPr>
      <t>.</t>
    </r>
  </si>
  <si>
    <t>Kurtosis is a statistical measure that shows the peakedness or flatness of a distribution compared to the normal distribution.</t>
  </si>
  <si>
    <t>Step 2: Assign Equal Probability</t>
  </si>
  <si>
    <t>Die Face</t>
  </si>
  <si>
    <t>=</t>
  </si>
  <si>
    <r>
      <t xml:space="preserve">To compute the </t>
    </r>
    <r>
      <rPr>
        <b/>
        <sz val="11"/>
        <color theme="1"/>
        <rFont val="Calibri"/>
        <family val="2"/>
        <scheme val="minor"/>
      </rPr>
      <t>probability of getting at least 8 successes in 15 trials</t>
    </r>
    <r>
      <rPr>
        <sz val="11"/>
        <color theme="1"/>
        <rFont val="Calibri"/>
        <family val="2"/>
        <scheme val="minor"/>
      </rPr>
      <t xml:space="preserve"> when the </t>
    </r>
    <r>
      <rPr>
        <b/>
        <sz val="11"/>
        <color theme="1"/>
        <rFont val="Calibri"/>
        <family val="2"/>
        <scheme val="minor"/>
      </rPr>
      <t>probability of success = 0.5</t>
    </r>
    <r>
      <rPr>
        <sz val="11"/>
        <color theme="1"/>
        <rFont val="Calibri"/>
        <family val="2"/>
        <scheme val="minor"/>
      </rPr>
      <t xml:space="preserve">, we use the </t>
    </r>
    <r>
      <rPr>
        <b/>
        <sz val="11"/>
        <color theme="1"/>
        <rFont val="Calibri"/>
        <family val="2"/>
        <scheme val="minor"/>
      </rPr>
      <t>binomial distribution</t>
    </r>
    <r>
      <rPr>
        <sz val="11"/>
        <color theme="1"/>
        <rFont val="Calibri"/>
        <family val="2"/>
        <scheme val="minor"/>
      </rPr>
      <t xml:space="preserve">. Below is the </t>
    </r>
    <r>
      <rPr>
        <b/>
        <sz val="11"/>
        <color theme="1"/>
        <rFont val="Calibri"/>
        <family val="2"/>
        <scheme val="minor"/>
      </rPr>
      <t>step-by-step method in Excel</t>
    </r>
    <r>
      <rPr>
        <sz val="11"/>
        <color theme="1"/>
        <rFont val="Calibri"/>
        <family val="2"/>
        <scheme val="minor"/>
      </rPr>
      <t>.</t>
    </r>
  </si>
  <si>
    <r>
      <t xml:space="preserve">Excel provides the </t>
    </r>
    <r>
      <rPr>
        <b/>
        <sz val="11"/>
        <color theme="1"/>
        <rFont val="Calibri"/>
        <family val="2"/>
        <scheme val="minor"/>
      </rPr>
      <t>BINOM.DIST</t>
    </r>
    <r>
      <rPr>
        <sz val="11"/>
        <color theme="1"/>
        <rFont val="Calibri"/>
        <family val="2"/>
        <scheme val="minor"/>
      </rPr>
      <t xml:space="preserve"> function.</t>
    </r>
  </si>
  <si>
    <t>Syntax:</t>
  </si>
  <si>
    <t>BINOM.DIST(number_s, trials, probability_s, cumulative)</t>
  </si>
  <si>
    <r>
      <t>number_s</t>
    </r>
    <r>
      <rPr>
        <sz val="11"/>
        <color theme="1"/>
        <rFont val="Calibri"/>
        <family val="2"/>
        <scheme val="minor"/>
      </rPr>
      <t xml:space="preserve"> → number of successes</t>
    </r>
  </si>
  <si>
    <r>
      <t>trials</t>
    </r>
    <r>
      <rPr>
        <sz val="11"/>
        <color theme="1"/>
        <rFont val="Calibri"/>
        <family val="2"/>
        <scheme val="minor"/>
      </rPr>
      <t xml:space="preserve"> → total trials</t>
    </r>
  </si>
  <si>
    <r>
      <t>probability_s</t>
    </r>
    <r>
      <rPr>
        <sz val="11"/>
        <color theme="1"/>
        <rFont val="Calibri"/>
        <family val="2"/>
        <scheme val="minor"/>
      </rPr>
      <t xml:space="preserve"> → probability of success</t>
    </r>
  </si>
  <si>
    <r>
      <t>cumulative</t>
    </r>
    <r>
      <rPr>
        <sz val="11"/>
        <color theme="1"/>
        <rFont val="Calibri"/>
        <family val="2"/>
        <scheme val="minor"/>
      </rPr>
      <t xml:space="preserve"> → TRUE (≤) or FALSE (exact)</t>
    </r>
  </si>
  <si>
    <t>• Excel Function to Use</t>
  </si>
  <si>
    <t>Step 1: Enter values</t>
  </si>
  <si>
    <t>Trials</t>
  </si>
  <si>
    <t>we have to find the probability of getting at least 8 successes.</t>
  </si>
  <si>
    <t>Step 2: Calculate P(X ≤ 7)</t>
  </si>
  <si>
    <t>Step 3: Calculate P(X ≥ 8)</t>
  </si>
  <si>
    <t>OR directly:</t>
  </si>
  <si>
    <t>4️⃣ Final Answer</t>
  </si>
  <si>
    <r>
      <t xml:space="preserve">✅ The probability of getting </t>
    </r>
    <r>
      <rPr>
        <b/>
        <sz val="11"/>
        <color theme="1"/>
        <rFont val="Calibri"/>
        <family val="2"/>
        <scheme val="minor"/>
      </rPr>
      <t>at least 8 successes out of 15 trials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approximately 0.5 (50%)</t>
    </r>
    <r>
      <rPr>
        <sz val="11"/>
        <color theme="1"/>
        <rFont val="Calibri"/>
        <family val="2"/>
        <scheme val="minor"/>
      </rPr>
      <t>.</t>
    </r>
  </si>
  <si>
    <r>
      <t xml:space="preserve">The probability of success is </t>
    </r>
    <r>
      <rPr>
        <b/>
        <sz val="11"/>
        <color theme="1"/>
        <rFont val="Calibri"/>
        <family val="2"/>
        <scheme val="minor"/>
      </rPr>
      <t>0.5</t>
    </r>
  </si>
  <si>
    <r>
      <t xml:space="preserve">The distribution is </t>
    </r>
    <r>
      <rPr>
        <b/>
        <sz val="11"/>
        <color theme="1"/>
        <rFont val="Calibri"/>
        <family val="2"/>
        <scheme val="minor"/>
      </rPr>
      <t>symmetric</t>
    </r>
  </si>
  <si>
    <r>
      <t xml:space="preserve">The midpoint of 15 trials is </t>
    </r>
    <r>
      <rPr>
        <b/>
        <sz val="11"/>
        <color theme="1"/>
        <rFont val="Calibri"/>
        <family val="2"/>
        <scheme val="minor"/>
      </rPr>
      <t>7.5</t>
    </r>
  </si>
  <si>
    <r>
      <t xml:space="preserve">So, outcomes ≥ 8 have roughly </t>
    </r>
    <r>
      <rPr>
        <b/>
        <sz val="11"/>
        <color theme="1"/>
        <rFont val="Calibri"/>
        <family val="2"/>
        <scheme val="minor"/>
      </rPr>
      <t>half the probability mass</t>
    </r>
  </si>
  <si>
    <t>• Why This Makes Sense</t>
  </si>
  <si>
    <t>• Step-by-Step in Excel</t>
  </si>
  <si>
    <t>Step</t>
  </si>
  <si>
    <t>Excel Formula</t>
  </si>
  <si>
    <t>P(X ≤ 7)</t>
  </si>
  <si>
    <t>P(X ≥ 8)</t>
  </si>
  <si>
    <t>Why Log Transformation Is Used</t>
  </si>
  <si>
    <t>1️⃣ Stabilizes Variance (Reduces Heteroscedasticity)</t>
  </si>
  <si>
    <t>In many datasets (e.g., income, sales, population), larger values show larger variability.</t>
  </si>
  <si>
    <t>Log transformation compresses large values more than small values.</t>
  </si>
  <si>
    <t>This makes the spread of data more uniform across the range.</t>
  </si>
  <si>
    <t>Excel idea:</t>
  </si>
  <si>
    <t>Big numbers shrink more than small numbers when you apply LOG().</t>
  </si>
  <si>
    <t>2️⃣ Makes Data More Normally Distributed</t>
  </si>
  <si>
    <t>Right-skewed data (long tail to the right) is common in real-world data.</t>
  </si>
  <si>
    <t>Taking logarithms pulls in the right tail, reducing skewness.</t>
  </si>
  <si>
    <t>The transformed data often looks more symmetric (bell-shaped).</t>
  </si>
  <si>
    <t>3️⃣ Reduces the Effect of Outliers</t>
  </si>
  <si>
    <t>Extreme large values are scaled down.</t>
  </si>
  <si>
    <t>This prevents them from dominating statistical results.</t>
  </si>
  <si>
    <t>A log transformation in Excel is a mathematical technique where each data value is replaced by its logarithm (usually base-10 or natural log) using Excel’s LOG or LN functions.</t>
  </si>
  <si>
    <t xml:space="preserve"> It is used to stabilize variance, reduce skewness, and make data more normally distributed.</t>
  </si>
  <si>
    <t>Step 1: Original Data</t>
  </si>
  <si>
    <t>A (Sales)</t>
  </si>
  <si>
    <t>Step 2: Apply Log Transformation</t>
  </si>
  <si>
    <t>Sales</t>
  </si>
  <si>
    <t>Log(Sales)</t>
  </si>
  <si>
    <t>Step 3: Observe the Effect</t>
  </si>
  <si>
    <r>
      <t xml:space="preserve">Original values range: </t>
    </r>
    <r>
      <rPr>
        <b/>
        <sz val="11"/>
        <color theme="1"/>
        <rFont val="Calibri"/>
        <family val="2"/>
        <scheme val="minor"/>
      </rPr>
      <t>10 to 1000</t>
    </r>
  </si>
  <si>
    <r>
      <t xml:space="preserve">Log-transformed values range: </t>
    </r>
    <r>
      <rPr>
        <b/>
        <sz val="11"/>
        <color theme="1"/>
        <rFont val="Calibri"/>
        <family val="2"/>
        <scheme val="minor"/>
      </rPr>
      <t>1 to 3</t>
    </r>
  </si>
  <si>
    <r>
      <t xml:space="preserve">Large values are </t>
    </r>
    <r>
      <rPr>
        <b/>
        <sz val="11"/>
        <color theme="1"/>
        <rFont val="Calibri"/>
        <family val="2"/>
        <scheme val="minor"/>
      </rPr>
      <t>compressed</t>
    </r>
  </si>
  <si>
    <r>
      <t xml:space="preserve">Data becomes </t>
    </r>
    <r>
      <rPr>
        <b/>
        <sz val="11"/>
        <color theme="1"/>
        <rFont val="Calibri"/>
        <family val="2"/>
        <scheme val="minor"/>
      </rPr>
      <t>less skewed</t>
    </r>
  </si>
  <si>
    <t>How This Helps Statistically (Excel Perspective)</t>
  </si>
  <si>
    <t>Issue in Original Data</t>
  </si>
  <si>
    <t>Effect of Log Transformation</t>
  </si>
  <si>
    <t>Right-skewed data</t>
  </si>
  <si>
    <t>Becomes more symmetric</t>
  </si>
  <si>
    <t>Increasing variance</t>
  </si>
  <si>
    <t>Variance becomes more stable</t>
  </si>
  <si>
    <t>Large outliers</t>
  </si>
  <si>
    <t>Reduced influence</t>
  </si>
  <si>
    <t>Poor normality</t>
  </si>
  <si>
    <t>Improved normal approximation</t>
  </si>
  <si>
    <r>
      <t>• Log transformation in Excel</t>
    </r>
    <r>
      <rPr>
        <sz val="11"/>
        <color theme="1"/>
        <rFont val="Calibri"/>
        <family val="2"/>
        <scheme val="minor"/>
      </rPr>
      <t xml:space="preserve"> is the process of applying logarithmic functions (</t>
    </r>
    <r>
      <rPr>
        <sz val="10"/>
        <color theme="1"/>
        <rFont val="Arial Unicode MS"/>
      </rPr>
      <t>LOG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LN</t>
    </r>
    <r>
      <rPr>
        <sz val="11"/>
        <color theme="1"/>
        <rFont val="Calibri"/>
        <family val="2"/>
        <scheme val="minor"/>
      </rPr>
      <t>) to data values in order to stabilize variance, reduce skewness, minimize the effect of outliers, and make the data distribution closer to normal.</t>
    </r>
  </si>
  <si>
    <r>
      <t xml:space="preserve">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appropriate when </t>
    </r>
    <r>
      <rPr>
        <b/>
        <sz val="11"/>
        <color theme="1"/>
        <rFont val="Calibri"/>
        <family val="2"/>
        <scheme val="minor"/>
      </rPr>
      <t>all possible outcomes have equal probability</t>
    </r>
    <r>
      <rPr>
        <sz val="11"/>
        <color theme="1"/>
        <rFont val="Calibri"/>
        <family val="2"/>
        <scheme val="minor"/>
      </rPr>
      <t xml:space="preserve">. This is exactly the case when rolling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>.</t>
    </r>
  </si>
  <si>
    <t>Because the die is fair:</t>
  </si>
  <si>
    <t>A fair die has six faces numbered 1 to 6.</t>
  </si>
  <si>
    <t>This satisfies the definition of a discrete uniform distribution, where every outcome occurs with equal probability.</t>
  </si>
  <si>
    <t>• Concept Explanation</t>
  </si>
  <si>
    <t>• Each face has the same chance of appearing</t>
  </si>
  <si>
    <t>• Probability of each outcome = 1/6</t>
  </si>
  <si>
    <t>• No outcome is favored over another</t>
  </si>
  <si>
    <t>Step 1: List Outcomes</t>
  </si>
  <si>
    <r>
      <t xml:space="preserve">All probabilities are equal → </t>
    </r>
    <r>
      <rPr>
        <b/>
        <sz val="11"/>
        <color theme="1"/>
        <rFont val="Calibri"/>
        <family val="2"/>
        <scheme val="minor"/>
      </rPr>
      <t>Uniform distribution</t>
    </r>
  </si>
  <si>
    <t>Step 3: Verify Probability Total</t>
  </si>
  <si>
    <r>
      <t xml:space="preserve">Result = </t>
    </r>
    <r>
      <rPr>
        <b/>
        <sz val="11"/>
        <color theme="1"/>
        <rFont val="Calibri"/>
        <family val="2"/>
        <scheme val="minor"/>
      </rPr>
      <t>1</t>
    </r>
  </si>
  <si>
    <t>✔ Confirms a valid probability distribution.</t>
  </si>
  <si>
    <r>
      <t xml:space="preserve">• Rolling a fair die is well modeled by 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because each of the six outcomes has an equal probability of 1/6. In Excel, assigning equal probabilities and visualizing them confirms that the distribution is uniform.</t>
    </r>
  </si>
  <si>
    <t>• A uniform distribution is suitable for a fair die because all six outcomes have equal probability. Using Excel, each face can be assigned a probability of 1/6, and the total probability equals 1, confirming a uniform distribution.</t>
  </si>
  <si>
    <t>Mean = 50, SD = 5</t>
  </si>
  <si>
    <t>The percentage of values between 45 and 55 is calculated using:</t>
  </si>
  <si>
    <t>NORMDIST(55,50,5,TRUE) – NORMDIST(45,50,5,TRUE)</t>
  </si>
  <si>
    <t>Result = 0.6827 = 68.27%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</si>
</sst>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"/>
    <numFmt numFmtId="169" formatCode="0.00000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9A10F570-0338-4A98-9E6E-08F24381CA17}">
          <cx:tx>
            <cx:txData>
              <cx:f>_xlchart.v1.0</cx:f>
              <cx:v>Generate 100 values 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61912</xdr:rowOff>
    </xdr:from>
    <xdr:to>
      <xdr:col>13</xdr:col>
      <xdr:colOff>295275</xdr:colOff>
      <xdr:row>20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052976-C155-05BC-D754-1F7CA8D0E0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6275" y="1357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43</xdr:row>
      <xdr:rowOff>9525</xdr:rowOff>
    </xdr:from>
    <xdr:to>
      <xdr:col>5</xdr:col>
      <xdr:colOff>533401</xdr:colOff>
      <xdr:row>44</xdr:row>
      <xdr:rowOff>11246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AD3CEE-AB0E-D425-A092-836B199F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6" y="8591550"/>
          <a:ext cx="1276350" cy="1922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7"/>
  <sheetViews>
    <sheetView tabSelected="1" workbookViewId="0">
      <selection activeCell="D8" sqref="D8"/>
    </sheetView>
  </sheetViews>
  <sheetFormatPr defaultRowHeight="15"/>
  <cols>
    <col min="4" max="4" width="11" bestFit="1" customWidth="1"/>
    <col min="5" max="5" width="11.85546875" bestFit="1" customWidth="1"/>
    <col min="9" max="9" width="20.85546875" customWidth="1"/>
  </cols>
  <sheetData>
    <row r="2" spans="1:11" ht="21">
      <c r="A2" s="1" t="s">
        <v>0</v>
      </c>
      <c r="B2" s="1" t="s">
        <v>2</v>
      </c>
    </row>
    <row r="6" spans="1:11" ht="21">
      <c r="A6" s="1" t="s">
        <v>1</v>
      </c>
    </row>
    <row r="7" spans="1:11" ht="15.75">
      <c r="C7" s="2" t="s">
        <v>10</v>
      </c>
      <c r="D7" s="5" t="s">
        <v>11</v>
      </c>
      <c r="E7" s="2" t="s">
        <v>12</v>
      </c>
    </row>
    <row r="8" spans="1:11">
      <c r="C8" s="3">
        <f ca="1">RANDBETWEEN(1,6)</f>
        <v>3</v>
      </c>
      <c r="D8" s="6">
        <f ca="1">COUNTIF($C$8:$C$37,3)</f>
        <v>3</v>
      </c>
      <c r="E8" s="4">
        <f>_xlfn.BINOM.DIST(5,30,1/6,FALSE)</f>
        <v>0.19210813105163416</v>
      </c>
    </row>
    <row r="9" spans="1:11" ht="15.75">
      <c r="C9" s="3">
        <f t="shared" ref="C9:C37" ca="1" si="0">RANDBETWEEN(1,6)</f>
        <v>4</v>
      </c>
      <c r="I9" s="9" t="s">
        <v>17</v>
      </c>
    </row>
    <row r="10" spans="1:11" ht="18">
      <c r="C10" s="3">
        <f t="shared" ca="1" si="0"/>
        <v>6</v>
      </c>
      <c r="I10" s="8"/>
      <c r="K10" s="7"/>
    </row>
    <row r="11" spans="1:11">
      <c r="C11" s="3">
        <f t="shared" ca="1" si="0"/>
        <v>6</v>
      </c>
      <c r="J11" s="8" t="s">
        <v>13</v>
      </c>
    </row>
    <row r="12" spans="1:11">
      <c r="C12" s="3">
        <f t="shared" ca="1" si="0"/>
        <v>1</v>
      </c>
      <c r="J12" s="8"/>
    </row>
    <row r="13" spans="1:11">
      <c r="C13" s="3">
        <f t="shared" ca="1" si="0"/>
        <v>6</v>
      </c>
      <c r="J13" s="8" t="s">
        <v>14</v>
      </c>
    </row>
    <row r="14" spans="1:11">
      <c r="C14" s="3">
        <f t="shared" ca="1" si="0"/>
        <v>2</v>
      </c>
      <c r="J14" s="8"/>
    </row>
    <row r="15" spans="1:11">
      <c r="C15" s="3">
        <f t="shared" ca="1" si="0"/>
        <v>1</v>
      </c>
      <c r="J15" s="8" t="s">
        <v>15</v>
      </c>
    </row>
    <row r="16" spans="1:11">
      <c r="C16" s="3">
        <f t="shared" ca="1" si="0"/>
        <v>1</v>
      </c>
      <c r="J16" s="8"/>
    </row>
    <row r="17" spans="3:10">
      <c r="C17" s="3">
        <f t="shared" ca="1" si="0"/>
        <v>6</v>
      </c>
      <c r="J17" s="8" t="s">
        <v>16</v>
      </c>
    </row>
    <row r="18" spans="3:10">
      <c r="C18" s="3">
        <f t="shared" ca="1" si="0"/>
        <v>6</v>
      </c>
    </row>
    <row r="19" spans="3:10" ht="15.75">
      <c r="C19" s="3">
        <f t="shared" ca="1" si="0"/>
        <v>1</v>
      </c>
      <c r="I19" s="11" t="s">
        <v>20</v>
      </c>
    </row>
    <row r="20" spans="3:10">
      <c r="C20" s="3">
        <f t="shared" ca="1" si="0"/>
        <v>6</v>
      </c>
    </row>
    <row r="21" spans="3:10">
      <c r="C21" s="3">
        <f t="shared" ca="1" si="0"/>
        <v>4</v>
      </c>
      <c r="J21" s="10" t="s">
        <v>18</v>
      </c>
    </row>
    <row r="22" spans="3:10">
      <c r="C22" s="3">
        <f t="shared" ca="1" si="0"/>
        <v>3</v>
      </c>
    </row>
    <row r="23" spans="3:10">
      <c r="C23" s="3">
        <f t="shared" ca="1" si="0"/>
        <v>2</v>
      </c>
      <c r="J23" t="s">
        <v>19</v>
      </c>
    </row>
    <row r="24" spans="3:10">
      <c r="C24" s="3">
        <f t="shared" ca="1" si="0"/>
        <v>5</v>
      </c>
    </row>
    <row r="25" spans="3:10">
      <c r="C25" s="3">
        <f t="shared" ca="1" si="0"/>
        <v>1</v>
      </c>
    </row>
    <row r="26" spans="3:10">
      <c r="C26" s="3">
        <f t="shared" ca="1" si="0"/>
        <v>5</v>
      </c>
    </row>
    <row r="27" spans="3:10">
      <c r="C27" s="3">
        <f t="shared" ca="1" si="0"/>
        <v>3</v>
      </c>
    </row>
    <row r="28" spans="3:10">
      <c r="C28" s="3">
        <f t="shared" ca="1" si="0"/>
        <v>5</v>
      </c>
    </row>
    <row r="29" spans="3:10">
      <c r="C29" s="3">
        <f t="shared" ca="1" si="0"/>
        <v>1</v>
      </c>
    </row>
    <row r="30" spans="3:10">
      <c r="C30" s="3">
        <f t="shared" ca="1" si="0"/>
        <v>4</v>
      </c>
    </row>
    <row r="31" spans="3:10">
      <c r="C31" s="3">
        <f t="shared" ca="1" si="0"/>
        <v>1</v>
      </c>
    </row>
    <row r="32" spans="3:10">
      <c r="C32" s="3">
        <f t="shared" ca="1" si="0"/>
        <v>6</v>
      </c>
    </row>
    <row r="33" spans="3:3">
      <c r="C33" s="3">
        <f t="shared" ca="1" si="0"/>
        <v>1</v>
      </c>
    </row>
    <row r="34" spans="3:3">
      <c r="C34" s="3">
        <f t="shared" ca="1" si="0"/>
        <v>5</v>
      </c>
    </row>
    <row r="35" spans="3:3">
      <c r="C35" s="3">
        <f t="shared" ca="1" si="0"/>
        <v>6</v>
      </c>
    </row>
    <row r="36" spans="3:3">
      <c r="C36" s="3">
        <f t="shared" ca="1" si="0"/>
        <v>4</v>
      </c>
    </row>
    <row r="37" spans="3:3">
      <c r="C37" s="3">
        <f t="shared" ca="1" si="0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41C4-673B-4EED-89BC-3A06572A7370}">
  <dimension ref="A2:G107"/>
  <sheetViews>
    <sheetView topLeftCell="A21" workbookViewId="0">
      <selection activeCell="C8" sqref="C8"/>
    </sheetView>
  </sheetViews>
  <sheetFormatPr defaultRowHeight="15"/>
  <cols>
    <col min="3" max="3" width="21.7109375" style="15" bestFit="1" customWidth="1"/>
  </cols>
  <sheetData>
    <row r="2" spans="1:3" ht="21">
      <c r="A2" s="1" t="s">
        <v>0</v>
      </c>
      <c r="B2" s="1" t="s">
        <v>3</v>
      </c>
    </row>
    <row r="6" spans="1:3" ht="21">
      <c r="A6" s="1" t="s">
        <v>1</v>
      </c>
    </row>
    <row r="7" spans="1:3" ht="15.75">
      <c r="C7" s="2" t="s">
        <v>21</v>
      </c>
    </row>
    <row r="8" spans="1:3">
      <c r="C8" s="17">
        <f ca="1">RAND()</f>
        <v>0.46226273314211475</v>
      </c>
    </row>
    <row r="9" spans="1:3">
      <c r="C9" s="17">
        <f t="shared" ref="C9:C72" ca="1" si="0">RAND()</f>
        <v>0.67743646867767171</v>
      </c>
    </row>
    <row r="10" spans="1:3">
      <c r="C10" s="17">
        <f t="shared" ca="1" si="0"/>
        <v>0.64065007848258271</v>
      </c>
    </row>
    <row r="11" spans="1:3">
      <c r="C11" s="17">
        <f t="shared" ca="1" si="0"/>
        <v>0.507665654804907</v>
      </c>
    </row>
    <row r="12" spans="1:3">
      <c r="C12" s="17">
        <f t="shared" ca="1" si="0"/>
        <v>0.25407654580297145</v>
      </c>
    </row>
    <row r="13" spans="1:3">
      <c r="C13" s="17">
        <f t="shared" ca="1" si="0"/>
        <v>0.63133841598572304</v>
      </c>
    </row>
    <row r="14" spans="1:3">
      <c r="C14" s="17">
        <f t="shared" ca="1" si="0"/>
        <v>0.5269736394238147</v>
      </c>
    </row>
    <row r="15" spans="1:3">
      <c r="C15" s="17">
        <f t="shared" ca="1" si="0"/>
        <v>0.47489124522959214</v>
      </c>
    </row>
    <row r="16" spans="1:3">
      <c r="C16" s="17">
        <f t="shared" ca="1" si="0"/>
        <v>0.99064411629604987</v>
      </c>
    </row>
    <row r="17" spans="3:7">
      <c r="C17" s="17">
        <f t="shared" ca="1" si="0"/>
        <v>0.31419071159009482</v>
      </c>
    </row>
    <row r="18" spans="3:7">
      <c r="C18" s="17">
        <f t="shared" ca="1" si="0"/>
        <v>9.8653711324490967E-2</v>
      </c>
    </row>
    <row r="19" spans="3:7">
      <c r="C19" s="17">
        <f t="shared" ca="1" si="0"/>
        <v>0.81104422749883442</v>
      </c>
    </row>
    <row r="20" spans="3:7">
      <c r="C20" s="17">
        <f t="shared" ca="1" si="0"/>
        <v>0.7320125112240623</v>
      </c>
    </row>
    <row r="21" spans="3:7">
      <c r="C21" s="17">
        <f t="shared" ca="1" si="0"/>
        <v>5.0149216135285446E-2</v>
      </c>
    </row>
    <row r="22" spans="3:7">
      <c r="C22" s="17">
        <f t="shared" ca="1" si="0"/>
        <v>0.33508741087653815</v>
      </c>
    </row>
    <row r="23" spans="3:7">
      <c r="C23" s="17">
        <f t="shared" ca="1" si="0"/>
        <v>0.2410070376425032</v>
      </c>
    </row>
    <row r="24" spans="3:7">
      <c r="C24" s="17">
        <f t="shared" ca="1" si="0"/>
        <v>0.28366501449304693</v>
      </c>
    </row>
    <row r="25" spans="3:7" ht="23.25">
      <c r="C25" s="17">
        <f t="shared" ca="1" si="0"/>
        <v>0.30666980824508794</v>
      </c>
      <c r="F25" s="19" t="s">
        <v>25</v>
      </c>
    </row>
    <row r="26" spans="3:7">
      <c r="C26" s="17">
        <f t="shared" ca="1" si="0"/>
        <v>0.56246443605058905</v>
      </c>
      <c r="G26" s="8"/>
    </row>
    <row r="27" spans="3:7">
      <c r="C27" s="17">
        <f t="shared" ca="1" si="0"/>
        <v>0.2578836837266133</v>
      </c>
      <c r="G27" s="8" t="s">
        <v>22</v>
      </c>
    </row>
    <row r="28" spans="3:7">
      <c r="C28" s="17">
        <f t="shared" ca="1" si="0"/>
        <v>0.5799572030026463</v>
      </c>
      <c r="G28" s="8"/>
    </row>
    <row r="29" spans="3:7">
      <c r="C29" s="17">
        <f t="shared" ca="1" si="0"/>
        <v>0.93304896547131133</v>
      </c>
      <c r="G29" s="8" t="s">
        <v>23</v>
      </c>
    </row>
    <row r="30" spans="3:7">
      <c r="C30" s="17">
        <f t="shared" ca="1" si="0"/>
        <v>0.28993549097854909</v>
      </c>
      <c r="G30" s="8"/>
    </row>
    <row r="31" spans="3:7">
      <c r="C31" s="17">
        <f t="shared" ca="1" si="0"/>
        <v>0.64384878226392361</v>
      </c>
      <c r="G31" s="8" t="s">
        <v>24</v>
      </c>
    </row>
    <row r="32" spans="3:7">
      <c r="C32" s="17">
        <f t="shared" ca="1" si="0"/>
        <v>0.3022632729827367</v>
      </c>
    </row>
    <row r="33" spans="3:7" ht="23.25">
      <c r="C33" s="17">
        <f t="shared" ca="1" si="0"/>
        <v>0.40366296087850473</v>
      </c>
      <c r="F33" s="19" t="s">
        <v>29</v>
      </c>
    </row>
    <row r="34" spans="3:7">
      <c r="C34" s="17">
        <f t="shared" ca="1" si="0"/>
        <v>0.45422907997964568</v>
      </c>
      <c r="G34" s="8"/>
    </row>
    <row r="35" spans="3:7">
      <c r="C35" s="17">
        <f t="shared" ca="1" si="0"/>
        <v>0.51154842154925451</v>
      </c>
      <c r="G35" s="20" t="s">
        <v>26</v>
      </c>
    </row>
    <row r="36" spans="3:7">
      <c r="C36" s="17">
        <f t="shared" ca="1" si="0"/>
        <v>0.47281348600048034</v>
      </c>
      <c r="G36" s="8"/>
    </row>
    <row r="37" spans="3:7">
      <c r="C37" s="17">
        <f t="shared" ca="1" si="0"/>
        <v>0.38481553538406121</v>
      </c>
      <c r="G37" s="8" t="s">
        <v>27</v>
      </c>
    </row>
    <row r="38" spans="3:7">
      <c r="C38" s="17">
        <f t="shared" ca="1" si="0"/>
        <v>0.46081778440362009</v>
      </c>
      <c r="G38" s="8"/>
    </row>
    <row r="39" spans="3:7">
      <c r="C39" s="17">
        <f t="shared" ca="1" si="0"/>
        <v>0.75962551590017657</v>
      </c>
      <c r="G39" s="8" t="s">
        <v>28</v>
      </c>
    </row>
    <row r="40" spans="3:7">
      <c r="C40" s="17">
        <f t="shared" ca="1" si="0"/>
        <v>0.94664861563165703</v>
      </c>
    </row>
    <row r="41" spans="3:7" ht="18">
      <c r="C41" s="17">
        <f t="shared" ca="1" si="0"/>
        <v>9.6504443217531044E-2</v>
      </c>
      <c r="F41" s="7" t="s">
        <v>31</v>
      </c>
    </row>
    <row r="42" spans="3:7">
      <c r="C42" s="17">
        <f t="shared" ca="1" si="0"/>
        <v>0.75095028934816543</v>
      </c>
      <c r="G42" s="8"/>
    </row>
    <row r="43" spans="3:7">
      <c r="C43" s="17">
        <f t="shared" ca="1" si="0"/>
        <v>0.38198841958709517</v>
      </c>
      <c r="G43" s="8" t="s">
        <v>30</v>
      </c>
    </row>
    <row r="44" spans="3:7">
      <c r="C44" s="17">
        <f t="shared" ca="1" si="0"/>
        <v>0.66994822602903581</v>
      </c>
    </row>
    <row r="45" spans="3:7">
      <c r="C45" s="17">
        <f t="shared" ca="1" si="0"/>
        <v>0.83265653700264608</v>
      </c>
    </row>
    <row r="46" spans="3:7">
      <c r="C46" s="17">
        <f t="shared" ca="1" si="0"/>
        <v>0.63820255942625803</v>
      </c>
    </row>
    <row r="47" spans="3:7">
      <c r="C47" s="17">
        <f t="shared" ca="1" si="0"/>
        <v>0.56288131574328049</v>
      </c>
    </row>
    <row r="48" spans="3:7">
      <c r="C48" s="17">
        <f t="shared" ca="1" si="0"/>
        <v>0.94921681839455641</v>
      </c>
    </row>
    <row r="49" spans="3:3">
      <c r="C49" s="17">
        <f t="shared" ca="1" si="0"/>
        <v>0.10358916613709401</v>
      </c>
    </row>
    <row r="50" spans="3:3">
      <c r="C50" s="17">
        <f t="shared" ca="1" si="0"/>
        <v>0.83962076791232532</v>
      </c>
    </row>
    <row r="51" spans="3:3">
      <c r="C51" s="17">
        <f t="shared" ca="1" si="0"/>
        <v>0.37505979181698734</v>
      </c>
    </row>
    <row r="52" spans="3:3">
      <c r="C52" s="17">
        <f t="shared" ca="1" si="0"/>
        <v>0.97563824224920481</v>
      </c>
    </row>
    <row r="53" spans="3:3">
      <c r="C53" s="17">
        <f t="shared" ca="1" si="0"/>
        <v>0.80772944628696375</v>
      </c>
    </row>
    <row r="54" spans="3:3">
      <c r="C54" s="17">
        <f t="shared" ca="1" si="0"/>
        <v>0.85845481570448545</v>
      </c>
    </row>
    <row r="55" spans="3:3">
      <c r="C55" s="17">
        <f t="shared" ca="1" si="0"/>
        <v>0.28333162043722271</v>
      </c>
    </row>
    <row r="56" spans="3:3">
      <c r="C56" s="17">
        <f t="shared" ca="1" si="0"/>
        <v>0.30626710605095031</v>
      </c>
    </row>
    <row r="57" spans="3:3">
      <c r="C57" s="17">
        <f t="shared" ca="1" si="0"/>
        <v>0.13968888277415326</v>
      </c>
    </row>
    <row r="58" spans="3:3">
      <c r="C58" s="17">
        <f t="shared" ca="1" si="0"/>
        <v>0.56009858020923997</v>
      </c>
    </row>
    <row r="59" spans="3:3">
      <c r="C59" s="17">
        <f t="shared" ca="1" si="0"/>
        <v>0.52437012272261463</v>
      </c>
    </row>
    <row r="60" spans="3:3">
      <c r="C60" s="17">
        <f t="shared" ca="1" si="0"/>
        <v>0.9788422610526627</v>
      </c>
    </row>
    <row r="61" spans="3:3">
      <c r="C61" s="17">
        <f t="shared" ca="1" si="0"/>
        <v>0.44784708572663734</v>
      </c>
    </row>
    <row r="62" spans="3:3">
      <c r="C62" s="17">
        <f t="shared" ca="1" si="0"/>
        <v>0.89786224921207847</v>
      </c>
    </row>
    <row r="63" spans="3:3">
      <c r="C63" s="17">
        <f t="shared" ca="1" si="0"/>
        <v>0.68842999376405778</v>
      </c>
    </row>
    <row r="64" spans="3:3">
      <c r="C64" s="17">
        <f t="shared" ca="1" si="0"/>
        <v>7.6642134311387999E-2</v>
      </c>
    </row>
    <row r="65" spans="3:3">
      <c r="C65" s="17">
        <f t="shared" ca="1" si="0"/>
        <v>0.7449132529840421</v>
      </c>
    </row>
    <row r="66" spans="3:3">
      <c r="C66" s="17">
        <f t="shared" ca="1" si="0"/>
        <v>9.3805379760110941E-2</v>
      </c>
    </row>
    <row r="67" spans="3:3">
      <c r="C67" s="17">
        <f t="shared" ca="1" si="0"/>
        <v>0.67104358676594744</v>
      </c>
    </row>
    <row r="68" spans="3:3">
      <c r="C68" s="17">
        <f t="shared" ca="1" si="0"/>
        <v>0.32698522591282431</v>
      </c>
    </row>
    <row r="69" spans="3:3">
      <c r="C69" s="17">
        <f t="shared" ca="1" si="0"/>
        <v>0.42331369589196544</v>
      </c>
    </row>
    <row r="70" spans="3:3">
      <c r="C70" s="17">
        <f t="shared" ca="1" si="0"/>
        <v>0.17237462104329826</v>
      </c>
    </row>
    <row r="71" spans="3:3">
      <c r="C71" s="17">
        <f t="shared" ca="1" si="0"/>
        <v>0.34676724716310992</v>
      </c>
    </row>
    <row r="72" spans="3:3">
      <c r="C72" s="17">
        <f t="shared" ca="1" si="0"/>
        <v>0.90076697029014263</v>
      </c>
    </row>
    <row r="73" spans="3:3">
      <c r="C73" s="17">
        <f t="shared" ref="C73:C107" ca="1" si="1">RAND()</f>
        <v>0.4413925183099815</v>
      </c>
    </row>
    <row r="74" spans="3:3">
      <c r="C74" s="17">
        <f t="shared" ca="1" si="1"/>
        <v>0.79851732913504825</v>
      </c>
    </row>
    <row r="75" spans="3:3">
      <c r="C75" s="17">
        <f t="shared" ca="1" si="1"/>
        <v>0.40323103444294062</v>
      </c>
    </row>
    <row r="76" spans="3:3">
      <c r="C76" s="17">
        <f t="shared" ca="1" si="1"/>
        <v>0.17718231898838244</v>
      </c>
    </row>
    <row r="77" spans="3:3">
      <c r="C77" s="17">
        <f t="shared" ca="1" si="1"/>
        <v>0.88240422484776182</v>
      </c>
    </row>
    <row r="78" spans="3:3">
      <c r="C78" s="17">
        <f t="shared" ca="1" si="1"/>
        <v>0.14071158890622582</v>
      </c>
    </row>
    <row r="79" spans="3:3">
      <c r="C79" s="17">
        <f t="shared" ca="1" si="1"/>
        <v>0.26057728554954829</v>
      </c>
    </row>
    <row r="80" spans="3:3">
      <c r="C80" s="17">
        <f t="shared" ca="1" si="1"/>
        <v>0.38594160545941503</v>
      </c>
    </row>
    <row r="81" spans="3:3">
      <c r="C81" s="17">
        <f t="shared" ca="1" si="1"/>
        <v>8.522149550496283E-2</v>
      </c>
    </row>
    <row r="82" spans="3:3">
      <c r="C82" s="17">
        <f t="shared" ca="1" si="1"/>
        <v>0.10236785366030043</v>
      </c>
    </row>
    <row r="83" spans="3:3">
      <c r="C83" s="17">
        <f t="shared" ca="1" si="1"/>
        <v>0.79247599829389548</v>
      </c>
    </row>
    <row r="84" spans="3:3">
      <c r="C84" s="17">
        <f t="shared" ca="1" si="1"/>
        <v>0.62105020496250474</v>
      </c>
    </row>
    <row r="85" spans="3:3">
      <c r="C85" s="17">
        <f t="shared" ca="1" si="1"/>
        <v>0.87604272667720084</v>
      </c>
    </row>
    <row r="86" spans="3:3">
      <c r="C86" s="17">
        <f t="shared" ca="1" si="1"/>
        <v>2.1282485240837756E-3</v>
      </c>
    </row>
    <row r="87" spans="3:3">
      <c r="C87" s="17">
        <f t="shared" ca="1" si="1"/>
        <v>0.94321787017512648</v>
      </c>
    </row>
    <row r="88" spans="3:3">
      <c r="C88" s="17">
        <f t="shared" ca="1" si="1"/>
        <v>0.1664984407503789</v>
      </c>
    </row>
    <row r="89" spans="3:3">
      <c r="C89" s="17">
        <f t="shared" ca="1" si="1"/>
        <v>0.22593900868247452</v>
      </c>
    </row>
    <row r="90" spans="3:3">
      <c r="C90" s="17">
        <f t="shared" ca="1" si="1"/>
        <v>0.35500276462455549</v>
      </c>
    </row>
    <row r="91" spans="3:3">
      <c r="C91" s="17">
        <f t="shared" ca="1" si="1"/>
        <v>0.83983183554134377</v>
      </c>
    </row>
    <row r="92" spans="3:3">
      <c r="C92" s="17">
        <f t="shared" ca="1" si="1"/>
        <v>3.4718346989950577E-2</v>
      </c>
    </row>
    <row r="93" spans="3:3">
      <c r="C93" s="17">
        <f t="shared" ca="1" si="1"/>
        <v>0.79567866081510386</v>
      </c>
    </row>
    <row r="94" spans="3:3">
      <c r="C94" s="17">
        <f t="shared" ca="1" si="1"/>
        <v>0.66105082147689254</v>
      </c>
    </row>
    <row r="95" spans="3:3">
      <c r="C95" s="17">
        <f t="shared" ca="1" si="1"/>
        <v>8.4341238148392561E-2</v>
      </c>
    </row>
    <row r="96" spans="3:3">
      <c r="C96" s="17">
        <f t="shared" ca="1" si="1"/>
        <v>0.57376019916927612</v>
      </c>
    </row>
    <row r="97" spans="3:3">
      <c r="C97" s="17">
        <f t="shared" ca="1" si="1"/>
        <v>0.79052615949015337</v>
      </c>
    </row>
    <row r="98" spans="3:3">
      <c r="C98" s="17">
        <f t="shared" ca="1" si="1"/>
        <v>0.12459448617116153</v>
      </c>
    </row>
    <row r="99" spans="3:3">
      <c r="C99" s="17">
        <f t="shared" ca="1" si="1"/>
        <v>0.33906095330256691</v>
      </c>
    </row>
    <row r="100" spans="3:3">
      <c r="C100" s="17">
        <f t="shared" ca="1" si="1"/>
        <v>0.13850528611415425</v>
      </c>
    </row>
    <row r="101" spans="3:3">
      <c r="C101" s="17">
        <f t="shared" ca="1" si="1"/>
        <v>0.42312857342996546</v>
      </c>
    </row>
    <row r="102" spans="3:3">
      <c r="C102" s="17">
        <f t="shared" ca="1" si="1"/>
        <v>9.5547300684425518E-2</v>
      </c>
    </row>
    <row r="103" spans="3:3">
      <c r="C103" s="17">
        <f t="shared" ca="1" si="1"/>
        <v>0.40837541234794861</v>
      </c>
    </row>
    <row r="104" spans="3:3">
      <c r="C104" s="17">
        <f t="shared" ca="1" si="1"/>
        <v>0.67538280915957494</v>
      </c>
    </row>
    <row r="105" spans="3:3">
      <c r="C105" s="17">
        <f t="shared" ca="1" si="1"/>
        <v>0.74571325487117346</v>
      </c>
    </row>
    <row r="106" spans="3:3">
      <c r="C106" s="17">
        <f t="shared" ca="1" si="1"/>
        <v>0.44936682076782919</v>
      </c>
    </row>
    <row r="107" spans="3:3">
      <c r="C107" s="17">
        <f t="shared" ca="1" si="1"/>
        <v>0.92051479037829198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4392-9AE9-4536-9CD6-82DB2F05AC49}">
  <dimension ref="A2:J17"/>
  <sheetViews>
    <sheetView workbookViewId="0">
      <selection activeCell="M15" sqref="M15"/>
    </sheetView>
  </sheetViews>
  <sheetFormatPr defaultRowHeight="15"/>
  <cols>
    <col min="3" max="3" width="6" bestFit="1" customWidth="1"/>
    <col min="4" max="4" width="7.7109375" bestFit="1" customWidth="1"/>
    <col min="5" max="6" width="11.28515625" bestFit="1" customWidth="1"/>
    <col min="7" max="7" width="12" bestFit="1" customWidth="1"/>
    <col min="8" max="8" width="21.7109375" bestFit="1" customWidth="1"/>
  </cols>
  <sheetData>
    <row r="2" spans="1:10" ht="21">
      <c r="A2" s="1" t="s">
        <v>0</v>
      </c>
      <c r="B2" s="1" t="s">
        <v>4</v>
      </c>
    </row>
    <row r="6" spans="1:10" ht="21">
      <c r="A6" s="1" t="s">
        <v>1</v>
      </c>
    </row>
    <row r="7" spans="1:10">
      <c r="C7" s="22" t="s">
        <v>33</v>
      </c>
      <c r="D7" s="22" t="s">
        <v>34</v>
      </c>
      <c r="E7" s="22" t="s">
        <v>35</v>
      </c>
      <c r="F7" s="22" t="s">
        <v>36</v>
      </c>
      <c r="G7" s="22" t="s">
        <v>12</v>
      </c>
      <c r="H7" s="22" t="s">
        <v>37</v>
      </c>
    </row>
    <row r="8" spans="1:10">
      <c r="C8" s="21">
        <v>50</v>
      </c>
      <c r="D8" s="21">
        <v>5</v>
      </c>
      <c r="E8" s="21">
        <v>45</v>
      </c>
      <c r="F8" s="21">
        <v>55</v>
      </c>
      <c r="G8" s="23">
        <f>_xlfn.NORM.DIST($F$8,$C$8,$D$8,TRUE) - _xlfn.NORM.DIST($E$8,$C$8,$D$8,TRUE)</f>
        <v>0.68268949213708607</v>
      </c>
      <c r="H8" s="24">
        <f>$G$8*100</f>
        <v>68.268949213708609</v>
      </c>
    </row>
    <row r="10" spans="1:10">
      <c r="J10" t="s">
        <v>161</v>
      </c>
    </row>
    <row r="11" spans="1:10">
      <c r="J11" t="s">
        <v>162</v>
      </c>
    </row>
    <row r="12" spans="1:10">
      <c r="J12" t="s">
        <v>163</v>
      </c>
    </row>
    <row r="13" spans="1:10">
      <c r="J13" t="s">
        <v>164</v>
      </c>
    </row>
    <row r="15" spans="1:10" ht="23.25">
      <c r="I15" s="19" t="s">
        <v>39</v>
      </c>
    </row>
    <row r="17" spans="10:10">
      <c r="J17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7B1C-DCD2-474E-8EE6-9F49C691C9A8}">
  <dimension ref="A2:K45"/>
  <sheetViews>
    <sheetView workbookViewId="0">
      <selection activeCell="F9" sqref="F9"/>
    </sheetView>
  </sheetViews>
  <sheetFormatPr defaultRowHeight="15"/>
  <cols>
    <col min="5" max="5" width="18.140625" bestFit="1" customWidth="1"/>
  </cols>
  <sheetData>
    <row r="2" spans="1:11" ht="21">
      <c r="A2" s="1" t="s">
        <v>0</v>
      </c>
      <c r="B2" s="1" t="s">
        <v>5</v>
      </c>
    </row>
    <row r="6" spans="1:11" ht="21">
      <c r="A6" s="1" t="s">
        <v>1</v>
      </c>
    </row>
    <row r="7" spans="1:11">
      <c r="C7" s="27" t="s">
        <v>32</v>
      </c>
      <c r="D7" s="31" t="s">
        <v>33</v>
      </c>
      <c r="E7" s="30" t="s">
        <v>40</v>
      </c>
      <c r="F7" s="28" t="s">
        <v>41</v>
      </c>
      <c r="J7" t="s">
        <v>58</v>
      </c>
    </row>
    <row r="8" spans="1:11">
      <c r="C8" s="21">
        <v>40</v>
      </c>
      <c r="D8" s="32">
        <f>AVERAGE($C$8:$C$12)</f>
        <v>50</v>
      </c>
      <c r="E8" s="33">
        <f>_xlfn.STDEV.S($C$8:$C$12)</f>
        <v>7.9056941504209481</v>
      </c>
      <c r="F8" s="3">
        <f>STANDARDIZE($C8,$D$8,$E$8)</f>
        <v>-1.2649110640673518</v>
      </c>
      <c r="J8" s="8"/>
    </row>
    <row r="9" spans="1:11">
      <c r="C9" s="21">
        <v>45</v>
      </c>
      <c r="F9" s="3">
        <f t="shared" ref="F9:F12" si="0">STANDARDIZE($C9,$D$8,$E$8)</f>
        <v>-0.63245553203367588</v>
      </c>
      <c r="K9" s="26" t="s">
        <v>59</v>
      </c>
    </row>
    <row r="10" spans="1:11">
      <c r="C10" s="21">
        <v>50</v>
      </c>
      <c r="F10" s="3">
        <f t="shared" si="0"/>
        <v>0</v>
      </c>
      <c r="K10" s="8"/>
    </row>
    <row r="11" spans="1:11">
      <c r="C11" s="21">
        <v>55</v>
      </c>
      <c r="F11" s="3">
        <f t="shared" si="0"/>
        <v>0.63245553203367588</v>
      </c>
      <c r="K11" s="26" t="s">
        <v>60</v>
      </c>
    </row>
    <row r="12" spans="1:11">
      <c r="C12" s="21">
        <v>60</v>
      </c>
      <c r="F12" s="3">
        <f t="shared" si="0"/>
        <v>1.2649110640673518</v>
      </c>
      <c r="K12" s="8"/>
    </row>
    <row r="13" spans="1:11">
      <c r="F13" s="13"/>
      <c r="K13" s="26" t="s">
        <v>61</v>
      </c>
    </row>
    <row r="14" spans="1:11">
      <c r="K14" s="8"/>
    </row>
    <row r="15" spans="1:11">
      <c r="K15" s="26" t="s">
        <v>62</v>
      </c>
    </row>
    <row r="16" spans="1:11" ht="15.75">
      <c r="B16" s="11" t="s">
        <v>51</v>
      </c>
    </row>
    <row r="18" spans="3:4">
      <c r="C18" s="25" t="s">
        <v>52</v>
      </c>
    </row>
    <row r="19" spans="3:4">
      <c r="D19" t="s">
        <v>46</v>
      </c>
    </row>
    <row r="21" spans="3:4">
      <c r="D21" t="s">
        <v>47</v>
      </c>
    </row>
    <row r="23" spans="3:4">
      <c r="D23" t="s">
        <v>48</v>
      </c>
    </row>
    <row r="25" spans="3:4">
      <c r="D25" t="s">
        <v>49</v>
      </c>
    </row>
    <row r="27" spans="3:4">
      <c r="D27" t="s">
        <v>50</v>
      </c>
    </row>
    <row r="29" spans="3:4">
      <c r="C29" s="25" t="s">
        <v>53</v>
      </c>
    </row>
    <row r="31" spans="3:4">
      <c r="D31" t="s">
        <v>55</v>
      </c>
    </row>
    <row r="33" spans="3:4">
      <c r="D33" t="s">
        <v>56</v>
      </c>
    </row>
    <row r="35" spans="3:4">
      <c r="D35" t="s">
        <v>57</v>
      </c>
    </row>
    <row r="37" spans="3:4" ht="18">
      <c r="C37" s="7" t="s">
        <v>54</v>
      </c>
    </row>
    <row r="38" spans="3:4">
      <c r="C38" s="8"/>
    </row>
    <row r="39" spans="3:4">
      <c r="D39" s="8" t="s">
        <v>42</v>
      </c>
    </row>
    <row r="40" spans="3:4">
      <c r="D40" s="8"/>
    </row>
    <row r="41" spans="3:4">
      <c r="D41" s="8" t="s">
        <v>43</v>
      </c>
    </row>
    <row r="42" spans="3:4">
      <c r="D42" s="8"/>
    </row>
    <row r="43" spans="3:4">
      <c r="D43" s="8" t="s">
        <v>44</v>
      </c>
    </row>
    <row r="44" spans="3:4">
      <c r="D44" s="8"/>
    </row>
    <row r="45" spans="3:4">
      <c r="D45" s="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DDE6-E2BD-4A67-8867-D5599EAFFDBF}">
  <dimension ref="A2:H21"/>
  <sheetViews>
    <sheetView workbookViewId="0">
      <selection activeCell="L20" sqref="L20"/>
    </sheetView>
  </sheetViews>
  <sheetFormatPr defaultRowHeight="15"/>
  <cols>
    <col min="3" max="3" width="8.140625" bestFit="1" customWidth="1"/>
    <col min="5" max="6" width="23.140625" customWidth="1"/>
    <col min="7" max="7" width="15" bestFit="1" customWidth="1"/>
    <col min="8" max="8" width="19.7109375" bestFit="1" customWidth="1"/>
  </cols>
  <sheetData>
    <row r="2" spans="1:8" ht="21">
      <c r="A2" s="1" t="s">
        <v>0</v>
      </c>
      <c r="B2" s="1" t="s">
        <v>6</v>
      </c>
    </row>
    <row r="6" spans="1:8" ht="21">
      <c r="A6" s="1" t="s">
        <v>1</v>
      </c>
    </row>
    <row r="7" spans="1:8" ht="18.75">
      <c r="C7" s="34" t="s">
        <v>63</v>
      </c>
      <c r="D7" s="34" t="s">
        <v>64</v>
      </c>
      <c r="F7" s="37" t="s">
        <v>73</v>
      </c>
    </row>
    <row r="8" spans="1:8">
      <c r="C8" s="21">
        <v>10</v>
      </c>
      <c r="D8" s="29">
        <f>KURT($C$8:$C$13)</f>
        <v>-1.2000000000000011</v>
      </c>
      <c r="F8" s="8"/>
      <c r="G8" t="s">
        <v>77</v>
      </c>
    </row>
    <row r="9" spans="1:8">
      <c r="C9" s="21">
        <v>15</v>
      </c>
    </row>
    <row r="10" spans="1:8">
      <c r="C10" s="21">
        <v>20</v>
      </c>
      <c r="H10" s="26" t="s">
        <v>74</v>
      </c>
    </row>
    <row r="11" spans="1:8">
      <c r="C11" s="21">
        <v>25</v>
      </c>
      <c r="H11" s="8"/>
    </row>
    <row r="12" spans="1:8">
      <c r="C12" s="21">
        <v>30</v>
      </c>
      <c r="H12" s="8" t="s">
        <v>75</v>
      </c>
    </row>
    <row r="13" spans="1:8">
      <c r="C13" s="21">
        <v>35</v>
      </c>
      <c r="H13" s="8"/>
    </row>
    <row r="14" spans="1:8">
      <c r="C14" s="38"/>
      <c r="H14" s="8" t="s">
        <v>76</v>
      </c>
    </row>
    <row r="16" spans="1:8" ht="15.75">
      <c r="E16" s="35" t="s">
        <v>65</v>
      </c>
      <c r="F16" s="35" t="s">
        <v>66</v>
      </c>
    </row>
    <row r="17" spans="5:6">
      <c r="E17" s="36" t="s">
        <v>67</v>
      </c>
      <c r="F17" s="36" t="s">
        <v>68</v>
      </c>
    </row>
    <row r="18" spans="5:6">
      <c r="E18" s="36">
        <f xml:space="preserve"> 0</f>
        <v>0</v>
      </c>
      <c r="F18" s="36" t="s">
        <v>69</v>
      </c>
    </row>
    <row r="19" spans="5:6">
      <c r="E19" s="36" t="s">
        <v>70</v>
      </c>
      <c r="F19" s="36" t="s">
        <v>71</v>
      </c>
    </row>
    <row r="21" spans="5:6">
      <c r="E21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8BD-7EB4-4573-970E-95D3A8FE7636}">
  <dimension ref="A2:E55"/>
  <sheetViews>
    <sheetView topLeftCell="A21" workbookViewId="0">
      <selection activeCell="I38" sqref="I38"/>
    </sheetView>
  </sheetViews>
  <sheetFormatPr defaultRowHeight="15"/>
  <cols>
    <col min="3" max="3" width="20.42578125" customWidth="1"/>
    <col min="4" max="4" width="10.5703125" customWidth="1"/>
    <col min="5" max="5" width="15.28515625" customWidth="1"/>
  </cols>
  <sheetData>
    <row r="2" spans="1:5" ht="21">
      <c r="A2" s="1" t="s">
        <v>0</v>
      </c>
      <c r="B2" s="1" t="s">
        <v>7</v>
      </c>
    </row>
    <row r="6" spans="1:5" ht="21">
      <c r="A6" s="1" t="s">
        <v>1</v>
      </c>
    </row>
    <row r="8" spans="1:5">
      <c r="B8" t="s">
        <v>146</v>
      </c>
    </row>
    <row r="10" spans="1:5">
      <c r="C10" s="25" t="s">
        <v>150</v>
      </c>
    </row>
    <row r="12" spans="1:5">
      <c r="D12" t="s">
        <v>148</v>
      </c>
    </row>
    <row r="13" spans="1:5">
      <c r="D13" t="s">
        <v>147</v>
      </c>
    </row>
    <row r="15" spans="1:5">
      <c r="E15" t="s">
        <v>151</v>
      </c>
    </row>
    <row r="17" spans="3:5">
      <c r="E17" t="s">
        <v>152</v>
      </c>
    </row>
    <row r="19" spans="3:5">
      <c r="E19" t="s">
        <v>153</v>
      </c>
    </row>
    <row r="21" spans="3:5">
      <c r="D21" t="s">
        <v>149</v>
      </c>
    </row>
    <row r="23" spans="3:5">
      <c r="C23" s="25" t="s">
        <v>154</v>
      </c>
    </row>
    <row r="25" spans="3:5" ht="15.75">
      <c r="D25" s="2" t="s">
        <v>79</v>
      </c>
    </row>
    <row r="26" spans="3:5">
      <c r="D26" s="16">
        <v>1</v>
      </c>
    </row>
    <row r="27" spans="3:5">
      <c r="D27" s="16">
        <v>2</v>
      </c>
    </row>
    <row r="28" spans="3:5">
      <c r="D28" s="16">
        <v>3</v>
      </c>
    </row>
    <row r="29" spans="3:5">
      <c r="D29" s="16">
        <v>4</v>
      </c>
    </row>
    <row r="30" spans="3:5">
      <c r="D30" s="16">
        <v>5</v>
      </c>
    </row>
    <row r="31" spans="3:5">
      <c r="D31" s="16">
        <v>6</v>
      </c>
    </row>
    <row r="33" spans="3:5">
      <c r="C33" s="25" t="s">
        <v>78</v>
      </c>
    </row>
    <row r="35" spans="3:5" ht="15.75">
      <c r="D35" s="2" t="s">
        <v>79</v>
      </c>
      <c r="E35" s="2" t="s">
        <v>12</v>
      </c>
    </row>
    <row r="36" spans="3:5">
      <c r="D36" s="16">
        <v>1</v>
      </c>
      <c r="E36" s="44">
        <f>1/6</f>
        <v>0.16666666666666666</v>
      </c>
    </row>
    <row r="37" spans="3:5">
      <c r="D37" s="16">
        <v>2</v>
      </c>
      <c r="E37" s="44">
        <f t="shared" ref="E37:E41" si="0">1/6</f>
        <v>0.16666666666666666</v>
      </c>
    </row>
    <row r="38" spans="3:5">
      <c r="D38" s="16">
        <v>3</v>
      </c>
      <c r="E38" s="44">
        <f t="shared" si="0"/>
        <v>0.16666666666666666</v>
      </c>
    </row>
    <row r="39" spans="3:5">
      <c r="D39" s="16">
        <v>4</v>
      </c>
      <c r="E39" s="44">
        <f t="shared" si="0"/>
        <v>0.16666666666666666</v>
      </c>
    </row>
    <row r="40" spans="3:5">
      <c r="D40" s="16">
        <v>5</v>
      </c>
      <c r="E40" s="44">
        <f t="shared" si="0"/>
        <v>0.16666666666666666</v>
      </c>
    </row>
    <row r="41" spans="3:5">
      <c r="D41" s="16">
        <v>6</v>
      </c>
      <c r="E41" s="44">
        <f t="shared" si="0"/>
        <v>0.16666666666666666</v>
      </c>
    </row>
    <row r="43" spans="3:5">
      <c r="D43" t="s">
        <v>155</v>
      </c>
    </row>
    <row r="45" spans="3:5">
      <c r="C45" s="25" t="s">
        <v>156</v>
      </c>
    </row>
    <row r="47" spans="3:5">
      <c r="D47" s="14">
        <f>SUM($E$36:$E$41)</f>
        <v>0.99999999999999989</v>
      </c>
    </row>
    <row r="49" spans="3:4">
      <c r="D49" t="s">
        <v>157</v>
      </c>
    </row>
    <row r="50" spans="3:4">
      <c r="D50" t="s">
        <v>158</v>
      </c>
    </row>
    <row r="53" spans="3:4">
      <c r="C53" t="s">
        <v>159</v>
      </c>
    </row>
    <row r="55" spans="3:4">
      <c r="C55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5A4B-B033-48BA-9ADA-8A44C5686D00}">
  <dimension ref="A2:F60"/>
  <sheetViews>
    <sheetView topLeftCell="A38" workbookViewId="0">
      <selection activeCell="F31" sqref="F31"/>
    </sheetView>
  </sheetViews>
  <sheetFormatPr defaultRowHeight="15"/>
  <cols>
    <col min="4" max="4" width="12.5703125" customWidth="1"/>
    <col min="5" max="5" width="11.85546875" customWidth="1"/>
    <col min="6" max="6" width="14.42578125" customWidth="1"/>
  </cols>
  <sheetData>
    <row r="2" spans="1:4" ht="21">
      <c r="A2" s="1" t="s">
        <v>0</v>
      </c>
      <c r="B2" s="1" t="s">
        <v>8</v>
      </c>
    </row>
    <row r="6" spans="1:4" ht="21">
      <c r="A6" s="1" t="s">
        <v>1</v>
      </c>
    </row>
    <row r="7" spans="1:4">
      <c r="C7" t="s">
        <v>81</v>
      </c>
    </row>
    <row r="9" spans="1:4" ht="18.75">
      <c r="C9" s="37" t="s">
        <v>89</v>
      </c>
    </row>
    <row r="11" spans="1:4">
      <c r="D11" t="s">
        <v>82</v>
      </c>
    </row>
    <row r="12" spans="1:4">
      <c r="D12" t="s">
        <v>92</v>
      </c>
    </row>
    <row r="13" spans="1:4" ht="18">
      <c r="C13" s="7" t="s">
        <v>83</v>
      </c>
    </row>
    <row r="14" spans="1:4">
      <c r="C14" s="18"/>
    </row>
    <row r="15" spans="1:4">
      <c r="D15" s="39" t="s">
        <v>84</v>
      </c>
    </row>
    <row r="16" spans="1:4">
      <c r="D16" s="8"/>
    </row>
    <row r="17" spans="3:5">
      <c r="D17" s="20" t="s">
        <v>85</v>
      </c>
    </row>
    <row r="18" spans="3:5">
      <c r="D18" s="8"/>
    </row>
    <row r="19" spans="3:5">
      <c r="D19" s="20" t="s">
        <v>86</v>
      </c>
    </row>
    <row r="20" spans="3:5">
      <c r="D20" s="8"/>
    </row>
    <row r="21" spans="3:5">
      <c r="D21" s="20" t="s">
        <v>87</v>
      </c>
    </row>
    <row r="22" spans="3:5">
      <c r="D22" s="8"/>
    </row>
    <row r="23" spans="3:5">
      <c r="D23" s="20" t="s">
        <v>88</v>
      </c>
    </row>
    <row r="25" spans="3:5" ht="18.75">
      <c r="C25" s="37" t="s">
        <v>103</v>
      </c>
    </row>
    <row r="27" spans="3:5" ht="18">
      <c r="C27" s="7" t="s">
        <v>90</v>
      </c>
    </row>
    <row r="29" spans="3:5" ht="15.75">
      <c r="D29" s="2" t="s">
        <v>91</v>
      </c>
      <c r="E29" s="2" t="s">
        <v>12</v>
      </c>
    </row>
    <row r="30" spans="3:5">
      <c r="D30" s="3">
        <v>15</v>
      </c>
      <c r="E30" s="3">
        <v>0.5</v>
      </c>
    </row>
    <row r="32" spans="3:5">
      <c r="C32" t="s">
        <v>93</v>
      </c>
    </row>
    <row r="34" spans="3:5">
      <c r="D34" s="40" t="s">
        <v>80</v>
      </c>
      <c r="E34">
        <f>_xlfn.BINOM.DIST(7,15,0.5,TRUE)</f>
        <v>0.5</v>
      </c>
    </row>
    <row r="36" spans="3:5">
      <c r="C36" t="s">
        <v>94</v>
      </c>
    </row>
    <row r="38" spans="3:5">
      <c r="D38" s="40" t="s">
        <v>80</v>
      </c>
      <c r="E38">
        <f>1-$E$34</f>
        <v>0.5</v>
      </c>
    </row>
    <row r="39" spans="3:5">
      <c r="D39" s="25" t="s">
        <v>95</v>
      </c>
    </row>
    <row r="41" spans="3:5">
      <c r="D41" s="40" t="s">
        <v>80</v>
      </c>
      <c r="E41">
        <f>1-_xlfn.BINOM.DIST(7,15,0.5,TRUE)</f>
        <v>0.5</v>
      </c>
    </row>
    <row r="43" spans="3:5">
      <c r="C43" t="s">
        <v>96</v>
      </c>
    </row>
    <row r="46" spans="3:5">
      <c r="D46" t="s">
        <v>97</v>
      </c>
    </row>
    <row r="48" spans="3:5" ht="18.75">
      <c r="C48" s="37" t="s">
        <v>102</v>
      </c>
    </row>
    <row r="49" spans="3:6">
      <c r="C49" s="8"/>
    </row>
    <row r="50" spans="3:6">
      <c r="D50" s="8" t="s">
        <v>98</v>
      </c>
    </row>
    <row r="51" spans="3:6">
      <c r="D51" s="8"/>
    </row>
    <row r="52" spans="3:6">
      <c r="D52" s="8" t="s">
        <v>99</v>
      </c>
    </row>
    <row r="53" spans="3:6">
      <c r="D53" s="8"/>
    </row>
    <row r="54" spans="3:6">
      <c r="D54" s="8" t="s">
        <v>100</v>
      </c>
    </row>
    <row r="55" spans="3:6">
      <c r="D55" s="8"/>
    </row>
    <row r="56" spans="3:6">
      <c r="D56" s="8" t="s">
        <v>101</v>
      </c>
    </row>
    <row r="58" spans="3:6">
      <c r="E58" s="22" t="s">
        <v>104</v>
      </c>
      <c r="F58" s="22" t="s">
        <v>105</v>
      </c>
    </row>
    <row r="59" spans="3:6">
      <c r="E59" s="22" t="s">
        <v>106</v>
      </c>
      <c r="F59" s="41">
        <f>_xlfn.BINOM.DIST(7,15,0.5,TRUE)</f>
        <v>0.5</v>
      </c>
    </row>
    <row r="60" spans="3:6">
      <c r="E60" s="22" t="s">
        <v>107</v>
      </c>
      <c r="F60" s="41">
        <f>1-_xlfn.BINOM.DIST(7,15,0.5,TRUE)</f>
        <v>0.5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0902-2694-4C02-9E57-303BEED49EEA}">
  <dimension ref="A2:G79"/>
  <sheetViews>
    <sheetView workbookViewId="0">
      <selection activeCell="B2" sqref="B2"/>
    </sheetView>
  </sheetViews>
  <sheetFormatPr defaultRowHeight="15"/>
  <cols>
    <col min="4" max="4" width="22.5703125" customWidth="1"/>
    <col min="5" max="5" width="31.42578125" customWidth="1"/>
  </cols>
  <sheetData>
    <row r="2" spans="1:4" ht="21">
      <c r="A2" s="1" t="s">
        <v>0</v>
      </c>
      <c r="B2" s="1" t="s">
        <v>9</v>
      </c>
    </row>
    <row r="6" spans="1:4" ht="21">
      <c r="A6" s="1" t="s">
        <v>1</v>
      </c>
    </row>
    <row r="7" spans="1:4">
      <c r="B7" t="s">
        <v>122</v>
      </c>
    </row>
    <row r="8" spans="1:4">
      <c r="B8" t="s">
        <v>123</v>
      </c>
    </row>
    <row r="11" spans="1:4">
      <c r="B11" t="s">
        <v>108</v>
      </c>
    </row>
    <row r="13" spans="1:4">
      <c r="C13" s="25" t="s">
        <v>109</v>
      </c>
    </row>
    <row r="15" spans="1:4">
      <c r="D15" t="s">
        <v>110</v>
      </c>
    </row>
    <row r="17" spans="3:4">
      <c r="D17" t="s">
        <v>111</v>
      </c>
    </row>
    <row r="19" spans="3:4">
      <c r="D19" t="s">
        <v>112</v>
      </c>
    </row>
    <row r="21" spans="3:4">
      <c r="D21" t="s">
        <v>113</v>
      </c>
    </row>
    <row r="22" spans="3:4">
      <c r="D22" t="s">
        <v>114</v>
      </c>
    </row>
    <row r="26" spans="3:4">
      <c r="C26" s="25" t="s">
        <v>115</v>
      </c>
    </row>
    <row r="28" spans="3:4">
      <c r="D28" t="s">
        <v>116</v>
      </c>
    </row>
    <row r="30" spans="3:4">
      <c r="D30" t="s">
        <v>117</v>
      </c>
    </row>
    <row r="32" spans="3:4">
      <c r="D32" t="s">
        <v>118</v>
      </c>
    </row>
    <row r="36" spans="2:4">
      <c r="C36" s="25" t="s">
        <v>119</v>
      </c>
    </row>
    <row r="38" spans="2:4">
      <c r="D38" t="s">
        <v>120</v>
      </c>
    </row>
    <row r="40" spans="2:4">
      <c r="D40" t="s">
        <v>121</v>
      </c>
    </row>
    <row r="43" spans="2:4" ht="18">
      <c r="B43" s="7" t="s">
        <v>124</v>
      </c>
    </row>
    <row r="45" spans="2:4" ht="15.75">
      <c r="C45" s="35" t="s">
        <v>125</v>
      </c>
    </row>
    <row r="46" spans="2:4">
      <c r="C46" s="21">
        <v>10</v>
      </c>
    </row>
    <row r="47" spans="2:4">
      <c r="C47" s="21">
        <v>20</v>
      </c>
    </row>
    <row r="48" spans="2:4">
      <c r="C48" s="21">
        <v>50</v>
      </c>
    </row>
    <row r="49" spans="2:7">
      <c r="C49" s="21">
        <v>200</v>
      </c>
    </row>
    <row r="50" spans="2:7">
      <c r="C50" s="21">
        <v>1000</v>
      </c>
    </row>
    <row r="52" spans="2:7" ht="18">
      <c r="B52" s="7" t="s">
        <v>126</v>
      </c>
    </row>
    <row r="54" spans="2:7" ht="15.75">
      <c r="C54" s="35" t="s">
        <v>127</v>
      </c>
      <c r="D54" s="35" t="s">
        <v>128</v>
      </c>
    </row>
    <row r="55" spans="2:7">
      <c r="C55" s="21">
        <v>10</v>
      </c>
      <c r="D55" s="43">
        <f>LOG($C55)</f>
        <v>1</v>
      </c>
      <c r="E55" s="12"/>
    </row>
    <row r="56" spans="2:7">
      <c r="C56" s="21">
        <v>20</v>
      </c>
      <c r="D56" s="43">
        <f t="shared" ref="D56:D59" si="0">LOG($C56)</f>
        <v>1.3010299956639813</v>
      </c>
      <c r="E56" s="12"/>
    </row>
    <row r="57" spans="2:7">
      <c r="C57" s="21">
        <v>50</v>
      </c>
      <c r="D57" s="43">
        <f t="shared" si="0"/>
        <v>1.6989700043360187</v>
      </c>
      <c r="E57" s="12"/>
    </row>
    <row r="58" spans="2:7">
      <c r="C58" s="21">
        <v>200</v>
      </c>
      <c r="D58" s="43">
        <f t="shared" si="0"/>
        <v>2.3010299956639813</v>
      </c>
      <c r="E58" s="12"/>
      <c r="G58" s="12"/>
    </row>
    <row r="59" spans="2:7">
      <c r="C59" s="21">
        <v>1000</v>
      </c>
      <c r="D59" s="43">
        <f t="shared" si="0"/>
        <v>3</v>
      </c>
      <c r="E59" s="12"/>
      <c r="G59" s="12"/>
    </row>
    <row r="60" spans="2:7">
      <c r="G60" s="12"/>
    </row>
    <row r="61" spans="2:7" ht="18">
      <c r="B61" s="7" t="s">
        <v>129</v>
      </c>
      <c r="G61" s="12"/>
    </row>
    <row r="62" spans="2:7">
      <c r="B62" s="8"/>
      <c r="G62" s="12"/>
    </row>
    <row r="63" spans="2:7">
      <c r="C63" s="8" t="s">
        <v>130</v>
      </c>
    </row>
    <row r="64" spans="2:7">
      <c r="C64" s="8"/>
    </row>
    <row r="65" spans="2:5">
      <c r="C65" s="8" t="s">
        <v>131</v>
      </c>
    </row>
    <row r="66" spans="2:5">
      <c r="C66" s="8"/>
    </row>
    <row r="67" spans="2:5">
      <c r="C67" s="8" t="s">
        <v>132</v>
      </c>
    </row>
    <row r="68" spans="2:5">
      <c r="C68" s="8"/>
    </row>
    <row r="69" spans="2:5">
      <c r="C69" s="8" t="s">
        <v>133</v>
      </c>
    </row>
    <row r="71" spans="2:5">
      <c r="C71" t="s">
        <v>134</v>
      </c>
    </row>
    <row r="73" spans="2:5">
      <c r="D73" s="22" t="s">
        <v>135</v>
      </c>
      <c r="E73" s="22" t="s">
        <v>136</v>
      </c>
    </row>
    <row r="74" spans="2:5">
      <c r="D74" s="42" t="s">
        <v>137</v>
      </c>
      <c r="E74" s="42" t="s">
        <v>138</v>
      </c>
    </row>
    <row r="75" spans="2:5">
      <c r="D75" s="42" t="s">
        <v>139</v>
      </c>
      <c r="E75" s="42" t="s">
        <v>140</v>
      </c>
    </row>
    <row r="76" spans="2:5">
      <c r="D76" s="42" t="s">
        <v>141</v>
      </c>
      <c r="E76" s="42" t="s">
        <v>142</v>
      </c>
    </row>
    <row r="77" spans="2:5">
      <c r="D77" s="42" t="s">
        <v>143</v>
      </c>
      <c r="E77" s="42" t="s">
        <v>144</v>
      </c>
    </row>
    <row r="79" spans="2:5">
      <c r="B79" s="2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 Singha</cp:lastModifiedBy>
  <dcterms:created xsi:type="dcterms:W3CDTF">2015-06-05T18:17:20Z</dcterms:created>
  <dcterms:modified xsi:type="dcterms:W3CDTF">2026-01-04T03:39:59Z</dcterms:modified>
</cp:coreProperties>
</file>