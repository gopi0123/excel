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A3CF38-CB16-4C6E-BEFD-5C1A76181927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Q1" sheetId="1" r:id="rId1"/>
    <sheet name="Q3" sheetId="3" r:id="rId2"/>
    <sheet name="Q2" sheetId="2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F9" i="1"/>
  <c r="H9" i="1"/>
  <c r="H9" i="10"/>
  <c r="J9" i="10"/>
  <c r="I9" i="10"/>
  <c r="G9" i="10"/>
  <c r="F9" i="10"/>
  <c r="G8" i="9"/>
  <c r="F8" i="9"/>
  <c r="G8" i="6"/>
  <c r="F8" i="6"/>
  <c r="H8" i="6" s="1"/>
  <c r="G8" i="5"/>
  <c r="F8" i="5"/>
  <c r="H8" i="5" s="1"/>
  <c r="F8" i="4"/>
  <c r="E8" i="4"/>
  <c r="F9" i="3"/>
  <c r="F9" i="2"/>
</calcChain>
</file>

<file path=xl/sharedStrings.xml><?xml version="1.0" encoding="utf-8"?>
<sst xmlns="http://schemas.openxmlformats.org/spreadsheetml/2006/main" count="273" uniqueCount="239">
  <si>
    <t>Understanding Central Tendency (Easy)</t>
  </si>
  <si>
    <t>A bakery tracks the daily sales of muffins (in dozens) over a week: [10, 12, 11, 15, 14, 13, 12].</t>
  </si>
  <si>
    <t>What is the most representative value of their weekly sales, and why?</t>
  </si>
  <si>
    <t>Q)</t>
  </si>
  <si>
    <t>ANS</t>
  </si>
  <si>
    <t>Mean in Real Life (Easy)</t>
  </si>
  <si>
    <t>A teacher records the marks of her students in a short quiz: [12, 15, 14, 16, 18, 20, 19].</t>
  </si>
  <si>
    <t>What is the mean score, and what does it tell us about the class’s performance?</t>
  </si>
  <si>
    <t>Mode in Real Life (Easy)</t>
  </si>
  <si>
    <t>A store records the shoe sizes sold in one day: [7, 8, 9, 8, 8, 10, 7, 9].</t>
  </si>
  <si>
    <t>What is the mode, and why is this information useful for the store manager?</t>
  </si>
  <si>
    <t>Median in Real Life (Medium)</t>
  </si>
  <si>
    <t>A car dealer notes the prices of used cars: [$8,000, $9,500, $10,200, $11,000, $50,000].</t>
  </si>
  <si>
    <t>Why is the median a better measure than the mean in this case? Calculate the median.</t>
  </si>
  <si>
    <t>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</si>
  <si>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</si>
  <si>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</si>
  <si>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Range in Action (Medium)</t>
  </si>
  <si>
    <t>A farmer records the weekly weight of harvested apples (kg): [100, 105, 98, 110, 120].</t>
  </si>
  <si>
    <t>Find the range. How can this help the farmer in planning his packaging?</t>
  </si>
  <si>
    <t>Variance for Decision-Making (Medium)</t>
  </si>
  <si>
    <t>Two delivery companies track delivery delays (in minutes).</t>
  </si>
  <si>
    <t>• Company A: variance = 6</t>
  </si>
  <si>
    <t>• Company B: variance = 15</t>
  </si>
  <si>
    <t>Which company is more consistent, and why?</t>
  </si>
  <si>
    <t>Standard Deviation in Context (Hard)</t>
  </si>
  <si>
    <t>A finance student compares the daily price fluctuations of two cryptocurrencies.</t>
  </si>
  <si>
    <t>Which coin is riskier to invest in, and why?</t>
  </si>
  <si>
    <t>• Coin B: standard deviation = $120</t>
  </si>
  <si>
    <t>• Coin A: standard deviation = $30</t>
  </si>
  <si>
    <t>Combining Measures (Hard)</t>
  </si>
  <si>
    <t>Find the mean and standard deviation. What do these values together tell you about the family’s energy use pattern?</t>
  </si>
  <si>
    <t>Practical Application (Hard)</t>
  </si>
  <si>
    <t>A basketball player’s points in 8 games are recorded: [15, 18, 20, 22, 25, 17, 19, 21].</t>
  </si>
  <si>
    <t xml:space="preserve">Find the mean, median, mode, range, and standard deviation. What insights can these measures provide </t>
  </si>
  <si>
    <t>about the player’s scoring performance?</t>
  </si>
  <si>
    <t>Day</t>
  </si>
  <si>
    <t>Muffins Sold</t>
  </si>
  <si>
    <t>Day 1</t>
  </si>
  <si>
    <t>Day 2</t>
  </si>
  <si>
    <t>Day 3</t>
  </si>
  <si>
    <t>Day 4</t>
  </si>
  <si>
    <t>Day 5</t>
  </si>
  <si>
    <t>Day 6</t>
  </si>
  <si>
    <t>The median (12) is the most representative here because:</t>
  </si>
  <si>
    <t>It’s not skewed by the slightly higher sales (15) or lower sales (10).</t>
  </si>
  <si>
    <t>It matches the mode, reinforcing that 12 dozens is the most typical daily sale.</t>
  </si>
  <si>
    <t>The mean (12.4) is very close, but since sales are discrete (whole dozens), 12 is more practical and interpretable.</t>
  </si>
  <si>
    <t>🎯 Final Answer</t>
  </si>
  <si>
    <t>The most representative value of weekly muffin sales is 12 dozens per day, because it reflects both the median and mode, making it the most typical daily sales figure.</t>
  </si>
  <si>
    <t>Mean</t>
  </si>
  <si>
    <t>Median</t>
  </si>
  <si>
    <t>Mode</t>
  </si>
  <si>
    <t>•  Final Answer</t>
  </si>
  <si>
    <t>Student</t>
  </si>
  <si>
    <t>Marks</t>
  </si>
  <si>
    <t>S1</t>
  </si>
  <si>
    <t>S2</t>
  </si>
  <si>
    <t>S3</t>
  </si>
  <si>
    <t>S4</t>
  </si>
  <si>
    <t>S5</t>
  </si>
  <si>
    <t>S6</t>
  </si>
  <si>
    <t>S7</t>
  </si>
  <si>
    <t>Mean Score</t>
  </si>
  <si>
    <r>
      <t xml:space="preserve">The </t>
    </r>
    <r>
      <rPr>
        <b/>
        <sz val="11"/>
        <color theme="1"/>
        <rFont val="Calibri"/>
        <family val="2"/>
        <scheme val="minor"/>
      </rPr>
      <t>mean score (16.29)</t>
    </r>
    <r>
      <rPr>
        <sz val="11"/>
        <color theme="1"/>
        <rFont val="Calibri"/>
        <family val="2"/>
        <scheme val="minor"/>
      </rPr>
      <t xml:space="preserve"> represents the </t>
    </r>
    <r>
      <rPr>
        <b/>
        <sz val="11"/>
        <color theme="1"/>
        <rFont val="Calibri"/>
        <family val="2"/>
        <scheme val="minor"/>
      </rPr>
      <t>average performance</t>
    </r>
    <r>
      <rPr>
        <sz val="11"/>
        <color theme="1"/>
        <rFont val="Calibri"/>
        <family val="2"/>
        <scheme val="minor"/>
      </rPr>
      <t xml:space="preserve"> of the class.</t>
    </r>
  </si>
  <si>
    <r>
      <t xml:space="preserve">It means that, overall, students scored </t>
    </r>
    <r>
      <rPr>
        <b/>
        <sz val="11"/>
        <color theme="1"/>
        <rFont val="Calibri"/>
        <family val="2"/>
        <scheme val="minor"/>
      </rPr>
      <t>around 16 marks</t>
    </r>
    <r>
      <rPr>
        <sz val="11"/>
        <color theme="1"/>
        <rFont val="Calibri"/>
        <family val="2"/>
        <scheme val="minor"/>
      </rPr>
      <t xml:space="preserve"> in the quiz.</t>
    </r>
  </si>
  <si>
    <r>
      <t xml:space="preserve">Since most scores are close to the mean, the class performance is </t>
    </r>
    <r>
      <rPr>
        <b/>
        <sz val="11"/>
        <color theme="1"/>
        <rFont val="Calibri"/>
        <family val="2"/>
        <scheme val="minor"/>
      </rPr>
      <t>fairly consistent</t>
    </r>
    <r>
      <rPr>
        <sz val="11"/>
        <color theme="1"/>
        <rFont val="Calibri"/>
        <family val="2"/>
        <scheme val="minor"/>
      </rPr>
      <t>.</t>
    </r>
  </si>
  <si>
    <r>
      <t xml:space="preserve">The mean helps the teacher quickly understand </t>
    </r>
    <r>
      <rPr>
        <b/>
        <sz val="11"/>
        <color theme="1"/>
        <rFont val="Calibri"/>
        <family val="2"/>
        <scheme val="minor"/>
      </rPr>
      <t>how well the class performed as a whole</t>
    </r>
    <r>
      <rPr>
        <sz val="11"/>
        <color theme="1"/>
        <rFont val="Calibri"/>
        <family val="2"/>
        <scheme val="minor"/>
      </rPr>
      <t>.</t>
    </r>
  </si>
  <si>
    <t>Sale no.</t>
  </si>
  <si>
    <t>Shoe size</t>
  </si>
  <si>
    <t>For the store manager, this is practical because:</t>
  </si>
  <si>
    <r>
      <t xml:space="preserve">The </t>
    </r>
    <r>
      <rPr>
        <b/>
        <sz val="11"/>
        <color rgb="FF000000"/>
        <rFont val="Aptos Narrow"/>
        <family val="2"/>
      </rPr>
      <t>mode is 8</t>
    </r>
    <r>
      <rPr>
        <sz val="11"/>
        <color theme="1"/>
        <rFont val="Calibri"/>
        <family val="2"/>
        <scheme val="minor"/>
      </rPr>
      <t xml:space="preserve">, and this tells the store manager that </t>
    </r>
    <r>
      <rPr>
        <b/>
        <sz val="11"/>
        <color rgb="FF000000"/>
        <rFont val="Aptos Narrow"/>
        <family val="2"/>
      </rPr>
      <t>size 8 is the most in-demand shoe size</t>
    </r>
    <r>
      <rPr>
        <sz val="11"/>
        <color theme="1"/>
        <rFont val="Calibri"/>
        <family val="2"/>
        <scheme val="minor"/>
      </rPr>
      <t>, so they should prioritize stocking it to meet customer needs and maximize sales.</t>
    </r>
  </si>
  <si>
    <r>
      <t xml:space="preserve">        Guides </t>
    </r>
    <r>
      <rPr>
        <b/>
        <sz val="11"/>
        <color rgb="FF000000"/>
        <rFont val="Aptos Narrow"/>
        <family val="2"/>
      </rPr>
      <t>future purchasing decisions</t>
    </r>
    <r>
      <rPr>
        <sz val="11"/>
        <color theme="1"/>
        <rFont val="Calibri"/>
        <family val="2"/>
        <scheme val="minor"/>
      </rPr>
      <t xml:space="preserve"> → order more of size 8 to match customer demand.</t>
    </r>
  </si>
  <si>
    <r>
      <t xml:space="preserve">        Improves </t>
    </r>
    <r>
      <rPr>
        <b/>
        <sz val="11"/>
        <color rgb="FF000000"/>
        <rFont val="Aptos Narrow"/>
        <family val="2"/>
      </rPr>
      <t>sales efficiency</t>
    </r>
    <r>
      <rPr>
        <sz val="11"/>
        <color theme="1"/>
        <rFont val="Calibri"/>
        <family val="2"/>
        <scheme val="minor"/>
      </rPr>
      <t xml:space="preserve"> → reduces chances of running out of the most demanded size.</t>
    </r>
  </si>
  <si>
    <r>
      <t xml:space="preserve">        Helps in </t>
    </r>
    <r>
      <rPr>
        <b/>
        <sz val="11"/>
        <color rgb="FF000000"/>
        <rFont val="Aptos Narrow"/>
        <family val="2"/>
      </rPr>
      <t>stock management</t>
    </r>
    <r>
      <rPr>
        <sz val="11"/>
        <color theme="1"/>
        <rFont val="Calibri"/>
        <family val="2"/>
        <scheme val="minor"/>
      </rPr>
      <t xml:space="preserve"> → keep more size 8 shoes in inventory.</t>
    </r>
  </si>
  <si>
    <t>🔹 Step 1: Understand Standard Deviation</t>
  </si>
  <si>
    <r>
      <t xml:space="preserve">In Excel, </t>
    </r>
    <r>
      <rPr>
        <b/>
        <sz val="11"/>
        <color theme="1"/>
        <rFont val="Calibri"/>
        <family val="2"/>
        <scheme val="minor"/>
      </rPr>
      <t>standard deviation</t>
    </r>
    <r>
      <rPr>
        <sz val="11"/>
        <color theme="1"/>
        <rFont val="Calibri"/>
        <family val="2"/>
        <scheme val="minor"/>
      </rPr>
      <t xml:space="preserve"> shows how much daily prices move away from the </t>
    </r>
    <r>
      <rPr>
        <b/>
        <sz val="11"/>
        <color theme="1"/>
        <rFont val="Calibri"/>
        <family val="2"/>
        <scheme val="minor"/>
      </rPr>
      <t>average price</t>
    </r>
    <r>
      <rPr>
        <sz val="11"/>
        <color theme="1"/>
        <rFont val="Calibri"/>
        <family val="2"/>
        <scheme val="minor"/>
      </rPr>
      <t>.</t>
    </r>
  </si>
  <si>
    <r>
      <t>Lower SD</t>
    </r>
    <r>
      <rPr>
        <sz val="11"/>
        <color theme="1"/>
        <rFont val="Calibri"/>
        <family val="2"/>
        <scheme val="minor"/>
      </rPr>
      <t xml:space="preserve"> → Stable prices → Lower risk</t>
    </r>
  </si>
  <si>
    <r>
      <t>Higher SD</t>
    </r>
    <r>
      <rPr>
        <sz val="11"/>
        <color theme="1"/>
        <rFont val="Calibri"/>
        <family val="2"/>
        <scheme val="minor"/>
      </rPr>
      <t xml:space="preserve"> → Large price swings → Higher risk</t>
    </r>
  </si>
  <si>
    <t>🔹 Step 5: Compare Standard Deviations</t>
  </si>
  <si>
    <t>Coin</t>
  </si>
  <si>
    <t>Standard Deviation ($)</t>
  </si>
  <si>
    <t>Coin A</t>
  </si>
  <si>
    <t>Coin B</t>
  </si>
  <si>
    <t>🔹 Step 6: Interpret Results (Very Important)</t>
  </si>
  <si>
    <t>🔸 Coin A (SD = $30)</t>
  </si>
  <si>
    <r>
      <t xml:space="preserve">Prices usually change by </t>
    </r>
    <r>
      <rPr>
        <b/>
        <sz val="11"/>
        <color theme="1"/>
        <rFont val="Calibri"/>
        <family val="2"/>
        <scheme val="minor"/>
      </rPr>
      <t>±$30</t>
    </r>
    <r>
      <rPr>
        <sz val="11"/>
        <color theme="1"/>
        <rFont val="Calibri"/>
        <family val="2"/>
        <scheme val="minor"/>
      </rPr>
      <t xml:space="preserve"> from the average.</t>
    </r>
  </si>
  <si>
    <t>Small ups and downs in Excel charts.</t>
  </si>
  <si>
    <r>
      <t>More stable</t>
    </r>
    <r>
      <rPr>
        <sz val="11"/>
        <color theme="1"/>
        <rFont val="Calibri"/>
        <family val="2"/>
        <scheme val="minor"/>
      </rPr>
      <t>.</t>
    </r>
  </si>
  <si>
    <r>
      <t>Lower investment risk</t>
    </r>
    <r>
      <rPr>
        <sz val="11"/>
        <color theme="1"/>
        <rFont val="Calibri"/>
        <family val="2"/>
        <scheme val="minor"/>
      </rPr>
      <t>.</t>
    </r>
  </si>
  <si>
    <t>🔸 Coin B (SD = $120)</t>
  </si>
  <si>
    <r>
      <t xml:space="preserve">Prices change by </t>
    </r>
    <r>
      <rPr>
        <b/>
        <sz val="11"/>
        <color theme="1"/>
        <rFont val="Calibri"/>
        <family val="2"/>
        <scheme val="minor"/>
      </rPr>
      <t>±$120</t>
    </r>
    <r>
      <rPr>
        <sz val="11"/>
        <color theme="1"/>
        <rFont val="Calibri"/>
        <family val="2"/>
        <scheme val="minor"/>
      </rPr>
      <t xml:space="preserve"> from the average.</t>
    </r>
  </si>
  <si>
    <t>Large spikes and drops in Excel charts.</t>
  </si>
  <si>
    <r>
      <t>Highly volatile</t>
    </r>
    <r>
      <rPr>
        <sz val="11"/>
        <color theme="1"/>
        <rFont val="Calibri"/>
        <family val="2"/>
        <scheme val="minor"/>
      </rPr>
      <t>.</t>
    </r>
  </si>
  <si>
    <r>
      <t>Higher investment risk</t>
    </r>
    <r>
      <rPr>
        <sz val="11"/>
        <color theme="1"/>
        <rFont val="Calibri"/>
        <family val="2"/>
        <scheme val="minor"/>
      </rPr>
      <t>.</t>
    </r>
  </si>
  <si>
    <t>🔹 Step 7: Final Answer</t>
  </si>
  <si>
    <t>✅ Coin B is riskier to invest in</t>
  </si>
  <si>
    <t>📌 Why?</t>
  </si>
  <si>
    <r>
      <t xml:space="preserve">Coin B has a </t>
    </r>
    <r>
      <rPr>
        <b/>
        <sz val="11"/>
        <color theme="1"/>
        <rFont val="Calibri"/>
        <family val="2"/>
        <scheme val="minor"/>
      </rPr>
      <t>much higher standard deviation</t>
    </r>
    <r>
      <rPr>
        <sz val="11"/>
        <color theme="1"/>
        <rFont val="Calibri"/>
        <family val="2"/>
        <scheme val="minor"/>
      </rPr>
      <t>.</t>
    </r>
  </si>
  <si>
    <r>
      <t xml:space="preserve">Higher standard deviation means </t>
    </r>
    <r>
      <rPr>
        <b/>
        <sz val="11"/>
        <color theme="1"/>
        <rFont val="Calibri"/>
        <family val="2"/>
        <scheme val="minor"/>
      </rPr>
      <t>greater price fluctuations</t>
    </r>
    <r>
      <rPr>
        <sz val="11"/>
        <color theme="1"/>
        <rFont val="Calibri"/>
        <family val="2"/>
        <scheme val="minor"/>
      </rPr>
      <t>.</t>
    </r>
  </si>
  <si>
    <r>
      <t xml:space="preserve">Greater fluctuations increase the </t>
    </r>
    <r>
      <rPr>
        <b/>
        <sz val="11"/>
        <color theme="1"/>
        <rFont val="Calibri"/>
        <family val="2"/>
        <scheme val="minor"/>
      </rPr>
      <t>chance of losses</t>
    </r>
    <r>
      <rPr>
        <sz val="11"/>
        <color theme="1"/>
        <rFont val="Calibri"/>
        <family val="2"/>
        <scheme val="minor"/>
      </rPr>
      <t>.</t>
    </r>
  </si>
  <si>
    <r>
      <t xml:space="preserve">In Excel-based financial analysis, </t>
    </r>
    <r>
      <rPr>
        <b/>
        <sz val="11"/>
        <color theme="1"/>
        <rFont val="Calibri"/>
        <family val="2"/>
        <scheme val="minor"/>
      </rPr>
      <t>higher volatility = higher risk</t>
    </r>
    <r>
      <rPr>
        <sz val="11"/>
        <color theme="1"/>
        <rFont val="Calibri"/>
        <family val="2"/>
        <scheme val="minor"/>
      </rPr>
      <t>.</t>
    </r>
  </si>
  <si>
    <r>
      <t xml:space="preserve">👉 Since Coin B has a higher standard deviation ($120) than Coin A ($30), Coin B shows greater price volatility and is therefore the </t>
    </r>
    <r>
      <rPr>
        <b/>
        <sz val="11"/>
        <color theme="1"/>
        <rFont val="Calibri"/>
        <family val="2"/>
        <scheme val="minor"/>
      </rPr>
      <t>riskier investment</t>
    </r>
  </si>
  <si>
    <t>• One-Line Exam Answer</t>
  </si>
  <si>
    <t>🔹 Step 1: Understand Variance</t>
  </si>
  <si>
    <r>
      <t>Variance</t>
    </r>
    <r>
      <rPr>
        <sz val="11"/>
        <color theme="1"/>
        <rFont val="Calibri"/>
        <family val="2"/>
        <scheme val="minor"/>
      </rPr>
      <t xml:space="preserve"> measures how much the data values (delivery delays) spread out from the </t>
    </r>
    <r>
      <rPr>
        <b/>
        <sz val="11"/>
        <color theme="1"/>
        <rFont val="Calibri"/>
        <family val="2"/>
        <scheme val="minor"/>
      </rPr>
      <t>average delay</t>
    </r>
    <r>
      <rPr>
        <sz val="11"/>
        <color theme="1"/>
        <rFont val="Calibri"/>
        <family val="2"/>
        <scheme val="minor"/>
      </rPr>
      <t>.</t>
    </r>
  </si>
  <si>
    <r>
      <t>Low variance</t>
    </r>
    <r>
      <rPr>
        <sz val="11"/>
        <color theme="1"/>
        <rFont val="Calibri"/>
        <family val="2"/>
        <scheme val="minor"/>
      </rPr>
      <t xml:space="preserve"> → Delays are similar each day → More consistent</t>
    </r>
  </si>
  <si>
    <r>
      <t>High variance</t>
    </r>
    <r>
      <rPr>
        <sz val="11"/>
        <color theme="1"/>
        <rFont val="Calibri"/>
        <family val="2"/>
        <scheme val="minor"/>
      </rPr>
      <t xml:space="preserve"> → Delays change a lot → Less consistent</t>
    </r>
  </si>
  <si>
    <t>🔹 Step 2: Given Information</t>
  </si>
  <si>
    <r>
      <t>Company A:</t>
    </r>
    <r>
      <rPr>
        <sz val="11"/>
        <color theme="1"/>
        <rFont val="Calibri"/>
        <family val="2"/>
        <scheme val="minor"/>
      </rPr>
      <t xml:space="preserve"> Variance = </t>
    </r>
    <r>
      <rPr>
        <b/>
        <sz val="11"/>
        <color theme="1"/>
        <rFont val="Calibri"/>
        <family val="2"/>
        <scheme val="minor"/>
      </rPr>
      <t>6</t>
    </r>
  </si>
  <si>
    <r>
      <t>Company B:</t>
    </r>
    <r>
      <rPr>
        <sz val="11"/>
        <color theme="1"/>
        <rFont val="Calibri"/>
        <family val="2"/>
        <scheme val="minor"/>
      </rPr>
      <t xml:space="preserve"> Variance = </t>
    </r>
    <r>
      <rPr>
        <b/>
        <sz val="11"/>
        <color theme="1"/>
        <rFont val="Calibri"/>
        <family val="2"/>
        <scheme val="minor"/>
      </rPr>
      <t>15</t>
    </r>
  </si>
  <si>
    <t>🔹 Step 3: Compare the Variance Values</t>
  </si>
  <si>
    <t>Company</t>
  </si>
  <si>
    <t>Variance</t>
  </si>
  <si>
    <t>Company A</t>
  </si>
  <si>
    <t>Company B</t>
  </si>
  <si>
    <r>
      <t xml:space="preserve">Company A’s variance is </t>
    </r>
    <r>
      <rPr>
        <b/>
        <sz val="11"/>
        <color theme="1"/>
        <rFont val="Calibri"/>
        <family val="2"/>
        <scheme val="minor"/>
      </rPr>
      <t>smaller</t>
    </r>
    <r>
      <rPr>
        <sz val="11"/>
        <color theme="1"/>
        <rFont val="Calibri"/>
        <family val="2"/>
        <scheme val="minor"/>
      </rPr>
      <t xml:space="preserve"> than Company B’s.</t>
    </r>
  </si>
  <si>
    <r>
      <t xml:space="preserve">This means Company A’s delivery delays are </t>
    </r>
    <r>
      <rPr>
        <b/>
        <sz val="11"/>
        <color theme="1"/>
        <rFont val="Calibri"/>
        <family val="2"/>
        <scheme val="minor"/>
      </rPr>
      <t>less spread out</t>
    </r>
    <r>
      <rPr>
        <sz val="11"/>
        <color theme="1"/>
        <rFont val="Calibri"/>
        <family val="2"/>
        <scheme val="minor"/>
      </rPr>
      <t>.</t>
    </r>
  </si>
  <si>
    <t>🔹 Step 4: Interpretation</t>
  </si>
  <si>
    <t>Company A:</t>
  </si>
  <si>
    <t>Delivery delays are more predictable.</t>
  </si>
  <si>
    <t>Time delays stay close to the average.</t>
  </si>
  <si>
    <r>
      <t xml:space="preserve">Shows </t>
    </r>
    <r>
      <rPr>
        <b/>
        <sz val="11"/>
        <color theme="1"/>
        <rFont val="Calibri"/>
        <family val="2"/>
        <scheme val="minor"/>
      </rPr>
      <t>higher consistency</t>
    </r>
    <r>
      <rPr>
        <sz val="11"/>
        <color theme="1"/>
        <rFont val="Calibri"/>
        <family val="2"/>
        <scheme val="minor"/>
      </rPr>
      <t>.</t>
    </r>
  </si>
  <si>
    <t>Company B:</t>
  </si>
  <si>
    <t>Delivery delays vary widely.</t>
  </si>
  <si>
    <t>Less predictable delivery times.</t>
  </si>
  <si>
    <r>
      <t xml:space="preserve">Shows </t>
    </r>
    <r>
      <rPr>
        <b/>
        <sz val="11"/>
        <color theme="1"/>
        <rFont val="Calibri"/>
        <family val="2"/>
        <scheme val="minor"/>
      </rPr>
      <t>lower consistency</t>
    </r>
    <r>
      <rPr>
        <sz val="11"/>
        <color theme="1"/>
        <rFont val="Calibri"/>
        <family val="2"/>
        <scheme val="minor"/>
      </rPr>
      <t>.</t>
    </r>
  </si>
  <si>
    <t>🔹 Step 5: Final Answer</t>
  </si>
  <si>
    <t>✅ Company A is more consistent</t>
  </si>
  <si>
    <r>
      <t xml:space="preserve">Company A has a </t>
    </r>
    <r>
      <rPr>
        <b/>
        <sz val="11"/>
        <color theme="1"/>
        <rFont val="Calibri"/>
        <family val="2"/>
        <scheme val="minor"/>
      </rPr>
      <t>lower variance (6)</t>
    </r>
    <r>
      <rPr>
        <sz val="11"/>
        <color theme="1"/>
        <rFont val="Calibri"/>
        <family val="2"/>
        <scheme val="minor"/>
      </rPr>
      <t>.</t>
    </r>
  </si>
  <si>
    <r>
      <t xml:space="preserve">Lower variance means </t>
    </r>
    <r>
      <rPr>
        <b/>
        <sz val="11"/>
        <color theme="1"/>
        <rFont val="Calibri"/>
        <family val="2"/>
        <scheme val="minor"/>
      </rPr>
      <t>less variation in delivery delays</t>
    </r>
    <r>
      <rPr>
        <sz val="11"/>
        <color theme="1"/>
        <rFont val="Calibri"/>
        <family val="2"/>
        <scheme val="minor"/>
      </rPr>
      <t>.</t>
    </r>
  </si>
  <si>
    <r>
      <t xml:space="preserve">Less variation = </t>
    </r>
    <r>
      <rPr>
        <b/>
        <sz val="11"/>
        <color theme="1"/>
        <rFont val="Calibri"/>
        <family val="2"/>
        <scheme val="minor"/>
      </rPr>
      <t>more reliable and consistent service</t>
    </r>
    <r>
      <rPr>
        <sz val="11"/>
        <color theme="1"/>
        <rFont val="Calibri"/>
        <family val="2"/>
        <scheme val="minor"/>
      </rPr>
      <t>.</t>
    </r>
  </si>
  <si>
    <t>Price</t>
  </si>
  <si>
    <t>Car Number</t>
  </si>
  <si>
    <t>Car 1</t>
  </si>
  <si>
    <t>Car 2</t>
  </si>
  <si>
    <t>Car 3</t>
  </si>
  <si>
    <t>Car 4</t>
  </si>
  <si>
    <t>Car 5</t>
  </si>
  <si>
    <r>
      <t xml:space="preserve">The price </t>
    </r>
    <r>
      <rPr>
        <b/>
        <sz val="11"/>
        <color theme="1"/>
        <rFont val="Calibri"/>
        <family val="2"/>
        <scheme val="minor"/>
      </rPr>
      <t>$50,000</t>
    </r>
    <r>
      <rPr>
        <sz val="11"/>
        <color theme="1"/>
        <rFont val="Calibri"/>
        <family val="2"/>
        <scheme val="minor"/>
      </rPr>
      <t xml:space="preserve"> is an </t>
    </r>
    <r>
      <rPr>
        <b/>
        <sz val="11"/>
        <color theme="1"/>
        <rFont val="Calibri"/>
        <family val="2"/>
        <scheme val="minor"/>
      </rPr>
      <t>outlier</t>
    </r>
    <r>
      <rPr>
        <sz val="11"/>
        <color theme="1"/>
        <rFont val="Calibri"/>
        <family val="2"/>
        <scheme val="minor"/>
      </rPr>
      <t xml:space="preserve"> (much higher than the others).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</si>
  <si>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mean (average)</t>
    </r>
    <r>
      <rPr>
        <sz val="11"/>
        <color theme="1"/>
        <rFont val="Calibri"/>
        <family val="2"/>
        <scheme val="minor"/>
      </rPr>
      <t xml:space="preserve"> would be pulled upward by this very high value.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</si>
  <si>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not affected by extreme values</t>
    </r>
    <r>
      <rPr>
        <sz val="11"/>
        <color theme="1"/>
        <rFont val="Calibri"/>
        <family val="2"/>
        <scheme val="minor"/>
      </rPr>
      <t xml:space="preserve">, so it better represents a </t>
    </r>
    <r>
      <rPr>
        <b/>
        <sz val="11"/>
        <color theme="1"/>
        <rFont val="Calibri"/>
        <family val="2"/>
        <scheme val="minor"/>
      </rPr>
      <t>typical used car price</t>
    </r>
    <r>
      <rPr>
        <sz val="11"/>
        <color theme="1"/>
        <rFont val="Calibri"/>
        <family val="2"/>
        <scheme val="minor"/>
      </rPr>
      <t>.</t>
    </r>
  </si>
  <si>
    <r>
      <t xml:space="preserve">👉 Most cars are priced around </t>
    </r>
    <r>
      <rPr>
        <b/>
        <sz val="11"/>
        <color theme="1"/>
        <rFont val="Calibri"/>
        <family val="2"/>
        <scheme val="minor"/>
      </rPr>
      <t>$8,000–$11,000</t>
    </r>
    <r>
      <rPr>
        <sz val="11"/>
        <color theme="1"/>
        <rFont val="Calibri"/>
        <family val="2"/>
        <scheme val="minor"/>
      </rPr>
      <t>, not near $50,000.</t>
    </r>
  </si>
  <si>
    <t>✅ Final Answer</t>
  </si>
  <si>
    <t>Median price = $10,200</t>
  </si>
  <si>
    <r>
      <t xml:space="preserve">The </t>
    </r>
    <r>
      <rPr>
        <b/>
        <sz val="11"/>
        <color theme="1"/>
        <rFont val="Calibri"/>
        <family val="2"/>
        <scheme val="minor"/>
      </rPr>
      <t>median is a better measure</t>
    </r>
    <r>
      <rPr>
        <sz val="11"/>
        <color theme="1"/>
        <rFont val="Calibri"/>
        <family val="2"/>
        <scheme val="minor"/>
      </rPr>
      <t xml:space="preserve"> because it ignores the effect of the extremely high-priced car and gives a more realistic idea of typical used car prices.</t>
    </r>
  </si>
  <si>
    <t>Why is the Median Better than the Mean?</t>
  </si>
  <si>
    <t>Days</t>
  </si>
  <si>
    <t>The range is the difference between the maximum and minimum values.</t>
  </si>
  <si>
    <t>Maximum time = 40 minutes</t>
  </si>
  <si>
    <t>Minimum time = 25 minutes</t>
  </si>
  <si>
    <t>Range = 40-25=15 minutes</t>
  </si>
  <si>
    <t>Step 2: Interpret the Range</t>
  </si>
  <si>
    <t>The range tells us the spread of the data — how much the times vary from the shortest to the longest.</t>
  </si>
  <si>
    <t>In this case, the student’s puzzle-solving times vary by 15 minutes.</t>
  </si>
  <si>
    <t>Step 3: Meaning of the Variation</t>
  </si>
  <si>
    <t>A range of 15 minutes means that on some days the student is much faster (25 minutes), while on other days they take significantly longer (40 minutes).</t>
  </si>
  <si>
    <t>This shows there is moderate variation in their performance — not completely consistent, but not wildly unpredictable either</t>
  </si>
  <si>
    <t>Max</t>
  </si>
  <si>
    <t>Min</t>
  </si>
  <si>
    <t>Range(Max-Min)</t>
  </si>
  <si>
    <t>Weeks</t>
  </si>
  <si>
    <t>Harvest (kg)</t>
  </si>
  <si>
    <t>Range=Maximum−Minimum=120−98=22 kg</t>
  </si>
  <si>
    <r>
      <t xml:space="preserve">The harvest can vary by </t>
    </r>
    <r>
      <rPr>
        <b/>
        <sz val="11"/>
        <color theme="1"/>
        <rFont val="Calibri"/>
        <family val="2"/>
        <scheme val="minor"/>
      </rPr>
      <t>22 kg</t>
    </r>
    <r>
      <rPr>
        <sz val="11"/>
        <color theme="1"/>
        <rFont val="Calibri"/>
        <family val="2"/>
        <scheme val="minor"/>
      </rPr>
      <t xml:space="preserve"> from week to week.</t>
    </r>
  </si>
  <si>
    <r>
      <t xml:space="preserve">The farmer should </t>
    </r>
    <r>
      <rPr>
        <b/>
        <sz val="11"/>
        <color theme="1"/>
        <rFont val="Calibri"/>
        <family val="2"/>
        <scheme val="minor"/>
      </rPr>
      <t>plan packaging capacity</t>
    </r>
    <r>
      <rPr>
        <sz val="11"/>
        <color theme="1"/>
        <rFont val="Calibri"/>
        <family val="2"/>
        <scheme val="minor"/>
      </rPr>
      <t xml:space="preserve"> to handle </t>
    </r>
    <r>
      <rPr>
        <b/>
        <sz val="11"/>
        <color theme="1"/>
        <rFont val="Calibri"/>
        <family val="2"/>
        <scheme val="minor"/>
      </rPr>
      <t>up to 120 kg</t>
    </r>
    <r>
      <rPr>
        <sz val="11"/>
        <color theme="1"/>
        <rFont val="Calibri"/>
        <family val="2"/>
        <scheme val="minor"/>
      </rPr>
      <t xml:space="preserve"> in high-yield weeks.</t>
    </r>
  </si>
  <si>
    <t>Extra crates or storage space may be needed in weeks with larger harvests.</t>
  </si>
  <si>
    <r>
      <t xml:space="preserve">Knowing the range helps avoid </t>
    </r>
    <r>
      <rPr>
        <b/>
        <sz val="11"/>
        <color theme="1"/>
        <rFont val="Calibri"/>
        <family val="2"/>
        <scheme val="minor"/>
      </rPr>
      <t>shortage of boxes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wastage</t>
    </r>
    <r>
      <rPr>
        <sz val="11"/>
        <color theme="1"/>
        <rFont val="Calibri"/>
        <family val="2"/>
        <scheme val="minor"/>
      </rPr>
      <t>.</t>
    </r>
  </si>
  <si>
    <t>• Packaging Planning</t>
  </si>
  <si>
    <t>Range = 22 kg</t>
  </si>
  <si>
    <t>The range shows how much the harvest weight varies, helping the farmer plan flexible and sufficient packaging for both low and high harvest weeks.</t>
  </si>
  <si>
    <t>• Final Answer</t>
  </si>
  <si>
    <t>Electricity Usage</t>
  </si>
  <si>
    <t>Months</t>
  </si>
  <si>
    <t>Average</t>
  </si>
  <si>
    <t>Standard Deviation</t>
  </si>
  <si>
    <t>🔸 What the Mean Tells Us</t>
  </si>
  <si>
    <r>
      <t xml:space="preserve">The family uses </t>
    </r>
    <r>
      <rPr>
        <b/>
        <sz val="11"/>
        <color theme="1"/>
        <rFont val="Calibri"/>
        <family val="2"/>
        <scheme val="minor"/>
      </rPr>
      <t>about 414 kWh per month on average</t>
    </r>
    <r>
      <rPr>
        <sz val="11"/>
        <color theme="1"/>
        <rFont val="Calibri"/>
        <family val="2"/>
        <scheme val="minor"/>
      </rPr>
      <t>.</t>
    </r>
  </si>
  <si>
    <r>
      <t xml:space="preserve">This is their </t>
    </r>
    <r>
      <rPr>
        <b/>
        <sz val="11"/>
        <color theme="1"/>
        <rFont val="Calibri"/>
        <family val="2"/>
        <scheme val="minor"/>
      </rPr>
      <t>typical electricity consumption</t>
    </r>
    <r>
      <rPr>
        <sz val="11"/>
        <color theme="1"/>
        <rFont val="Calibri"/>
        <family val="2"/>
        <scheme val="minor"/>
      </rPr>
      <t>.</t>
    </r>
  </si>
  <si>
    <t>🔸 What the Standard Deviation Tells Us</t>
  </si>
  <si>
    <r>
      <t xml:space="preserve">Monthly usage usually changes by </t>
    </r>
    <r>
      <rPr>
        <b/>
        <sz val="11"/>
        <color theme="1"/>
        <rFont val="Calibri"/>
        <family val="2"/>
        <scheme val="minor"/>
      </rPr>
      <t>±23 kWh</t>
    </r>
    <r>
      <rPr>
        <sz val="11"/>
        <color theme="1"/>
        <rFont val="Calibri"/>
        <family val="2"/>
        <scheme val="minor"/>
      </rPr>
      <t xml:space="preserve"> from the average.</t>
    </r>
  </si>
  <si>
    <r>
      <t xml:space="preserve">This indicates </t>
    </r>
    <r>
      <rPr>
        <b/>
        <sz val="11"/>
        <color theme="1"/>
        <rFont val="Calibri"/>
        <family val="2"/>
        <scheme val="minor"/>
      </rPr>
      <t>moderate variation</t>
    </r>
    <r>
      <rPr>
        <sz val="11"/>
        <color theme="1"/>
        <rFont val="Calibri"/>
        <family val="2"/>
        <scheme val="minor"/>
      </rPr>
      <t>, not extreme changes.</t>
    </r>
  </si>
  <si>
    <t>✅ Combined Insight</t>
  </si>
  <si>
    <r>
      <t xml:space="preserve">The </t>
    </r>
    <r>
      <rPr>
        <b/>
        <sz val="11"/>
        <color theme="1"/>
        <rFont val="Calibri"/>
        <family val="2"/>
        <scheme val="minor"/>
      </rPr>
      <t>mean (414 kWh)</t>
    </r>
    <r>
      <rPr>
        <sz val="11"/>
        <color theme="1"/>
        <rFont val="Calibri"/>
        <family val="2"/>
        <scheme val="minor"/>
      </rPr>
      <t xml:space="preserve"> shows overall usage level.</t>
    </r>
  </si>
  <si>
    <r>
      <t xml:space="preserve">The </t>
    </r>
    <r>
      <rPr>
        <b/>
        <sz val="11"/>
        <color theme="1"/>
        <rFont val="Calibri"/>
        <family val="2"/>
        <scheme val="minor"/>
      </rPr>
      <t>standard deviation (23 kWh)</t>
    </r>
    <r>
      <rPr>
        <sz val="11"/>
        <color theme="1"/>
        <rFont val="Calibri"/>
        <family val="2"/>
        <scheme val="minor"/>
      </rPr>
      <t xml:space="preserve"> shows stability.</t>
    </r>
  </si>
  <si>
    <r>
      <t xml:space="preserve">👉 Since the standard deviation is </t>
    </r>
    <r>
      <rPr>
        <b/>
        <sz val="11"/>
        <color theme="1"/>
        <rFont val="Calibri"/>
        <family val="2"/>
        <scheme val="minor"/>
      </rPr>
      <t>small compared to the mean</t>
    </r>
    <r>
      <rPr>
        <sz val="11"/>
        <color theme="1"/>
        <rFont val="Calibri"/>
        <family val="2"/>
        <scheme val="minor"/>
      </rPr>
      <t xml:space="preserve">, the family’s electricity usage is </t>
    </r>
    <r>
      <rPr>
        <b/>
        <sz val="11"/>
        <color theme="1"/>
        <rFont val="Calibri"/>
        <family val="2"/>
        <scheme val="minor"/>
      </rPr>
      <t>fairly consistent and predictable</t>
    </r>
    <r>
      <rPr>
        <sz val="11"/>
        <color theme="1"/>
        <rFont val="Calibri"/>
        <family val="2"/>
        <scheme val="minor"/>
      </rPr>
      <t>, with small increases or decreases due to seasonal appliance use (fans, AC, heaters).</t>
    </r>
  </si>
  <si>
    <t>• Final Interpretation (Most Important)</t>
  </si>
  <si>
    <t>• Understand the Results Together</t>
  </si>
  <si>
    <t>Month 1</t>
  </si>
  <si>
    <t>Month 2</t>
  </si>
  <si>
    <t>Month 3</t>
  </si>
  <si>
    <t>Month 4</t>
  </si>
  <si>
    <t>Month 5</t>
  </si>
  <si>
    <t>Game Number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</si>
  <si>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</si>
  <si>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</si>
  <si>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</si>
  <si>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</si>
  <si>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</si>
  <si>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</si>
  <si>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</si>
  <si>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</si>
  <si>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Point Score</t>
  </si>
  <si>
    <t>Mean (Average)</t>
  </si>
  <si>
    <t>Range</t>
  </si>
  <si>
    <r>
      <rPr>
        <b/>
        <sz val="11"/>
        <color theme="1"/>
        <rFont val="Calibri"/>
        <family val="2"/>
        <scheme val="minor"/>
      </rPr>
      <t>No mode →</t>
    </r>
    <r>
      <rPr>
        <sz val="11"/>
        <color theme="1"/>
        <rFont val="Calibri"/>
        <family val="2"/>
        <scheme val="minor"/>
      </rPr>
      <t xml:space="preserve"> Scores vary naturally, no fixed pattern</t>
    </r>
  </si>
  <si>
    <r>
      <rPr>
        <b/>
        <sz val="11"/>
        <color theme="1"/>
        <rFont val="Calibri"/>
        <family val="2"/>
        <scheme val="minor"/>
      </rPr>
      <t>Range =</t>
    </r>
    <r>
      <rPr>
        <sz val="11"/>
        <color theme="1"/>
        <rFont val="Calibri"/>
        <family val="2"/>
        <scheme val="minor"/>
      </rPr>
      <t xml:space="preserve"> 10 → Moderate difference between best and worst games</t>
    </r>
  </si>
  <si>
    <r>
      <rPr>
        <b/>
        <sz val="11"/>
        <color theme="1"/>
        <rFont val="Calibri"/>
        <family val="2"/>
        <scheme val="minor"/>
      </rPr>
      <t>Low standard deviation (3.1)</t>
    </r>
    <r>
      <rPr>
        <sz val="11"/>
        <color theme="1"/>
        <rFont val="Calibri"/>
        <family val="2"/>
        <scheme val="minor"/>
      </rPr>
      <t xml:space="preserve"> → Performance is stable and reliable</t>
    </r>
  </si>
  <si>
    <r>
      <rPr>
        <b/>
        <sz val="11"/>
        <color theme="1"/>
        <rFont val="Calibri"/>
        <family val="2"/>
        <scheme val="minor"/>
      </rPr>
      <t>Mean &amp; Median close together →</t>
    </r>
    <r>
      <rPr>
        <sz val="11"/>
        <color theme="1"/>
        <rFont val="Calibri"/>
        <family val="2"/>
        <scheme val="minor"/>
      </rPr>
      <t xml:space="preserve"> Player is consistent</t>
    </r>
  </si>
  <si>
    <t>• Performance Insights (Most Important)</t>
  </si>
  <si>
    <r>
      <rPr>
        <b/>
        <sz val="11"/>
        <color theme="1"/>
        <rFont val="Calibri"/>
        <family val="2"/>
        <scheme val="minor"/>
      </rPr>
      <t>👉</t>
    </r>
    <r>
      <rPr>
        <sz val="11"/>
        <color theme="1"/>
        <rFont val="Calibri"/>
        <family val="2"/>
        <scheme val="minor"/>
      </rPr>
      <t xml:space="preserve"> The player averages about 20 points per game with low variability, indicating consistent scoring performance. Occasional high or low scores exist, but overall the player is dependable.</t>
    </r>
  </si>
  <si>
    <t>The player's average scoring is about 19.6 points per game.</t>
  </si>
  <si>
    <t>The median close to the mean indicates a fairly symmetric distribution of scores.</t>
  </si>
  <si>
    <t>No mode means the player scores a variety of points without repetition.</t>
  </si>
  <si>
    <t>The range of 10 points shows some variability in scoring between games.</t>
  </si>
  <si>
    <t>The standard deviation of 3.11 suggests moderate consistency in scoring performance.</t>
  </si>
  <si>
    <t>• Final Interpretation</t>
  </si>
  <si>
    <t>• Mean Score Tell us About Class Performance:-</t>
  </si>
  <si>
    <t xml:space="preserve">Knowing the mode helps the store manager understand which shoe size is the most popular or in highest demand on that day. </t>
  </si>
  <si>
    <t xml:space="preserve">  This insight can guide inventory decisions, ensuring that the store stocks more of the most frequently sold sizes to meet customer demand and avoid stockouts.</t>
  </si>
  <si>
    <t>Why is this information useful for the store manager?</t>
  </si>
  <si>
    <t>The mode shows the most popular shoe size sold.</t>
  </si>
  <si>
    <t>Week 1</t>
  </si>
  <si>
    <t>Week 2</t>
  </si>
  <si>
    <t>Week 3</t>
  </si>
  <si>
    <t>Week 4</t>
  </si>
  <si>
    <t>Week 5</t>
  </si>
  <si>
    <t>Value</t>
  </si>
  <si>
    <t>It highlights the extent of variation in their performance.</t>
  </si>
  <si>
    <t xml:space="preserve"> The range of 15 minutes shows that the student’s puzzle-solving time can vary quite a bit from day to day, with the fastest time being 25 minutes and the slowest 40 minutes performance.</t>
  </si>
  <si>
    <t>•  Answer</t>
  </si>
  <si>
    <r>
      <t>Minimum Harvest</t>
    </r>
    <r>
      <rPr>
        <sz val="11"/>
        <color theme="1"/>
        <rFont val="Calibri"/>
        <family val="2"/>
        <scheme val="minor"/>
      </rPr>
      <t xml:space="preserve"> = 98 kg</t>
    </r>
  </si>
  <si>
    <r>
      <t>Maximum Harvest</t>
    </r>
    <r>
      <rPr>
        <sz val="11"/>
        <color theme="1"/>
        <rFont val="Calibri"/>
        <family val="2"/>
        <scheme val="minor"/>
      </rPr>
      <t xml:space="preserve"> = 120 kg</t>
    </r>
  </si>
  <si>
    <t>A family records their monthly electricity usage (in kWh): [400, 420, 390, 450, 410].</t>
  </si>
  <si>
    <t xml:space="preserve">Since the standard deviation is small compared to the mean, the family’s electricity usage is fairly </t>
  </si>
  <si>
    <t>consistent and predictable, with slight changes due to seasonal appliance use (fans, AC, heaters).</t>
  </si>
  <si>
    <t>Day 7</t>
  </si>
  <si>
    <t>🏀 Insights:</t>
  </si>
  <si>
    <t>🏀 What These Measures Tell 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</si>
</sst>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9" formatCode="[$$-409]#,##0.00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rial Black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Aptos Narrow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C1F0C8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DAE9F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4" fontId="8" fillId="0" borderId="17" xfId="0" applyNumberFormat="1" applyFont="1" applyBorder="1" applyAlignment="1">
      <alignment horizontal="center"/>
    </xf>
    <xf numFmtId="0" fontId="0" fillId="0" borderId="20" xfId="0" applyBorder="1"/>
    <xf numFmtId="0" fontId="0" fillId="0" borderId="0" xfId="0" applyBorder="1"/>
    <xf numFmtId="0" fontId="0" fillId="0" borderId="21" xfId="0" applyBorder="1"/>
    <xf numFmtId="0" fontId="8" fillId="0" borderId="20" xfId="0" applyFont="1" applyBorder="1"/>
    <xf numFmtId="0" fontId="8" fillId="0" borderId="8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2" borderId="1" xfId="0" applyFont="1" applyFill="1" applyBorder="1" applyAlignment="1">
      <alignment horizontal="center"/>
    </xf>
    <xf numFmtId="0" fontId="0" fillId="3" borderId="9" xfId="0" applyFill="1" applyBorder="1"/>
    <xf numFmtId="0" fontId="0" fillId="3" borderId="20" xfId="0" applyFill="1" applyBorder="1" applyAlignment="1">
      <alignment horizontal="left" vertical="center" indent="1"/>
    </xf>
    <xf numFmtId="0" fontId="0" fillId="3" borderId="0" xfId="0" applyFill="1" applyBorder="1"/>
    <xf numFmtId="0" fontId="0" fillId="3" borderId="20" xfId="0" applyFill="1" applyBorder="1"/>
    <xf numFmtId="0" fontId="0" fillId="3" borderId="11" xfId="0" applyFill="1" applyBorder="1"/>
    <xf numFmtId="0" fontId="0" fillId="3" borderId="12" xfId="0" applyFill="1" applyBorder="1"/>
    <xf numFmtId="0" fontId="7" fillId="3" borderId="20" xfId="0" applyFont="1" applyFill="1" applyBorder="1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8" fillId="0" borderId="0" xfId="0" applyFont="1"/>
    <xf numFmtId="166" fontId="0" fillId="0" borderId="24" xfId="0" applyNumberFormat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center"/>
    </xf>
    <xf numFmtId="2" fontId="6" fillId="0" borderId="27" xfId="0" applyNumberFormat="1" applyFont="1" applyBorder="1" applyAlignment="1">
      <alignment horizontal="center"/>
    </xf>
    <xf numFmtId="0" fontId="0" fillId="4" borderId="20" xfId="0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0" xfId="0" applyFill="1" applyBorder="1"/>
    <xf numFmtId="0" fontId="0" fillId="4" borderId="21" xfId="0" applyFill="1" applyBorder="1"/>
    <xf numFmtId="0" fontId="8" fillId="3" borderId="8" xfId="0" applyFont="1" applyFill="1" applyBorder="1"/>
    <xf numFmtId="165" fontId="2" fillId="0" borderId="5" xfId="0" applyNumberFormat="1" applyFont="1" applyBorder="1" applyAlignment="1">
      <alignment horizontal="center" vertical="center"/>
    </xf>
    <xf numFmtId="0" fontId="1" fillId="0" borderId="20" xfId="0" applyFont="1" applyBorder="1"/>
    <xf numFmtId="0" fontId="4" fillId="4" borderId="1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4" fillId="0" borderId="27" xfId="0" applyFont="1" applyBorder="1" applyAlignment="1">
      <alignment horizontal="center"/>
    </xf>
    <xf numFmtId="169" fontId="11" fillId="0" borderId="17" xfId="0" applyNumberFormat="1" applyFont="1" applyBorder="1" applyAlignment="1">
      <alignment horizontal="center"/>
    </xf>
    <xf numFmtId="169" fontId="11" fillId="0" borderId="19" xfId="0" applyNumberFormat="1" applyFont="1" applyBorder="1" applyAlignment="1">
      <alignment horizontal="center"/>
    </xf>
    <xf numFmtId="169" fontId="11" fillId="0" borderId="25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Electricity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'Q9'!$C$7</c:f>
              <c:strCache>
                <c:ptCount val="1"/>
                <c:pt idx="0">
                  <c:v>Electricity Usage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'Q9'!$B$8:$B$12</c:f>
              <c:strCache>
                <c:ptCount val="5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</c:strCache>
            </c:strRef>
          </c:cat>
          <c:val>
            <c:numRef>
              <c:f>'Q9'!$C$8:$C$12</c:f>
              <c:numCache>
                <c:formatCode>General</c:formatCode>
                <c:ptCount val="5"/>
                <c:pt idx="0">
                  <c:v>400</c:v>
                </c:pt>
                <c:pt idx="1">
                  <c:v>420</c:v>
                </c:pt>
                <c:pt idx="2">
                  <c:v>390</c:v>
                </c:pt>
                <c:pt idx="3">
                  <c:v>450</c:v>
                </c:pt>
                <c:pt idx="4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7-4C75-93B3-6393BFCC7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4919184"/>
        <c:axId val="1254918224"/>
      </c:barChart>
      <c:catAx>
        <c:axId val="12549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18224"/>
        <c:crosses val="autoZero"/>
        <c:auto val="1"/>
        <c:lblAlgn val="ctr"/>
        <c:lblOffset val="100"/>
        <c:noMultiLvlLbl val="0"/>
      </c:catAx>
      <c:valAx>
        <c:axId val="12549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191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'Q10'!$C$8</c:f>
              <c:strCache>
                <c:ptCount val="1"/>
                <c:pt idx="0">
                  <c:v>Point Score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'Q10'!$B$9:$B$16</c:f>
              <c:strCache>
                <c:ptCount val="8"/>
                <c:pt idx="0">
                  <c:v>Game 1</c:v>
                </c:pt>
                <c:pt idx="1">
                  <c:v>Game 2</c:v>
                </c:pt>
                <c:pt idx="2">
                  <c:v>Game 3</c:v>
                </c:pt>
                <c:pt idx="3">
                  <c:v>Game 4</c:v>
                </c:pt>
                <c:pt idx="4">
                  <c:v>Game 5</c:v>
                </c:pt>
                <c:pt idx="5">
                  <c:v>Game 6</c:v>
                </c:pt>
                <c:pt idx="6">
                  <c:v>Game 7</c:v>
                </c:pt>
                <c:pt idx="7">
                  <c:v>Game 8</c:v>
                </c:pt>
              </c:strCache>
            </c:strRef>
          </c:cat>
          <c:val>
            <c:numRef>
              <c:f>'Q10'!$C$9:$C$16</c:f>
              <c:numCache>
                <c:formatCode>General</c:formatCode>
                <c:ptCount val="8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22</c:v>
                </c:pt>
                <c:pt idx="4">
                  <c:v>25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8-4FBB-99A0-7D9CA23C1C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3129520"/>
        <c:axId val="1333130000"/>
      </c:lineChart>
      <c:catAx>
        <c:axId val="133312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30000"/>
        <c:crosses val="autoZero"/>
        <c:auto val="1"/>
        <c:lblAlgn val="ctr"/>
        <c:lblOffset val="100"/>
        <c:noMultiLvlLbl val="0"/>
      </c:catAx>
      <c:valAx>
        <c:axId val="13331300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3312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5</xdr:row>
      <xdr:rowOff>223837</xdr:rowOff>
    </xdr:from>
    <xdr:to>
      <xdr:col>19</xdr:col>
      <xdr:colOff>47625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109E0-97D2-C3BF-8C39-96E5C79C0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13</xdr:row>
      <xdr:rowOff>100012</xdr:rowOff>
    </xdr:from>
    <xdr:to>
      <xdr:col>22</xdr:col>
      <xdr:colOff>171450</xdr:colOff>
      <xdr:row>27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FA6203-E674-D102-503B-912C41A20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133350</xdr:colOff>
      <xdr:row>6</xdr:row>
      <xdr:rowOff>171450</xdr:rowOff>
    </xdr:from>
    <xdr:to>
      <xdr:col>22</xdr:col>
      <xdr:colOff>514350</xdr:colOff>
      <xdr:row>12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96546CD-866B-CB52-7404-9A716FAEFBB4}"/>
            </a:ext>
          </a:extLst>
        </xdr:cNvPr>
        <xdr:cNvSpPr/>
      </xdr:nvSpPr>
      <xdr:spPr>
        <a:xfrm>
          <a:off x="10467975" y="1695450"/>
          <a:ext cx="5257800" cy="1276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1400" b="1" i="1" u="sng" cap="none" spc="0">
              <a:ln>
                <a:noFill/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 will create a line chart to visualize the player's scoring performance over the 8 games, showing the points scored in each game. </a:t>
          </a:r>
        </a:p>
        <a:p>
          <a:pPr algn="ctr"/>
          <a:endParaRPr lang="en-US" sz="1400" b="1" i="1" u="sng" cap="none" spc="0">
            <a:ln>
              <a:noFill/>
            </a:ln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400" b="1" i="1" u="sng" cap="none" spc="0">
              <a:ln>
                <a:noFill/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will help highlight trends and fluctuations.</a:t>
          </a:r>
        </a:p>
        <a:p>
          <a:pPr algn="ctr"/>
          <a:r>
            <a:rPr lang="en-US" sz="1400" b="1" i="1" u="sng" cap="none" spc="0">
              <a:ln>
                <a:noFill/>
              </a:ln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Proceeding with the chart creation now.</a:t>
          </a:r>
        </a:p>
        <a:p>
          <a:pPr algn="l"/>
          <a:endParaRPr lang="en-US" sz="1100" b="1" cap="none" spc="0">
            <a:ln/>
            <a:solidFill>
              <a:schemeClr val="accent4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7"/>
  <sheetViews>
    <sheetView tabSelected="1" workbookViewId="0">
      <selection activeCell="L9" sqref="L9"/>
    </sheetView>
  </sheetViews>
  <sheetFormatPr defaultRowHeight="15" x14ac:dyDescent="0.25"/>
  <cols>
    <col min="3" max="3" width="15.85546875" bestFit="1" customWidth="1"/>
    <col min="6" max="6" width="17.140625" bestFit="1" customWidth="1"/>
    <col min="7" max="7" width="10" bestFit="1" customWidth="1"/>
    <col min="8" max="8" width="8" bestFit="1" customWidth="1"/>
  </cols>
  <sheetData>
    <row r="2" spans="1:23" ht="21" x14ac:dyDescent="0.35">
      <c r="A2" s="1" t="s">
        <v>3</v>
      </c>
      <c r="B2" s="1" t="s">
        <v>0</v>
      </c>
    </row>
    <row r="3" spans="1:23" ht="21" x14ac:dyDescent="0.35">
      <c r="B3" s="1" t="s">
        <v>1</v>
      </c>
    </row>
    <row r="4" spans="1:23" ht="21" x14ac:dyDescent="0.35">
      <c r="B4" s="1" t="s">
        <v>2</v>
      </c>
    </row>
    <row r="6" spans="1:23" ht="21" x14ac:dyDescent="0.35">
      <c r="A6" s="1" t="s">
        <v>4</v>
      </c>
    </row>
    <row r="7" spans="1:23" ht="21.75" thickBot="1" x14ac:dyDescent="0.4">
      <c r="A7" s="1"/>
    </row>
    <row r="8" spans="1:23" ht="21.75" x14ac:dyDescent="0.4">
      <c r="A8" s="1"/>
      <c r="B8" s="84" t="s">
        <v>36</v>
      </c>
      <c r="C8" s="85" t="s">
        <v>37</v>
      </c>
      <c r="F8" s="68" t="s">
        <v>50</v>
      </c>
      <c r="G8" s="69" t="s">
        <v>51</v>
      </c>
      <c r="H8" s="70" t="s">
        <v>52</v>
      </c>
    </row>
    <row r="9" spans="1:23" ht="21.75" thickBot="1" x14ac:dyDescent="0.4">
      <c r="A9" s="1"/>
      <c r="B9" s="86" t="s">
        <v>38</v>
      </c>
      <c r="C9" s="87">
        <v>10</v>
      </c>
      <c r="F9" s="15">
        <f>AVERAGE($C$9:$C$15)</f>
        <v>12.428571428571429</v>
      </c>
      <c r="G9" s="13">
        <f>MEDIAN($C$9:$C$15)</f>
        <v>12</v>
      </c>
      <c r="H9" s="14">
        <f>MODE($C$9:$C$15)</f>
        <v>12</v>
      </c>
    </row>
    <row r="10" spans="1:23" ht="21.75" thickBot="1" x14ac:dyDescent="0.4">
      <c r="A10" s="1"/>
      <c r="B10" s="86" t="s">
        <v>39</v>
      </c>
      <c r="C10" s="87">
        <v>12</v>
      </c>
    </row>
    <row r="11" spans="1:23" ht="21" x14ac:dyDescent="0.35">
      <c r="A11" s="1"/>
      <c r="B11" s="86" t="s">
        <v>40</v>
      </c>
      <c r="C11" s="87">
        <v>11</v>
      </c>
      <c r="F11" s="2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7"/>
    </row>
    <row r="12" spans="1:23" ht="21" x14ac:dyDescent="0.35">
      <c r="A12" s="1"/>
      <c r="B12" s="86" t="s">
        <v>41</v>
      </c>
      <c r="C12" s="87">
        <v>15</v>
      </c>
      <c r="F12" s="16"/>
      <c r="G12" s="17" t="s">
        <v>44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</row>
    <row r="13" spans="1:23" ht="21" x14ac:dyDescent="0.35">
      <c r="A13" s="1"/>
      <c r="B13" s="86" t="s">
        <v>42</v>
      </c>
      <c r="C13" s="87">
        <v>14</v>
      </c>
      <c r="F13" s="16"/>
      <c r="G13" s="17" t="s">
        <v>45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</row>
    <row r="14" spans="1:23" ht="21" x14ac:dyDescent="0.35">
      <c r="A14" s="1"/>
      <c r="B14" s="86" t="s">
        <v>43</v>
      </c>
      <c r="C14" s="87">
        <v>13</v>
      </c>
      <c r="F14" s="16"/>
      <c r="G14" s="17" t="s">
        <v>46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</row>
    <row r="15" spans="1:23" ht="21.75" thickBot="1" x14ac:dyDescent="0.4">
      <c r="A15" s="1"/>
      <c r="B15" s="88" t="s">
        <v>236</v>
      </c>
      <c r="C15" s="89">
        <v>12</v>
      </c>
      <c r="F15" s="16"/>
      <c r="G15" s="17" t="s">
        <v>47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</row>
    <row r="16" spans="1:23" ht="21" x14ac:dyDescent="0.35">
      <c r="A16" s="1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</row>
    <row r="17" spans="1:23" ht="21" x14ac:dyDescent="0.35">
      <c r="A17" s="1"/>
      <c r="F17" s="19" t="s">
        <v>53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</row>
    <row r="18" spans="1:23" ht="21" x14ac:dyDescent="0.35">
      <c r="A18" s="1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</row>
    <row r="19" spans="1:23" ht="21" x14ac:dyDescent="0.35">
      <c r="A19" s="1"/>
      <c r="F19" s="16"/>
      <c r="G19" s="17" t="s">
        <v>49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</row>
    <row r="20" spans="1:23" ht="21" x14ac:dyDescent="0.35">
      <c r="A20" s="1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</row>
    <row r="21" spans="1:23" ht="21" x14ac:dyDescent="0.35">
      <c r="A21" s="1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</row>
    <row r="22" spans="1:23" ht="21.75" thickBot="1" x14ac:dyDescent="0.4">
      <c r="A22" s="1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</row>
    <row r="23" spans="1:23" ht="21" x14ac:dyDescent="0.35">
      <c r="A23" s="1"/>
    </row>
    <row r="24" spans="1:23" ht="21" x14ac:dyDescent="0.35">
      <c r="A24" s="1"/>
    </row>
    <row r="25" spans="1:23" ht="21" x14ac:dyDescent="0.35">
      <c r="A25" s="1"/>
    </row>
    <row r="26" spans="1:23" ht="21" x14ac:dyDescent="0.35">
      <c r="A26" s="1"/>
    </row>
    <row r="27" spans="1:23" ht="21" x14ac:dyDescent="0.35">
      <c r="A27" s="1"/>
    </row>
    <row r="28" spans="1:23" ht="21" x14ac:dyDescent="0.35">
      <c r="A28" s="1"/>
    </row>
    <row r="29" spans="1:23" ht="21" x14ac:dyDescent="0.35">
      <c r="A29" s="1"/>
    </row>
    <row r="30" spans="1:23" ht="21" x14ac:dyDescent="0.35">
      <c r="A30" s="1"/>
    </row>
    <row r="31" spans="1:23" ht="21" x14ac:dyDescent="0.35">
      <c r="A31" s="1"/>
    </row>
    <row r="32" spans="1:23" ht="21" x14ac:dyDescent="0.35">
      <c r="A32" s="1"/>
    </row>
    <row r="33" spans="1:1" ht="21" x14ac:dyDescent="0.35">
      <c r="A33" s="1"/>
    </row>
    <row r="34" spans="1:1" ht="21" x14ac:dyDescent="0.35">
      <c r="A34" s="1"/>
    </row>
    <row r="35" spans="1:1" ht="21" x14ac:dyDescent="0.35">
      <c r="A35" s="1"/>
    </row>
    <row r="36" spans="1:1" ht="21" x14ac:dyDescent="0.35">
      <c r="A36" s="1"/>
    </row>
    <row r="37" spans="1:1" ht="21" x14ac:dyDescent="0.35">
      <c r="A37" s="1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19CF-EA11-48E0-91D8-802050130905}">
  <dimension ref="A2:V29"/>
  <sheetViews>
    <sheetView topLeftCell="A5" workbookViewId="0">
      <selection activeCell="N31" sqref="N31"/>
    </sheetView>
  </sheetViews>
  <sheetFormatPr defaultRowHeight="15" x14ac:dyDescent="0.25"/>
  <cols>
    <col min="6" max="6" width="13.140625" customWidth="1"/>
  </cols>
  <sheetData>
    <row r="2" spans="1:22" ht="21" x14ac:dyDescent="0.35">
      <c r="A2" s="1" t="s">
        <v>3</v>
      </c>
      <c r="B2" s="1" t="s">
        <v>8</v>
      </c>
    </row>
    <row r="3" spans="1:22" ht="21" x14ac:dyDescent="0.35">
      <c r="B3" s="1" t="s">
        <v>9</v>
      </c>
    </row>
    <row r="4" spans="1:22" ht="21" x14ac:dyDescent="0.35">
      <c r="B4" s="1" t="s">
        <v>10</v>
      </c>
    </row>
    <row r="6" spans="1:22" ht="21" x14ac:dyDescent="0.35">
      <c r="A6" s="1" t="s">
        <v>4</v>
      </c>
    </row>
    <row r="7" spans="1:22" ht="15.75" thickBot="1" x14ac:dyDescent="0.3"/>
    <row r="8" spans="1:22" ht="18.75" x14ac:dyDescent="0.3">
      <c r="B8" s="25" t="s">
        <v>68</v>
      </c>
      <c r="C8" s="25" t="s">
        <v>69</v>
      </c>
      <c r="F8" s="90" t="s">
        <v>52</v>
      </c>
    </row>
    <row r="9" spans="1:22" ht="19.5" thickBot="1" x14ac:dyDescent="0.35">
      <c r="B9" s="2">
        <v>1</v>
      </c>
      <c r="C9" s="2">
        <v>7</v>
      </c>
      <c r="F9" s="91">
        <f>MODE($C$9:$C$16)</f>
        <v>8</v>
      </c>
    </row>
    <row r="10" spans="1:22" x14ac:dyDescent="0.25">
      <c r="B10" s="2">
        <v>2</v>
      </c>
      <c r="C10" s="2">
        <v>8</v>
      </c>
    </row>
    <row r="11" spans="1:22" ht="15.75" thickBot="1" x14ac:dyDescent="0.3">
      <c r="B11" s="2">
        <v>3</v>
      </c>
      <c r="C11" s="2">
        <v>9</v>
      </c>
    </row>
    <row r="12" spans="1:22" ht="18.75" x14ac:dyDescent="0.3">
      <c r="B12" s="2">
        <v>4</v>
      </c>
      <c r="C12" s="2">
        <v>8</v>
      </c>
      <c r="F12" s="81" t="s">
        <v>220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79"/>
    </row>
    <row r="13" spans="1:22" x14ac:dyDescent="0.25">
      <c r="B13" s="2">
        <v>5</v>
      </c>
      <c r="C13" s="2">
        <v>8</v>
      </c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80"/>
    </row>
    <row r="14" spans="1:22" x14ac:dyDescent="0.25">
      <c r="B14" s="2">
        <v>6</v>
      </c>
      <c r="C14" s="2">
        <v>10</v>
      </c>
      <c r="F14" s="27" t="s">
        <v>218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80"/>
    </row>
    <row r="15" spans="1:22" x14ac:dyDescent="0.25">
      <c r="B15" s="2">
        <v>7</v>
      </c>
      <c r="C15" s="2">
        <v>7</v>
      </c>
      <c r="F15" s="75" t="s">
        <v>219</v>
      </c>
      <c r="G15" s="76"/>
      <c r="H15" s="76"/>
      <c r="I15" s="76"/>
      <c r="J15" s="76"/>
      <c r="K15" s="76"/>
      <c r="L15" s="76"/>
      <c r="M15" s="76"/>
      <c r="N15" s="76"/>
      <c r="O15" s="28"/>
      <c r="P15" s="28"/>
      <c r="Q15" s="28"/>
      <c r="R15" s="28"/>
      <c r="S15" s="28"/>
      <c r="T15" s="28"/>
      <c r="U15" s="28"/>
      <c r="V15" s="80"/>
    </row>
    <row r="16" spans="1:22" x14ac:dyDescent="0.25">
      <c r="B16" s="2">
        <v>8</v>
      </c>
      <c r="C16" s="2">
        <v>9</v>
      </c>
      <c r="F16" s="27" t="s">
        <v>70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80"/>
    </row>
    <row r="17" spans="6:22" x14ac:dyDescent="0.25"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80"/>
    </row>
    <row r="18" spans="6:22" x14ac:dyDescent="0.25">
      <c r="F18" s="27"/>
      <c r="G18" s="28" t="s">
        <v>221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80"/>
    </row>
    <row r="19" spans="6:22" x14ac:dyDescent="0.25">
      <c r="F19" s="27"/>
      <c r="G19" s="28" t="s">
        <v>70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80"/>
    </row>
    <row r="20" spans="6:22" x14ac:dyDescent="0.25"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80"/>
    </row>
    <row r="21" spans="6:22" x14ac:dyDescent="0.25">
      <c r="F21" s="27" t="s">
        <v>74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80"/>
    </row>
    <row r="22" spans="6:22" x14ac:dyDescent="0.25">
      <c r="F22" s="27" t="s">
        <v>73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80"/>
    </row>
    <row r="23" spans="6:22" x14ac:dyDescent="0.25">
      <c r="F23" s="27" t="s">
        <v>72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80"/>
    </row>
    <row r="24" spans="6:22" x14ac:dyDescent="0.25"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80"/>
    </row>
    <row r="25" spans="6:22" ht="15.75" x14ac:dyDescent="0.25">
      <c r="F25" s="32" t="s">
        <v>48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80"/>
    </row>
    <row r="26" spans="6:22" x14ac:dyDescent="0.25">
      <c r="F26" s="29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80"/>
    </row>
    <row r="27" spans="6:22" x14ac:dyDescent="0.25">
      <c r="F27" s="29" t="s">
        <v>71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80"/>
    </row>
    <row r="28" spans="6:22" x14ac:dyDescent="0.25">
      <c r="F28" s="29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80"/>
    </row>
    <row r="29" spans="6:22" ht="15.75" thickBot="1" x14ac:dyDescent="0.3">
      <c r="F29" s="30"/>
      <c r="G29" s="31"/>
      <c r="H29" s="31"/>
      <c r="I29" s="31"/>
      <c r="J29" s="31"/>
      <c r="K29" s="31"/>
      <c r="L29" s="31"/>
      <c r="M29" s="31"/>
      <c r="N29" s="31"/>
      <c r="O29" s="77"/>
      <c r="P29" s="77"/>
      <c r="Q29" s="77"/>
      <c r="R29" s="77"/>
      <c r="S29" s="77"/>
      <c r="T29" s="77"/>
      <c r="U29" s="77"/>
      <c r="V29" s="7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D0E2-6D4A-430B-BCAF-E090A0F85436}">
  <dimension ref="A2:G21"/>
  <sheetViews>
    <sheetView workbookViewId="0">
      <selection activeCell="C15" sqref="C15"/>
    </sheetView>
  </sheetViews>
  <sheetFormatPr defaultRowHeight="15" x14ac:dyDescent="0.25"/>
  <cols>
    <col min="2" max="2" width="11.28515625" customWidth="1"/>
    <col min="6" max="6" width="13.5703125" customWidth="1"/>
  </cols>
  <sheetData>
    <row r="2" spans="1:7" ht="21" x14ac:dyDescent="0.35">
      <c r="A2" s="1" t="s">
        <v>3</v>
      </c>
      <c r="B2" s="1" t="s">
        <v>5</v>
      </c>
    </row>
    <row r="3" spans="1:7" ht="21" x14ac:dyDescent="0.35">
      <c r="B3" s="1" t="s">
        <v>6</v>
      </c>
    </row>
    <row r="4" spans="1:7" ht="21" x14ac:dyDescent="0.35">
      <c r="B4" s="1" t="s">
        <v>7</v>
      </c>
    </row>
    <row r="6" spans="1:7" ht="21" x14ac:dyDescent="0.35">
      <c r="A6" s="1" t="s">
        <v>4</v>
      </c>
    </row>
    <row r="7" spans="1:7" ht="15.75" thickBot="1" x14ac:dyDescent="0.3"/>
    <row r="8" spans="1:7" ht="18.75" x14ac:dyDescent="0.4">
      <c r="B8" s="71" t="s">
        <v>54</v>
      </c>
      <c r="C8" s="72" t="s">
        <v>55</v>
      </c>
      <c r="F8" s="73" t="s">
        <v>63</v>
      </c>
    </row>
    <row r="9" spans="1:7" ht="16.5" thickBot="1" x14ac:dyDescent="0.3">
      <c r="B9" s="21" t="s">
        <v>56</v>
      </c>
      <c r="C9" s="22">
        <v>12</v>
      </c>
      <c r="F9" s="74">
        <f>AVERAGE($C$9:$C$15)</f>
        <v>16.285714285714285</v>
      </c>
    </row>
    <row r="10" spans="1:7" x14ac:dyDescent="0.25">
      <c r="B10" s="21" t="s">
        <v>57</v>
      </c>
      <c r="C10" s="22">
        <v>15</v>
      </c>
    </row>
    <row r="11" spans="1:7" x14ac:dyDescent="0.25">
      <c r="B11" s="21" t="s">
        <v>58</v>
      </c>
      <c r="C11" s="22">
        <v>14</v>
      </c>
    </row>
    <row r="12" spans="1:7" x14ac:dyDescent="0.25">
      <c r="B12" s="21" t="s">
        <v>59</v>
      </c>
      <c r="C12" s="22">
        <v>16</v>
      </c>
    </row>
    <row r="13" spans="1:7" ht="23.25" x14ac:dyDescent="0.25">
      <c r="B13" s="21" t="s">
        <v>60</v>
      </c>
      <c r="C13" s="22">
        <v>18</v>
      </c>
      <c r="F13" s="23" t="s">
        <v>217</v>
      </c>
    </row>
    <row r="14" spans="1:7" x14ac:dyDescent="0.25">
      <c r="B14" s="21" t="s">
        <v>61</v>
      </c>
      <c r="C14" s="22">
        <v>20</v>
      </c>
      <c r="F14" s="24"/>
    </row>
    <row r="15" spans="1:7" ht="15.75" thickBot="1" x14ac:dyDescent="0.3">
      <c r="B15" s="11" t="s">
        <v>62</v>
      </c>
      <c r="C15" s="12">
        <v>19</v>
      </c>
      <c r="G15" s="24" t="s">
        <v>64</v>
      </c>
    </row>
    <row r="16" spans="1:7" x14ac:dyDescent="0.25">
      <c r="G16" s="24"/>
    </row>
    <row r="17" spans="7:7" x14ac:dyDescent="0.25">
      <c r="G17" s="24" t="s">
        <v>65</v>
      </c>
    </row>
    <row r="18" spans="7:7" x14ac:dyDescent="0.25">
      <c r="G18" s="24"/>
    </row>
    <row r="19" spans="7:7" x14ac:dyDescent="0.25">
      <c r="G19" s="24" t="s">
        <v>66</v>
      </c>
    </row>
    <row r="20" spans="7:7" x14ac:dyDescent="0.25">
      <c r="G20" s="24"/>
    </row>
    <row r="21" spans="7:7" x14ac:dyDescent="0.25">
      <c r="G21" s="24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0A92-EA17-4828-AAB7-6968B6FA2E50}">
  <dimension ref="A2:F27"/>
  <sheetViews>
    <sheetView topLeftCell="A5" workbookViewId="0">
      <selection activeCell="F8" sqref="F8"/>
    </sheetView>
  </sheetViews>
  <sheetFormatPr defaultRowHeight="15" x14ac:dyDescent="0.25"/>
  <cols>
    <col min="2" max="2" width="13.140625" customWidth="1"/>
    <col min="3" max="3" width="10.140625" bestFit="1" customWidth="1"/>
    <col min="5" max="6" width="10.140625" bestFit="1" customWidth="1"/>
  </cols>
  <sheetData>
    <row r="2" spans="1:6" ht="21" x14ac:dyDescent="0.35">
      <c r="A2" s="1" t="s">
        <v>3</v>
      </c>
      <c r="B2" s="1" t="s">
        <v>11</v>
      </c>
    </row>
    <row r="3" spans="1:6" ht="21" x14ac:dyDescent="0.35">
      <c r="B3" s="1" t="s">
        <v>12</v>
      </c>
    </row>
    <row r="4" spans="1:6" ht="21" x14ac:dyDescent="0.35">
      <c r="B4" s="1" t="s">
        <v>13</v>
      </c>
    </row>
    <row r="6" spans="1:6" ht="21.75" thickBot="1" x14ac:dyDescent="0.4">
      <c r="A6" s="1" t="s">
        <v>4</v>
      </c>
    </row>
    <row r="7" spans="1:6" x14ac:dyDescent="0.25">
      <c r="B7" s="50" t="s">
        <v>133</v>
      </c>
      <c r="C7" s="51" t="s">
        <v>132</v>
      </c>
      <c r="E7" s="50" t="s">
        <v>50</v>
      </c>
      <c r="F7" s="51" t="s">
        <v>51</v>
      </c>
    </row>
    <row r="8" spans="1:6" ht="15.75" thickBot="1" x14ac:dyDescent="0.3">
      <c r="B8" s="46" t="s">
        <v>134</v>
      </c>
      <c r="C8" s="94">
        <v>8000</v>
      </c>
      <c r="E8" s="92">
        <f>AVERAGE($C$8:$C$12)</f>
        <v>17740</v>
      </c>
      <c r="F8" s="93">
        <f>MEDIAN($C$8:$C$12)</f>
        <v>10200</v>
      </c>
    </row>
    <row r="9" spans="1:6" x14ac:dyDescent="0.25">
      <c r="B9" s="46" t="s">
        <v>135</v>
      </c>
      <c r="C9" s="94">
        <v>9500</v>
      </c>
    </row>
    <row r="10" spans="1:6" x14ac:dyDescent="0.25">
      <c r="B10" s="46" t="s">
        <v>136</v>
      </c>
      <c r="C10" s="94">
        <v>10200</v>
      </c>
    </row>
    <row r="11" spans="1:6" x14ac:dyDescent="0.25">
      <c r="B11" s="46" t="s">
        <v>137</v>
      </c>
      <c r="C11" s="94">
        <v>11000</v>
      </c>
    </row>
    <row r="12" spans="1:6" ht="15.75" thickBot="1" x14ac:dyDescent="0.3">
      <c r="B12" s="48" t="s">
        <v>138</v>
      </c>
      <c r="C12" s="93">
        <v>50000</v>
      </c>
    </row>
    <row r="13" spans="1:6" ht="23.25" x14ac:dyDescent="0.25">
      <c r="E13" s="23" t="s">
        <v>146</v>
      </c>
    </row>
    <row r="14" spans="1:6" ht="13.5" customHeight="1" x14ac:dyDescent="0.25">
      <c r="E14" s="23"/>
    </row>
    <row r="15" spans="1:6" x14ac:dyDescent="0.25">
      <c r="F15" s="24" t="s">
        <v>139</v>
      </c>
    </row>
    <row r="16" spans="1:6" x14ac:dyDescent="0.25">
      <c r="F16" s="24"/>
    </row>
    <row r="17" spans="5:6" x14ac:dyDescent="0.25">
      <c r="F17" s="24" t="s">
        <v>140</v>
      </c>
    </row>
    <row r="18" spans="5:6" x14ac:dyDescent="0.25">
      <c r="F18" s="24"/>
    </row>
    <row r="19" spans="5:6" x14ac:dyDescent="0.25">
      <c r="F19" s="24" t="s">
        <v>141</v>
      </c>
    </row>
    <row r="21" spans="5:6" x14ac:dyDescent="0.25">
      <c r="F21" t="s">
        <v>142</v>
      </c>
    </row>
    <row r="23" spans="5:6" ht="23.25" x14ac:dyDescent="0.25">
      <c r="E23" s="23" t="s">
        <v>143</v>
      </c>
    </row>
    <row r="24" spans="5:6" x14ac:dyDescent="0.25">
      <c r="E24" s="24"/>
    </row>
    <row r="25" spans="5:6" x14ac:dyDescent="0.25">
      <c r="F25" s="34" t="s">
        <v>144</v>
      </c>
    </row>
    <row r="26" spans="5:6" x14ac:dyDescent="0.25">
      <c r="F26" s="24"/>
    </row>
    <row r="27" spans="5:6" x14ac:dyDescent="0.25">
      <c r="F27" s="24" t="s">
        <v>145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840A-DAC6-4CA4-A657-C1ABC41B1684}">
  <dimension ref="A2:X28"/>
  <sheetViews>
    <sheetView topLeftCell="A3" workbookViewId="0">
      <selection activeCell="C8" sqref="C8"/>
    </sheetView>
  </sheetViews>
  <sheetFormatPr defaultRowHeight="15" x14ac:dyDescent="0.25"/>
  <cols>
    <col min="3" max="3" width="12.5703125" customWidth="1"/>
    <col min="8" max="8" width="16.140625" bestFit="1" customWidth="1"/>
  </cols>
  <sheetData>
    <row r="2" spans="1:24" ht="21" x14ac:dyDescent="0.35">
      <c r="A2" s="1" t="s">
        <v>3</v>
      </c>
      <c r="B2" s="1" t="s">
        <v>14</v>
      </c>
    </row>
    <row r="3" spans="1:24" ht="21" x14ac:dyDescent="0.35">
      <c r="B3" s="1" t="s">
        <v>15</v>
      </c>
    </row>
    <row r="4" spans="1:24" ht="21" x14ac:dyDescent="0.35">
      <c r="B4" s="1" t="s">
        <v>16</v>
      </c>
    </row>
    <row r="6" spans="1:24" ht="21.75" thickBot="1" x14ac:dyDescent="0.4">
      <c r="A6" s="1" t="s">
        <v>4</v>
      </c>
    </row>
    <row r="7" spans="1:24" x14ac:dyDescent="0.25">
      <c r="B7" s="52" t="s">
        <v>147</v>
      </c>
      <c r="C7" s="53" t="s">
        <v>227</v>
      </c>
      <c r="F7" s="52" t="s">
        <v>158</v>
      </c>
      <c r="G7" s="53" t="s">
        <v>159</v>
      </c>
      <c r="H7" s="52" t="s">
        <v>160</v>
      </c>
    </row>
    <row r="8" spans="1:24" x14ac:dyDescent="0.25">
      <c r="B8" s="54" t="s">
        <v>38</v>
      </c>
      <c r="C8" s="47">
        <v>25</v>
      </c>
      <c r="F8" s="46">
        <f>MAX($C$8:$C$12)</f>
        <v>40</v>
      </c>
      <c r="G8" s="47">
        <f>MIN($C$8:$C$12)</f>
        <v>25</v>
      </c>
      <c r="H8" s="46">
        <f>$F8-$G8</f>
        <v>15</v>
      </c>
    </row>
    <row r="9" spans="1:24" x14ac:dyDescent="0.25">
      <c r="B9" s="46" t="s">
        <v>39</v>
      </c>
      <c r="C9" s="47">
        <v>30</v>
      </c>
    </row>
    <row r="10" spans="1:24" ht="15.75" thickBot="1" x14ac:dyDescent="0.3">
      <c r="B10" s="54" t="s">
        <v>40</v>
      </c>
      <c r="C10" s="47">
        <v>27</v>
      </c>
    </row>
    <row r="11" spans="1:24" x14ac:dyDescent="0.25">
      <c r="B11" s="46" t="s">
        <v>41</v>
      </c>
      <c r="C11" s="47">
        <v>35</v>
      </c>
      <c r="F11" s="5" t="s">
        <v>148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"/>
    </row>
    <row r="12" spans="1:24" ht="15.75" thickBot="1" x14ac:dyDescent="0.3">
      <c r="B12" s="56" t="s">
        <v>42</v>
      </c>
      <c r="C12" s="49">
        <v>40</v>
      </c>
      <c r="F12" s="16" t="s">
        <v>149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8"/>
    </row>
    <row r="13" spans="1:24" x14ac:dyDescent="0.25">
      <c r="F13" s="16" t="s">
        <v>150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8"/>
    </row>
    <row r="14" spans="1:24" x14ac:dyDescent="0.25">
      <c r="F14" s="16" t="s">
        <v>151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8"/>
    </row>
    <row r="15" spans="1:24" x14ac:dyDescent="0.25"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8"/>
    </row>
    <row r="16" spans="1:24" x14ac:dyDescent="0.25">
      <c r="F16" s="16" t="s">
        <v>152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8"/>
    </row>
    <row r="17" spans="6:24" x14ac:dyDescent="0.25"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8"/>
    </row>
    <row r="18" spans="6:24" x14ac:dyDescent="0.25">
      <c r="F18" s="16" t="s">
        <v>153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</row>
    <row r="19" spans="6:24" x14ac:dyDescent="0.25">
      <c r="F19" s="16" t="s">
        <v>154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8"/>
    </row>
    <row r="20" spans="6:24" x14ac:dyDescent="0.25"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8"/>
    </row>
    <row r="21" spans="6:24" x14ac:dyDescent="0.25">
      <c r="F21" s="16" t="s">
        <v>155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spans="6:24" x14ac:dyDescent="0.25"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8"/>
    </row>
    <row r="23" spans="6:24" x14ac:dyDescent="0.25">
      <c r="F23" s="16" t="s">
        <v>156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8"/>
    </row>
    <row r="24" spans="6:24" x14ac:dyDescent="0.25">
      <c r="F24" s="16" t="s">
        <v>157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8"/>
    </row>
    <row r="25" spans="6:24" x14ac:dyDescent="0.25"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8"/>
    </row>
    <row r="26" spans="6:24" ht="21" x14ac:dyDescent="0.35">
      <c r="F26" s="83" t="s">
        <v>230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8"/>
    </row>
    <row r="27" spans="6:24" x14ac:dyDescent="0.25">
      <c r="F27" s="16"/>
      <c r="G27" s="17" t="s">
        <v>229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8"/>
    </row>
    <row r="28" spans="6:24" ht="15.75" thickBot="1" x14ac:dyDescent="0.3">
      <c r="F28" s="8"/>
      <c r="G28" s="9" t="s">
        <v>228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A9C3-B672-4C8F-A7FD-7D18661646FF}">
  <dimension ref="A2:H30"/>
  <sheetViews>
    <sheetView topLeftCell="A5" workbookViewId="0">
      <selection activeCell="H12" sqref="H12"/>
    </sheetView>
  </sheetViews>
  <sheetFormatPr defaultRowHeight="15" x14ac:dyDescent="0.25"/>
  <cols>
    <col min="3" max="3" width="12.5703125" customWidth="1"/>
    <col min="8" max="8" width="16.140625" bestFit="1" customWidth="1"/>
  </cols>
  <sheetData>
    <row r="2" spans="1:8" ht="21" x14ac:dyDescent="0.35">
      <c r="A2" s="1" t="s">
        <v>3</v>
      </c>
      <c r="B2" s="1" t="s">
        <v>17</v>
      </c>
    </row>
    <row r="3" spans="1:8" ht="21" x14ac:dyDescent="0.35">
      <c r="B3" s="1" t="s">
        <v>18</v>
      </c>
    </row>
    <row r="4" spans="1:8" ht="21" x14ac:dyDescent="0.35">
      <c r="B4" s="1" t="s">
        <v>19</v>
      </c>
    </row>
    <row r="6" spans="1:8" ht="21.75" thickBot="1" x14ac:dyDescent="0.4">
      <c r="A6" s="1" t="s">
        <v>4</v>
      </c>
    </row>
    <row r="7" spans="1:8" x14ac:dyDescent="0.25">
      <c r="B7" s="58" t="s">
        <v>161</v>
      </c>
      <c r="C7" s="59" t="s">
        <v>162</v>
      </c>
      <c r="F7" s="52" t="s">
        <v>158</v>
      </c>
      <c r="G7" s="53" t="s">
        <v>159</v>
      </c>
      <c r="H7" s="52" t="s">
        <v>160</v>
      </c>
    </row>
    <row r="8" spans="1:8" x14ac:dyDescent="0.25">
      <c r="B8" s="54" t="s">
        <v>222</v>
      </c>
      <c r="C8" s="55">
        <v>100</v>
      </c>
      <c r="F8" s="46">
        <f>MAX($C$8:$C$12)</f>
        <v>120</v>
      </c>
      <c r="G8" s="47">
        <f>MIN($C$8:$C$12)</f>
        <v>98</v>
      </c>
      <c r="H8" s="46">
        <f>$F8-$G8</f>
        <v>22</v>
      </c>
    </row>
    <row r="9" spans="1:8" x14ac:dyDescent="0.25">
      <c r="B9" s="54" t="s">
        <v>223</v>
      </c>
      <c r="C9" s="55">
        <v>105</v>
      </c>
    </row>
    <row r="10" spans="1:8" x14ac:dyDescent="0.25">
      <c r="B10" s="54" t="s">
        <v>224</v>
      </c>
      <c r="C10" s="55">
        <v>98</v>
      </c>
      <c r="G10" s="33" t="s">
        <v>231</v>
      </c>
    </row>
    <row r="11" spans="1:8" x14ac:dyDescent="0.25">
      <c r="B11" s="54" t="s">
        <v>225</v>
      </c>
      <c r="C11" s="55">
        <v>110</v>
      </c>
    </row>
    <row r="12" spans="1:8" ht="15.75" thickBot="1" x14ac:dyDescent="0.3">
      <c r="B12" s="56" t="s">
        <v>226</v>
      </c>
      <c r="C12" s="57">
        <v>120</v>
      </c>
      <c r="G12" s="33" t="s">
        <v>232</v>
      </c>
    </row>
    <row r="14" spans="1:8" x14ac:dyDescent="0.25">
      <c r="G14" t="s">
        <v>163</v>
      </c>
    </row>
    <row r="16" spans="1:8" ht="18" x14ac:dyDescent="0.25">
      <c r="G16" s="37" t="s">
        <v>168</v>
      </c>
    </row>
    <row r="17" spans="7:8" x14ac:dyDescent="0.25">
      <c r="G17" s="24"/>
    </row>
    <row r="18" spans="7:8" x14ac:dyDescent="0.25">
      <c r="H18" s="24" t="s">
        <v>164</v>
      </c>
    </row>
    <row r="19" spans="7:8" x14ac:dyDescent="0.25">
      <c r="H19" s="24"/>
    </row>
    <row r="20" spans="7:8" x14ac:dyDescent="0.25">
      <c r="H20" s="24" t="s">
        <v>165</v>
      </c>
    </row>
    <row r="21" spans="7:8" x14ac:dyDescent="0.25">
      <c r="H21" s="24"/>
    </row>
    <row r="22" spans="7:8" x14ac:dyDescent="0.25">
      <c r="H22" s="24" t="s">
        <v>166</v>
      </c>
    </row>
    <row r="23" spans="7:8" x14ac:dyDescent="0.25">
      <c r="H23" s="24"/>
    </row>
    <row r="24" spans="7:8" x14ac:dyDescent="0.25">
      <c r="H24" s="24" t="s">
        <v>167</v>
      </c>
    </row>
    <row r="26" spans="7:8" ht="18" x14ac:dyDescent="0.25">
      <c r="G26" s="37" t="s">
        <v>171</v>
      </c>
    </row>
    <row r="27" spans="7:8" x14ac:dyDescent="0.25">
      <c r="G27" s="24"/>
    </row>
    <row r="28" spans="7:8" x14ac:dyDescent="0.25">
      <c r="H28" s="34" t="s">
        <v>169</v>
      </c>
    </row>
    <row r="29" spans="7:8" x14ac:dyDescent="0.25">
      <c r="H29" s="24"/>
    </row>
    <row r="30" spans="7:8" x14ac:dyDescent="0.25">
      <c r="H30" s="24" t="s">
        <v>170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99C2-A497-4B59-83FA-98AA4E103C50}">
  <dimension ref="A2:E67"/>
  <sheetViews>
    <sheetView workbookViewId="0">
      <selection activeCell="E63" sqref="E63:E67"/>
    </sheetView>
  </sheetViews>
  <sheetFormatPr defaultRowHeight="15" x14ac:dyDescent="0.25"/>
  <cols>
    <col min="3" max="3" width="14.140625" customWidth="1"/>
  </cols>
  <sheetData>
    <row r="2" spans="1:4" ht="21" x14ac:dyDescent="0.35">
      <c r="A2" s="1" t="s">
        <v>3</v>
      </c>
      <c r="B2" s="1" t="s">
        <v>20</v>
      </c>
    </row>
    <row r="3" spans="1:4" ht="21" x14ac:dyDescent="0.35">
      <c r="B3" s="1" t="s">
        <v>21</v>
      </c>
    </row>
    <row r="4" spans="1:4" ht="21" x14ac:dyDescent="0.35">
      <c r="B4" s="1" t="s">
        <v>22</v>
      </c>
    </row>
    <row r="5" spans="1:4" ht="21" x14ac:dyDescent="0.35">
      <c r="B5" s="1" t="s">
        <v>23</v>
      </c>
    </row>
    <row r="6" spans="1:4" ht="21" x14ac:dyDescent="0.35">
      <c r="B6" s="1" t="s">
        <v>24</v>
      </c>
    </row>
    <row r="8" spans="1:4" ht="21" x14ac:dyDescent="0.35">
      <c r="A8" s="1" t="s">
        <v>4</v>
      </c>
    </row>
    <row r="9" spans="1:4" ht="18" x14ac:dyDescent="0.25">
      <c r="B9" s="37" t="s">
        <v>104</v>
      </c>
    </row>
    <row r="11" spans="1:4" x14ac:dyDescent="0.25">
      <c r="C11" s="33" t="s">
        <v>105</v>
      </c>
    </row>
    <row r="12" spans="1:4" x14ac:dyDescent="0.25">
      <c r="C12" s="24"/>
    </row>
    <row r="13" spans="1:4" x14ac:dyDescent="0.25">
      <c r="D13" s="34" t="s">
        <v>106</v>
      </c>
    </row>
    <row r="14" spans="1:4" x14ac:dyDescent="0.25">
      <c r="D14" s="24"/>
    </row>
    <row r="15" spans="1:4" x14ac:dyDescent="0.25">
      <c r="D15" s="34" t="s">
        <v>107</v>
      </c>
    </row>
    <row r="19" spans="2:4" ht="18" x14ac:dyDescent="0.25">
      <c r="B19" s="37" t="s">
        <v>108</v>
      </c>
    </row>
    <row r="20" spans="2:4" x14ac:dyDescent="0.25">
      <c r="B20" s="24"/>
    </row>
    <row r="21" spans="2:4" x14ac:dyDescent="0.25">
      <c r="C21" s="34" t="s">
        <v>109</v>
      </c>
    </row>
    <row r="22" spans="2:4" x14ac:dyDescent="0.25">
      <c r="C22" s="24"/>
    </row>
    <row r="23" spans="2:4" x14ac:dyDescent="0.25">
      <c r="C23" s="34" t="s">
        <v>110</v>
      </c>
    </row>
    <row r="27" spans="2:4" ht="18" x14ac:dyDescent="0.25">
      <c r="B27" s="37" t="s">
        <v>111</v>
      </c>
    </row>
    <row r="28" spans="2:4" ht="15.75" thickBot="1" x14ac:dyDescent="0.3"/>
    <row r="29" spans="2:4" x14ac:dyDescent="0.25">
      <c r="C29" s="44" t="s">
        <v>112</v>
      </c>
      <c r="D29" s="45" t="s">
        <v>113</v>
      </c>
    </row>
    <row r="30" spans="2:4" x14ac:dyDescent="0.25">
      <c r="C30" s="40" t="s">
        <v>114</v>
      </c>
      <c r="D30" s="41">
        <v>6</v>
      </c>
    </row>
    <row r="31" spans="2:4" ht="15.75" thickBot="1" x14ac:dyDescent="0.3">
      <c r="C31" s="42" t="s">
        <v>115</v>
      </c>
      <c r="D31" s="43">
        <v>15</v>
      </c>
    </row>
    <row r="32" spans="2:4" x14ac:dyDescent="0.25">
      <c r="B32" s="24"/>
    </row>
    <row r="33" spans="2:4" x14ac:dyDescent="0.25">
      <c r="B33" s="24" t="s">
        <v>116</v>
      </c>
    </row>
    <row r="34" spans="2:4" x14ac:dyDescent="0.25">
      <c r="B34" s="24"/>
    </row>
    <row r="35" spans="2:4" x14ac:dyDescent="0.25">
      <c r="B35" s="24" t="s">
        <v>117</v>
      </c>
    </row>
    <row r="39" spans="2:4" ht="18" x14ac:dyDescent="0.25">
      <c r="B39" s="37" t="s">
        <v>118</v>
      </c>
    </row>
    <row r="40" spans="2:4" x14ac:dyDescent="0.25">
      <c r="B40" s="24"/>
    </row>
    <row r="41" spans="2:4" x14ac:dyDescent="0.25">
      <c r="C41" s="34" t="s">
        <v>119</v>
      </c>
    </row>
    <row r="42" spans="2:4" x14ac:dyDescent="0.25">
      <c r="C42" s="24"/>
    </row>
    <row r="43" spans="2:4" x14ac:dyDescent="0.25">
      <c r="C43" s="24"/>
      <c r="D43" s="39" t="s">
        <v>120</v>
      </c>
    </row>
    <row r="44" spans="2:4" x14ac:dyDescent="0.25">
      <c r="C44" s="39"/>
      <c r="D44" s="39"/>
    </row>
    <row r="45" spans="2:4" x14ac:dyDescent="0.25">
      <c r="D45" s="39" t="s">
        <v>121</v>
      </c>
    </row>
    <row r="46" spans="2:4" x14ac:dyDescent="0.25">
      <c r="D46" s="39"/>
    </row>
    <row r="47" spans="2:4" x14ac:dyDescent="0.25">
      <c r="D47" s="39" t="s">
        <v>122</v>
      </c>
    </row>
    <row r="49" spans="2:5" x14ac:dyDescent="0.25">
      <c r="C49" s="34" t="s">
        <v>123</v>
      </c>
    </row>
    <row r="50" spans="2:5" x14ac:dyDescent="0.25">
      <c r="C50" s="24"/>
    </row>
    <row r="51" spans="2:5" x14ac:dyDescent="0.25">
      <c r="C51" s="24"/>
      <c r="D51" s="39" t="s">
        <v>124</v>
      </c>
    </row>
    <row r="52" spans="2:5" x14ac:dyDescent="0.25">
      <c r="C52" s="39"/>
      <c r="D52" s="39"/>
    </row>
    <row r="53" spans="2:5" x14ac:dyDescent="0.25">
      <c r="D53" s="39" t="s">
        <v>125</v>
      </c>
    </row>
    <row r="54" spans="2:5" x14ac:dyDescent="0.25">
      <c r="D54" s="39"/>
    </row>
    <row r="55" spans="2:5" x14ac:dyDescent="0.25">
      <c r="D55" s="39" t="s">
        <v>126</v>
      </c>
    </row>
    <row r="57" spans="2:5" ht="18" x14ac:dyDescent="0.25">
      <c r="B57" s="37" t="s">
        <v>127</v>
      </c>
    </row>
    <row r="59" spans="2:5" ht="18" x14ac:dyDescent="0.25">
      <c r="C59" s="37" t="s">
        <v>128</v>
      </c>
    </row>
    <row r="61" spans="2:5" ht="18" x14ac:dyDescent="0.25">
      <c r="D61" s="37" t="s">
        <v>97</v>
      </c>
    </row>
    <row r="62" spans="2:5" x14ac:dyDescent="0.25">
      <c r="D62" s="24"/>
    </row>
    <row r="63" spans="2:5" x14ac:dyDescent="0.25">
      <c r="E63" s="24" t="s">
        <v>129</v>
      </c>
    </row>
    <row r="64" spans="2:5" x14ac:dyDescent="0.25">
      <c r="E64" s="24"/>
    </row>
    <row r="65" spans="5:5" x14ac:dyDescent="0.25">
      <c r="E65" s="24" t="s">
        <v>130</v>
      </c>
    </row>
    <row r="66" spans="5:5" x14ac:dyDescent="0.25">
      <c r="E66" s="24"/>
    </row>
    <row r="67" spans="5:5" x14ac:dyDescent="0.25">
      <c r="E67" s="24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4594-9726-49AA-AFAE-747B34F996BD}">
  <dimension ref="A2:E68"/>
  <sheetViews>
    <sheetView workbookViewId="0">
      <selection activeCell="E25" sqref="E25"/>
    </sheetView>
  </sheetViews>
  <sheetFormatPr defaultRowHeight="15" x14ac:dyDescent="0.25"/>
  <cols>
    <col min="3" max="3" width="10.85546875" customWidth="1"/>
    <col min="4" max="4" width="26.28515625" customWidth="1"/>
  </cols>
  <sheetData>
    <row r="2" spans="1:3" ht="21" x14ac:dyDescent="0.35">
      <c r="A2" s="1" t="s">
        <v>3</v>
      </c>
      <c r="B2" s="1" t="s">
        <v>25</v>
      </c>
    </row>
    <row r="3" spans="1:3" ht="21" x14ac:dyDescent="0.35">
      <c r="B3" s="1" t="s">
        <v>26</v>
      </c>
    </row>
    <row r="4" spans="1:3" ht="21" x14ac:dyDescent="0.35">
      <c r="B4" s="1" t="s">
        <v>29</v>
      </c>
    </row>
    <row r="5" spans="1:3" ht="21" x14ac:dyDescent="0.35">
      <c r="B5" s="1" t="s">
        <v>28</v>
      </c>
    </row>
    <row r="6" spans="1:3" ht="21" x14ac:dyDescent="0.35">
      <c r="B6" s="1" t="s">
        <v>27</v>
      </c>
    </row>
    <row r="8" spans="1:3" ht="21" x14ac:dyDescent="0.35">
      <c r="A8" s="1" t="s">
        <v>4</v>
      </c>
    </row>
    <row r="11" spans="1:3" ht="23.25" x14ac:dyDescent="0.25">
      <c r="B11" s="23" t="s">
        <v>75</v>
      </c>
    </row>
    <row r="13" spans="1:3" x14ac:dyDescent="0.25">
      <c r="C13" t="s">
        <v>76</v>
      </c>
    </row>
    <row r="14" spans="1:3" x14ac:dyDescent="0.25">
      <c r="C14" s="24"/>
    </row>
    <row r="15" spans="1:3" x14ac:dyDescent="0.25">
      <c r="C15" s="34" t="s">
        <v>77</v>
      </c>
    </row>
    <row r="16" spans="1:3" x14ac:dyDescent="0.25">
      <c r="C16" s="24"/>
    </row>
    <row r="17" spans="2:4" x14ac:dyDescent="0.25">
      <c r="C17" s="34" t="s">
        <v>78</v>
      </c>
    </row>
    <row r="19" spans="2:4" ht="23.25" x14ac:dyDescent="0.25">
      <c r="B19" s="23" t="s">
        <v>79</v>
      </c>
    </row>
    <row r="21" spans="2:4" x14ac:dyDescent="0.25">
      <c r="C21" s="36" t="s">
        <v>80</v>
      </c>
      <c r="D21" s="38" t="s">
        <v>81</v>
      </c>
    </row>
    <row r="22" spans="2:4" x14ac:dyDescent="0.25">
      <c r="C22" s="35" t="s">
        <v>82</v>
      </c>
      <c r="D22" s="35">
        <v>30</v>
      </c>
    </row>
    <row r="23" spans="2:4" x14ac:dyDescent="0.25">
      <c r="C23" s="35" t="s">
        <v>83</v>
      </c>
      <c r="D23" s="35">
        <v>120</v>
      </c>
    </row>
    <row r="26" spans="2:4" ht="23.25" x14ac:dyDescent="0.25">
      <c r="B26" s="23" t="s">
        <v>84</v>
      </c>
    </row>
    <row r="28" spans="2:4" ht="18" x14ac:dyDescent="0.25">
      <c r="C28" s="37" t="s">
        <v>85</v>
      </c>
    </row>
    <row r="29" spans="2:4" x14ac:dyDescent="0.25">
      <c r="C29" s="24"/>
    </row>
    <row r="30" spans="2:4" x14ac:dyDescent="0.25">
      <c r="D30" s="24" t="s">
        <v>86</v>
      </c>
    </row>
    <row r="31" spans="2:4" x14ac:dyDescent="0.25">
      <c r="D31" s="24"/>
    </row>
    <row r="32" spans="2:4" x14ac:dyDescent="0.25">
      <c r="D32" s="24" t="s">
        <v>87</v>
      </c>
    </row>
    <row r="33" spans="3:4" x14ac:dyDescent="0.25">
      <c r="D33" s="24"/>
    </row>
    <row r="34" spans="3:4" x14ac:dyDescent="0.25">
      <c r="D34" s="34" t="s">
        <v>88</v>
      </c>
    </row>
    <row r="35" spans="3:4" x14ac:dyDescent="0.25">
      <c r="D35" s="24"/>
    </row>
    <row r="36" spans="3:4" x14ac:dyDescent="0.25">
      <c r="D36" s="34" t="s">
        <v>89</v>
      </c>
    </row>
    <row r="38" spans="3:4" ht="18" x14ac:dyDescent="0.25">
      <c r="C38" s="37" t="s">
        <v>90</v>
      </c>
    </row>
    <row r="39" spans="3:4" x14ac:dyDescent="0.25">
      <c r="C39" s="24"/>
    </row>
    <row r="40" spans="3:4" x14ac:dyDescent="0.25">
      <c r="D40" s="24" t="s">
        <v>91</v>
      </c>
    </row>
    <row r="41" spans="3:4" x14ac:dyDescent="0.25">
      <c r="D41" s="24"/>
    </row>
    <row r="42" spans="3:4" x14ac:dyDescent="0.25">
      <c r="D42" s="24" t="s">
        <v>92</v>
      </c>
    </row>
    <row r="43" spans="3:4" x14ac:dyDescent="0.25">
      <c r="D43" s="24"/>
    </row>
    <row r="44" spans="3:4" x14ac:dyDescent="0.25">
      <c r="D44" s="34" t="s">
        <v>93</v>
      </c>
    </row>
    <row r="45" spans="3:4" x14ac:dyDescent="0.25">
      <c r="D45" s="24"/>
    </row>
    <row r="46" spans="3:4" x14ac:dyDescent="0.25">
      <c r="D46" s="34" t="s">
        <v>94</v>
      </c>
    </row>
    <row r="50" spans="2:5" ht="23.25" x14ac:dyDescent="0.25">
      <c r="B50" s="23" t="s">
        <v>95</v>
      </c>
    </row>
    <row r="52" spans="2:5" ht="18" x14ac:dyDescent="0.25">
      <c r="C52" s="37" t="s">
        <v>96</v>
      </c>
    </row>
    <row r="54" spans="2:5" ht="18" x14ac:dyDescent="0.25">
      <c r="D54" s="37" t="s">
        <v>97</v>
      </c>
    </row>
    <row r="55" spans="2:5" x14ac:dyDescent="0.25">
      <c r="D55" s="24"/>
    </row>
    <row r="56" spans="2:5" x14ac:dyDescent="0.25">
      <c r="E56" s="24" t="s">
        <v>98</v>
      </c>
    </row>
    <row r="57" spans="2:5" x14ac:dyDescent="0.25">
      <c r="E57" s="24"/>
    </row>
    <row r="58" spans="2:5" x14ac:dyDescent="0.25">
      <c r="E58" s="24" t="s">
        <v>99</v>
      </c>
    </row>
    <row r="59" spans="2:5" x14ac:dyDescent="0.25">
      <c r="E59" s="24"/>
    </row>
    <row r="60" spans="2:5" x14ac:dyDescent="0.25">
      <c r="E60" s="24" t="s">
        <v>100</v>
      </c>
    </row>
    <row r="61" spans="2:5" x14ac:dyDescent="0.25">
      <c r="E61" s="24"/>
    </row>
    <row r="62" spans="2:5" x14ac:dyDescent="0.25">
      <c r="E62" s="24" t="s">
        <v>101</v>
      </c>
    </row>
    <row r="66" spans="2:3" ht="23.25" x14ac:dyDescent="0.25">
      <c r="B66" s="23" t="s">
        <v>103</v>
      </c>
    </row>
    <row r="68" spans="2:3" x14ac:dyDescent="0.25">
      <c r="C68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B023-19AD-4ACF-9CC0-91F46528543B}">
  <dimension ref="A2:G38"/>
  <sheetViews>
    <sheetView workbookViewId="0">
      <selection activeCell="F17" sqref="F17"/>
    </sheetView>
  </sheetViews>
  <sheetFormatPr defaultRowHeight="15" x14ac:dyDescent="0.25"/>
  <cols>
    <col min="3" max="3" width="15.5703125" bestFit="1" customWidth="1"/>
    <col min="7" max="7" width="19" customWidth="1"/>
  </cols>
  <sheetData>
    <row r="2" spans="1:7" ht="21" x14ac:dyDescent="0.35">
      <c r="A2" s="1" t="s">
        <v>3</v>
      </c>
      <c r="B2" s="1" t="s">
        <v>30</v>
      </c>
    </row>
    <row r="3" spans="1:7" ht="21" x14ac:dyDescent="0.35">
      <c r="B3" s="1" t="s">
        <v>233</v>
      </c>
    </row>
    <row r="4" spans="1:7" ht="21" x14ac:dyDescent="0.35">
      <c r="B4" s="1" t="s">
        <v>31</v>
      </c>
    </row>
    <row r="6" spans="1:7" ht="21.75" thickBot="1" x14ac:dyDescent="0.4">
      <c r="A6" s="1" t="s">
        <v>4</v>
      </c>
    </row>
    <row r="7" spans="1:7" x14ac:dyDescent="0.25">
      <c r="B7" s="63" t="s">
        <v>173</v>
      </c>
      <c r="C7" s="64" t="s">
        <v>172</v>
      </c>
      <c r="F7" s="63" t="s">
        <v>174</v>
      </c>
      <c r="G7" s="64" t="s">
        <v>175</v>
      </c>
    </row>
    <row r="8" spans="1:7" x14ac:dyDescent="0.25">
      <c r="B8" s="3" t="s">
        <v>188</v>
      </c>
      <c r="C8" s="60">
        <v>400</v>
      </c>
      <c r="F8" s="3">
        <f>AVERAGE($C$8:$C$12)</f>
        <v>414</v>
      </c>
      <c r="G8" s="82">
        <f>_xlfn.STDEV.S($C$8:$C$12)</f>
        <v>23.021728866442675</v>
      </c>
    </row>
    <row r="9" spans="1:7" x14ac:dyDescent="0.25">
      <c r="B9" s="3" t="s">
        <v>189</v>
      </c>
      <c r="C9" s="61">
        <v>420</v>
      </c>
    </row>
    <row r="10" spans="1:7" x14ac:dyDescent="0.25">
      <c r="B10" s="3" t="s">
        <v>190</v>
      </c>
      <c r="C10" s="60">
        <v>390</v>
      </c>
    </row>
    <row r="11" spans="1:7" ht="20.25" customHeight="1" x14ac:dyDescent="0.25">
      <c r="B11" s="95" t="s">
        <v>191</v>
      </c>
      <c r="C11" s="60">
        <v>450</v>
      </c>
      <c r="E11" s="23" t="s">
        <v>187</v>
      </c>
    </row>
    <row r="12" spans="1:7" ht="15.75" thickBot="1" x14ac:dyDescent="0.3">
      <c r="B12" s="4" t="s">
        <v>192</v>
      </c>
      <c r="C12" s="62">
        <v>410</v>
      </c>
    </row>
    <row r="13" spans="1:7" ht="18" x14ac:dyDescent="0.25">
      <c r="F13" s="37" t="s">
        <v>176</v>
      </c>
    </row>
    <row r="14" spans="1:7" x14ac:dyDescent="0.25">
      <c r="F14" s="24"/>
    </row>
    <row r="15" spans="1:7" x14ac:dyDescent="0.25">
      <c r="G15" s="24" t="s">
        <v>177</v>
      </c>
    </row>
    <row r="16" spans="1:7" x14ac:dyDescent="0.25">
      <c r="G16" s="24"/>
    </row>
    <row r="17" spans="5:7" x14ac:dyDescent="0.25">
      <c r="G17" s="24" t="s">
        <v>178</v>
      </c>
    </row>
    <row r="19" spans="5:7" ht="18" x14ac:dyDescent="0.25">
      <c r="F19" s="37" t="s">
        <v>179</v>
      </c>
    </row>
    <row r="20" spans="5:7" x14ac:dyDescent="0.25">
      <c r="F20" s="24"/>
    </row>
    <row r="21" spans="5:7" x14ac:dyDescent="0.25">
      <c r="G21" s="24" t="s">
        <v>180</v>
      </c>
    </row>
    <row r="22" spans="5:7" x14ac:dyDescent="0.25">
      <c r="G22" s="24"/>
    </row>
    <row r="23" spans="5:7" x14ac:dyDescent="0.25">
      <c r="G23" s="24" t="s">
        <v>181</v>
      </c>
    </row>
    <row r="27" spans="5:7" ht="23.25" x14ac:dyDescent="0.25">
      <c r="E27" s="23" t="s">
        <v>186</v>
      </c>
    </row>
    <row r="29" spans="5:7" ht="18" x14ac:dyDescent="0.25">
      <c r="F29" s="37" t="s">
        <v>182</v>
      </c>
    </row>
    <row r="30" spans="5:7" x14ac:dyDescent="0.25">
      <c r="F30" s="24"/>
    </row>
    <row r="31" spans="5:7" x14ac:dyDescent="0.25">
      <c r="F31" s="24"/>
      <c r="G31" t="s">
        <v>234</v>
      </c>
    </row>
    <row r="32" spans="5:7" x14ac:dyDescent="0.25">
      <c r="F32" s="24"/>
      <c r="G32" t="s">
        <v>235</v>
      </c>
    </row>
    <row r="33" spans="6:7" x14ac:dyDescent="0.25">
      <c r="F33" s="24"/>
    </row>
    <row r="34" spans="6:7" x14ac:dyDescent="0.25">
      <c r="G34" s="24" t="s">
        <v>183</v>
      </c>
    </row>
    <row r="35" spans="6:7" x14ac:dyDescent="0.25">
      <c r="G35" s="24"/>
    </row>
    <row r="36" spans="6:7" x14ac:dyDescent="0.25">
      <c r="G36" s="24" t="s">
        <v>184</v>
      </c>
    </row>
    <row r="38" spans="6:7" x14ac:dyDescent="0.25">
      <c r="F38" t="s">
        <v>185</v>
      </c>
    </row>
  </sheetData>
  <phoneticPr fontId="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4BD0-8274-4265-82D6-A402DD73B03D}">
  <dimension ref="A2:J33"/>
  <sheetViews>
    <sheetView workbookViewId="0">
      <selection activeCell="L27" sqref="L27"/>
    </sheetView>
  </sheetViews>
  <sheetFormatPr defaultRowHeight="15" x14ac:dyDescent="0.25"/>
  <cols>
    <col min="2" max="2" width="14.42578125" customWidth="1"/>
    <col min="3" max="3" width="12.140625" customWidth="1"/>
    <col min="6" max="6" width="15.42578125" bestFit="1" customWidth="1"/>
    <col min="7" max="7" width="14.5703125" customWidth="1"/>
    <col min="10" max="10" width="18.140625" bestFit="1" customWidth="1"/>
  </cols>
  <sheetData>
    <row r="2" spans="1:10" ht="21" x14ac:dyDescent="0.35">
      <c r="A2" s="1" t="s">
        <v>3</v>
      </c>
      <c r="B2" s="1" t="s">
        <v>32</v>
      </c>
    </row>
    <row r="3" spans="1:10" ht="21" x14ac:dyDescent="0.35">
      <c r="B3" s="1" t="s">
        <v>33</v>
      </c>
    </row>
    <row r="4" spans="1:10" ht="21" x14ac:dyDescent="0.35">
      <c r="B4" s="1" t="s">
        <v>34</v>
      </c>
    </row>
    <row r="5" spans="1:10" ht="21" x14ac:dyDescent="0.35">
      <c r="B5" s="1" t="s">
        <v>35</v>
      </c>
    </row>
    <row r="6" spans="1:10" ht="21" x14ac:dyDescent="0.35">
      <c r="B6" s="1"/>
    </row>
    <row r="7" spans="1:10" ht="21.75" thickBot="1" x14ac:dyDescent="0.4">
      <c r="A7" s="1" t="s">
        <v>4</v>
      </c>
    </row>
    <row r="8" spans="1:10" x14ac:dyDescent="0.25">
      <c r="B8" s="58" t="s">
        <v>193</v>
      </c>
      <c r="C8" s="59" t="s">
        <v>202</v>
      </c>
      <c r="F8" s="58" t="s">
        <v>203</v>
      </c>
      <c r="G8" s="59" t="s">
        <v>51</v>
      </c>
      <c r="H8" s="58" t="s">
        <v>52</v>
      </c>
      <c r="I8" s="59" t="s">
        <v>204</v>
      </c>
      <c r="J8" s="59" t="s">
        <v>175</v>
      </c>
    </row>
    <row r="9" spans="1:10" x14ac:dyDescent="0.25">
      <c r="B9" s="21" t="s">
        <v>194</v>
      </c>
      <c r="C9" s="22">
        <v>15</v>
      </c>
      <c r="F9" s="67">
        <f>AVERAGE($C$9:$C$16)</f>
        <v>19.625</v>
      </c>
      <c r="G9" s="22">
        <f>MEDIAN($C$9:$C$16)</f>
        <v>19.5</v>
      </c>
      <c r="H9" s="21" t="e">
        <f>_xlfn.MODE.SNGL($C$9:$C$16)</f>
        <v>#N/A</v>
      </c>
      <c r="I9" s="22">
        <f>MAX($C$9:$C$16)-MIN($C$9:$C$16)</f>
        <v>10</v>
      </c>
      <c r="J9" s="65">
        <f>_xlfn.STDEV.S($C$9:$C$16)</f>
        <v>3.1139088893910452</v>
      </c>
    </row>
    <row r="10" spans="1:10" x14ac:dyDescent="0.25">
      <c r="B10" s="21" t="s">
        <v>195</v>
      </c>
      <c r="C10" s="22">
        <v>18</v>
      </c>
    </row>
    <row r="11" spans="1:10" x14ac:dyDescent="0.25">
      <c r="B11" s="21" t="s">
        <v>196</v>
      </c>
      <c r="C11" s="22">
        <v>20</v>
      </c>
    </row>
    <row r="12" spans="1:10" ht="18.75" x14ac:dyDescent="0.3">
      <c r="B12" s="21" t="s">
        <v>197</v>
      </c>
      <c r="C12" s="22">
        <v>22</v>
      </c>
      <c r="F12" s="66" t="s">
        <v>209</v>
      </c>
    </row>
    <row r="13" spans="1:10" x14ac:dyDescent="0.25">
      <c r="B13" s="21" t="s">
        <v>198</v>
      </c>
      <c r="C13" s="22">
        <v>25</v>
      </c>
    </row>
    <row r="14" spans="1:10" ht="18.75" x14ac:dyDescent="0.3">
      <c r="B14" s="21" t="s">
        <v>199</v>
      </c>
      <c r="C14" s="22">
        <v>17</v>
      </c>
      <c r="G14" s="66" t="s">
        <v>238</v>
      </c>
    </row>
    <row r="15" spans="1:10" x14ac:dyDescent="0.25">
      <c r="B15" s="21" t="s">
        <v>200</v>
      </c>
      <c r="C15" s="22">
        <v>19</v>
      </c>
    </row>
    <row r="16" spans="1:10" ht="15.75" thickBot="1" x14ac:dyDescent="0.3">
      <c r="B16" s="11" t="s">
        <v>201</v>
      </c>
      <c r="C16" s="12">
        <v>21</v>
      </c>
      <c r="H16" t="s">
        <v>208</v>
      </c>
    </row>
    <row r="18" spans="6:8" x14ac:dyDescent="0.25">
      <c r="H18" t="s">
        <v>205</v>
      </c>
    </row>
    <row r="20" spans="6:8" x14ac:dyDescent="0.25">
      <c r="H20" t="s">
        <v>206</v>
      </c>
    </row>
    <row r="22" spans="6:8" x14ac:dyDescent="0.25">
      <c r="H22" t="s">
        <v>207</v>
      </c>
    </row>
    <row r="24" spans="6:8" ht="18.75" x14ac:dyDescent="0.3">
      <c r="G24" s="66" t="s">
        <v>237</v>
      </c>
    </row>
    <row r="25" spans="6:8" x14ac:dyDescent="0.25">
      <c r="H25" t="s">
        <v>211</v>
      </c>
    </row>
    <row r="26" spans="6:8" x14ac:dyDescent="0.25">
      <c r="H26" t="s">
        <v>212</v>
      </c>
    </row>
    <row r="27" spans="6:8" x14ac:dyDescent="0.25">
      <c r="H27" t="s">
        <v>213</v>
      </c>
    </row>
    <row r="28" spans="6:8" x14ac:dyDescent="0.25">
      <c r="H28" t="s">
        <v>214</v>
      </c>
    </row>
    <row r="29" spans="6:8" x14ac:dyDescent="0.25">
      <c r="H29" t="s">
        <v>215</v>
      </c>
    </row>
    <row r="31" spans="6:8" ht="18.75" x14ac:dyDescent="0.3">
      <c r="F31" s="66" t="s">
        <v>216</v>
      </c>
    </row>
    <row r="33" spans="7:7" x14ac:dyDescent="0.25">
      <c r="G33" t="s">
        <v>210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Q3</vt:lpstr>
      <vt:lpstr>Q2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 Singha</cp:lastModifiedBy>
  <dcterms:created xsi:type="dcterms:W3CDTF">2015-06-05T18:17:20Z</dcterms:created>
  <dcterms:modified xsi:type="dcterms:W3CDTF">2025-12-26T18:44:48Z</dcterms:modified>
</cp:coreProperties>
</file>