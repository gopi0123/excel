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e30c12a326608a7/Desktop/PW COURSE/EXCEL/"/>
    </mc:Choice>
  </mc:AlternateContent>
  <xr:revisionPtr revIDLastSave="49" documentId="11_F25DC773A252ABDACC104835C91E41EE5ADE58E7" xr6:coauthVersionLast="47" xr6:coauthVersionMax="47" xr10:uidLastSave="{EEF72E96-657C-486D-8EEA-5D18203DE9BF}"/>
  <bookViews>
    <workbookView xWindow="-120" yWindow="-120" windowWidth="26640" windowHeight="14370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1" i="9" l="1"/>
  <c r="E11" i="9"/>
  <c r="D38" i="8"/>
  <c r="D30" i="8"/>
  <c r="D19" i="8"/>
  <c r="E24" i="7"/>
  <c r="E33" i="7" s="1"/>
  <c r="E47" i="6"/>
  <c r="E18" i="5"/>
  <c r="I18" i="3"/>
  <c r="H23" i="3" s="1"/>
  <c r="I17" i="3"/>
  <c r="D10" i="3"/>
  <c r="J14" i="2"/>
</calcChain>
</file>

<file path=xl/sharedStrings.xml><?xml version="1.0" encoding="utf-8"?>
<sst xmlns="http://schemas.openxmlformats.org/spreadsheetml/2006/main" count="225" uniqueCount="171">
  <si>
    <t>Q)</t>
  </si>
  <si>
    <t xml:space="preserve">A die is rolled. What is the probability of getting: </t>
  </si>
  <si>
    <t xml:space="preserve">(a) An even number </t>
  </si>
  <si>
    <t>(b) A number greater than 4</t>
  </si>
  <si>
    <t>ANS</t>
  </si>
  <si>
    <t xml:space="preserve"> In a class of 50 students:</t>
  </si>
  <si>
    <t>What is the probability that a student chosen at random likes Mathematics or Science?</t>
  </si>
  <si>
    <t>• 20 like Mathematics (M)</t>
  </si>
  <si>
    <t>• 15 like Science (S)</t>
  </si>
  <si>
    <t>• 5 like both subjects</t>
  </si>
  <si>
    <t>A bag has 3 red and 2 blue balls. If one ball is drawn randomly and is red, what is the probability that the next ball is also red (without replacement)?</t>
  </si>
  <si>
    <t xml:space="preserve">The population of a school is divided into 60% boys and 40% girls. If you want equal representation of both genders in the sample, </t>
  </si>
  <si>
    <t>which method should you use: Simple Random Sampling or Stratified Sampling? Why?</t>
  </si>
  <si>
    <t xml:space="preserve"> The average height of 1000 students = 160 cm. A sample of 100 students shows an average height = 158 cm. Find the sampling error.</t>
  </si>
  <si>
    <t>The population mean salary is ₹50,000 with σ = ₹5,000. If we take a sample of 100 employees, what is the standard error of the mean (SEM)?</t>
  </si>
  <si>
    <t>In a group of 100 students:</t>
  </si>
  <si>
    <t>40 like Cricket (C)</t>
  </si>
  <si>
    <t>30 like Football (F)</t>
  </si>
  <si>
    <t>10 like both Cricket and Football</t>
  </si>
  <si>
    <t>Find the probability that a student likes at least one sport.</t>
  </si>
  <si>
    <t>From a deck of 52 cards, two cards are drawn without replacement. What is the probability that both are Aces?</t>
  </si>
  <si>
    <t>A factory produces bulbs with 2% defective rate. If 5 bulbs are chosen at random, what is the probability that all are non-defective?</t>
  </si>
  <si>
    <t xml:space="preserve"> Differentiate between discrete and continuous random variables with examples.</t>
  </si>
  <si>
    <t>Step 1: List all possible outcomes</t>
  </si>
  <si>
    <t>When a fair die is rolled, the possible outcomes are:</t>
  </si>
  <si>
    <r>
      <t xml:space="preserve">Total number of outcomes = </t>
    </r>
    <r>
      <rPr>
        <b/>
        <sz val="11"/>
        <color theme="1"/>
        <rFont val="Calibri"/>
        <family val="2"/>
        <scheme val="minor"/>
      </rPr>
      <t>6</t>
    </r>
  </si>
  <si>
    <t>(a) Probability of getting an even number</t>
  </si>
  <si>
    <r>
      <t>Step 2:</t>
    </r>
    <r>
      <rPr>
        <sz val="11"/>
        <color theme="1"/>
        <rFont val="Calibri"/>
        <family val="2"/>
        <scheme val="minor"/>
      </rPr>
      <t xml:space="preserve"> Identify even numbers</t>
    </r>
  </si>
  <si>
    <t>Even numbers are:</t>
  </si>
  <si>
    <r>
      <t>Step 3:</t>
    </r>
    <r>
      <rPr>
        <sz val="11"/>
        <color theme="1"/>
        <rFont val="Calibri"/>
        <family val="2"/>
        <scheme val="minor"/>
      </rPr>
      <t xml:space="preserve"> Count favorable outcomes</t>
    </r>
  </si>
  <si>
    <r>
      <t xml:space="preserve">Number of even outcomes = </t>
    </r>
    <r>
      <rPr>
        <b/>
        <sz val="11"/>
        <color theme="1"/>
        <rFont val="Calibri"/>
        <family val="2"/>
        <scheme val="minor"/>
      </rPr>
      <t>3</t>
    </r>
  </si>
  <si>
    <r>
      <t>Step 4:</t>
    </r>
    <r>
      <rPr>
        <sz val="11"/>
        <color theme="1"/>
        <rFont val="Calibri"/>
        <family val="2"/>
        <scheme val="minor"/>
      </rPr>
      <t xml:space="preserve"> Apply probability formula</t>
    </r>
  </si>
  <si>
    <t>(b) Probability of getting a number greater than 4</t>
  </si>
  <si>
    <r>
      <t>Step 2:</t>
    </r>
    <r>
      <rPr>
        <sz val="11"/>
        <color theme="1"/>
        <rFont val="Calibri"/>
        <family val="2"/>
        <scheme val="minor"/>
      </rPr>
      <t xml:space="preserve"> Identify numbers greater than 4</t>
    </r>
  </si>
  <si>
    <r>
      <t xml:space="preserve">Number of outcomes greater than 4 = </t>
    </r>
    <r>
      <rPr>
        <b/>
        <sz val="11"/>
        <color theme="1"/>
        <rFont val="Calibri"/>
        <family val="2"/>
        <scheme val="minor"/>
      </rPr>
      <t>2</t>
    </r>
  </si>
  <si>
    <r>
      <t>(a)</t>
    </r>
    <r>
      <rPr>
        <sz val="11"/>
        <color theme="1"/>
        <rFont val="Calibri"/>
        <family val="2"/>
        <scheme val="minor"/>
      </rPr>
      <t xml:space="preserve"> Probability of even number = </t>
    </r>
    <r>
      <rPr>
        <b/>
        <sz val="11"/>
        <color theme="1"/>
        <rFont val="Calibri"/>
        <family val="2"/>
        <scheme val="minor"/>
      </rPr>
      <t>1/2</t>
    </r>
  </si>
  <si>
    <r>
      <t>(b)</t>
    </r>
    <r>
      <rPr>
        <sz val="11"/>
        <color theme="1"/>
        <rFont val="Calibri"/>
        <family val="2"/>
        <scheme val="minor"/>
      </rPr>
      <t xml:space="preserve"> Probability of number greater than 4 = </t>
    </r>
    <r>
      <rPr>
        <b/>
        <sz val="11"/>
        <color theme="1"/>
        <rFont val="Calibri"/>
        <family val="2"/>
        <scheme val="minor"/>
      </rPr>
      <t>1/3</t>
    </r>
  </si>
  <si>
    <t>• Final Answers:</t>
  </si>
  <si>
    <t>{1,2,3,4,5,6}</t>
  </si>
  <si>
    <t>{2,4,6}</t>
  </si>
  <si>
    <t>{5,6}</t>
  </si>
  <si>
    <t>P(Number &gt; 4)</t>
  </si>
  <si>
    <t>Value</t>
  </si>
  <si>
    <t>Total Students</t>
  </si>
  <si>
    <t>Like Mathematics</t>
  </si>
  <si>
    <t>Like Science</t>
  </si>
  <si>
    <t>Like Both</t>
  </si>
  <si>
    <t>Condition</t>
  </si>
  <si>
    <t>Use the formula:</t>
  </si>
  <si>
    <t>Step 3: Calculate Probability</t>
  </si>
  <si>
    <r>
      <t xml:space="preserve">Result → </t>
    </r>
    <r>
      <rPr>
        <b/>
        <sz val="11"/>
        <color theme="1"/>
        <rFont val="Calibri"/>
        <family val="2"/>
        <scheme val="minor"/>
      </rPr>
      <t>0.6</t>
    </r>
  </si>
  <si>
    <t>✅ Final Answer:</t>
  </si>
  <si>
    <t>Probability that a student likes Mathematics or Science = 0.6 (or 60%)</t>
  </si>
  <si>
    <t>(Like Mathematics+Like Science-Like Both)/Total Students</t>
  </si>
  <si>
    <t xml:space="preserve">Formula = </t>
  </si>
  <si>
    <t>=</t>
  </si>
  <si>
    <t>• Calculate Probability</t>
  </si>
  <si>
    <t>Description</t>
  </si>
  <si>
    <t>Red balls</t>
  </si>
  <si>
    <t>Blue balls</t>
  </si>
  <si>
    <t>Total balls</t>
  </si>
  <si>
    <t>Remaining red balls</t>
  </si>
  <si>
    <t>Remaining total balls</t>
  </si>
  <si>
    <r>
      <t xml:space="preserve">Since </t>
    </r>
    <r>
      <rPr>
        <b/>
        <sz val="11"/>
        <color theme="1"/>
        <rFont val="Calibri"/>
        <family val="2"/>
        <scheme val="minor"/>
      </rPr>
      <t>one red ball is already drawn</t>
    </r>
    <r>
      <rPr>
        <sz val="11"/>
        <color theme="1"/>
        <rFont val="Calibri"/>
        <family val="2"/>
        <scheme val="minor"/>
      </rPr>
      <t>, update the counts:</t>
    </r>
  </si>
  <si>
    <r>
      <t xml:space="preserve">Result → </t>
    </r>
    <r>
      <rPr>
        <b/>
        <sz val="11"/>
        <color theme="1"/>
        <rFont val="Calibri"/>
        <family val="2"/>
        <scheme val="minor"/>
      </rPr>
      <t>0.5</t>
    </r>
  </si>
  <si>
    <t>Probability that the next ball is also red = 0.5 (or 1/2)</t>
  </si>
  <si>
    <t>• First ball is red (given condition)</t>
  </si>
  <si>
    <t>• Probability next ball is red</t>
  </si>
  <si>
    <t>• Final Answer:</t>
  </si>
  <si>
    <r>
      <t xml:space="preserve">If you use </t>
    </r>
    <r>
      <rPr>
        <b/>
        <sz val="11"/>
        <color theme="1"/>
        <rFont val="Calibri"/>
        <family val="2"/>
        <scheme val="minor"/>
      </rPr>
      <t>Simple Random Sampling</t>
    </r>
    <r>
      <rPr>
        <sz val="11"/>
        <color theme="1"/>
        <rFont val="Calibri"/>
        <family val="2"/>
        <scheme val="minor"/>
      </rPr>
      <t xml:space="preserve">, the sample is likely to include </t>
    </r>
    <r>
      <rPr>
        <b/>
        <sz val="11"/>
        <color theme="1"/>
        <rFont val="Calibri"/>
        <family val="2"/>
        <scheme val="minor"/>
      </rPr>
      <t>more boys than girls</t>
    </r>
    <r>
      <rPr>
        <sz val="11"/>
        <color theme="1"/>
        <rFont val="Calibri"/>
        <family val="2"/>
        <scheme val="minor"/>
      </rPr>
      <t>, because boys are the majority.</t>
    </r>
  </si>
  <si>
    <r>
      <t xml:space="preserve">This guarantees </t>
    </r>
    <r>
      <rPr>
        <b/>
        <sz val="11"/>
        <color theme="1"/>
        <rFont val="Calibri"/>
        <family val="2"/>
        <scheme val="minor"/>
      </rPr>
      <t>equal representation of both genders</t>
    </r>
    <r>
      <rPr>
        <sz val="11"/>
        <color theme="1"/>
        <rFont val="Calibri"/>
        <family val="2"/>
        <scheme val="minor"/>
      </rPr>
      <t xml:space="preserve"> in the sample.</t>
    </r>
  </si>
  <si>
    <t>Stratified Sampling should be used because it ensures equal representation of boys and girls, whereas Simple Random Sampling may result in unequal representation due to the population imbalance.</t>
  </si>
  <si>
    <t>• Explanation:</t>
  </si>
  <si>
    <t>• 60% boys</t>
  </si>
  <si>
    <t>• 40% girls</t>
  </si>
  <si>
    <r>
      <t>Stratified Sampling</t>
    </r>
    <r>
      <rPr>
        <u/>
        <sz val="11"/>
        <color theme="1"/>
        <rFont val="Calibri"/>
        <family val="2"/>
        <scheme val="minor"/>
      </rPr>
      <t xml:space="preserve"> is the better choice because:</t>
    </r>
  </si>
  <si>
    <r>
      <t xml:space="preserve">The population has </t>
    </r>
    <r>
      <rPr>
        <b/>
        <u/>
        <sz val="11"/>
        <color theme="1"/>
        <rFont val="Calibri"/>
        <family val="2"/>
        <scheme val="minor"/>
      </rPr>
      <t>unequal proportions</t>
    </r>
    <r>
      <rPr>
        <u/>
        <sz val="11"/>
        <color theme="1"/>
        <rFont val="Calibri"/>
        <family val="2"/>
        <scheme val="minor"/>
      </rPr>
      <t>:</t>
    </r>
  </si>
  <si>
    <r>
      <t xml:space="preserve">• The population is first divided into </t>
    </r>
    <r>
      <rPr>
        <b/>
        <sz val="11"/>
        <color theme="1"/>
        <rFont val="Calibri"/>
        <family val="2"/>
        <scheme val="minor"/>
      </rPr>
      <t>strata</t>
    </r>
    <r>
      <rPr>
        <sz val="11"/>
        <color theme="1"/>
        <rFont val="Calibri"/>
        <family val="2"/>
        <scheme val="minor"/>
      </rPr>
      <t xml:space="preserve"> (boys and girls).</t>
    </r>
  </si>
  <si>
    <r>
      <t xml:space="preserve">• An </t>
    </r>
    <r>
      <rPr>
        <b/>
        <sz val="11"/>
        <color theme="1"/>
        <rFont val="Calibri"/>
        <family val="2"/>
        <scheme val="minor"/>
      </rPr>
      <t>equal number of students</t>
    </r>
    <r>
      <rPr>
        <sz val="11"/>
        <color theme="1"/>
        <rFont val="Calibri"/>
        <family val="2"/>
        <scheme val="minor"/>
      </rPr>
      <t xml:space="preserve"> is selected from each group.</t>
    </r>
  </si>
  <si>
    <t>Step 1: Enter the data in Excel</t>
  </si>
  <si>
    <t>Population Mean (cm)</t>
  </si>
  <si>
    <t>Sample Mean (cm)</t>
  </si>
  <si>
    <t>Sampling Error = Sample Mean − Population Mean</t>
  </si>
  <si>
    <t>Sampling Error =</t>
  </si>
  <si>
    <t>Sampling Error = −2 cm</t>
  </si>
  <si>
    <r>
      <t xml:space="preserve"> This means the sample average is </t>
    </r>
    <r>
      <rPr>
        <b/>
        <sz val="11"/>
        <color theme="1"/>
        <rFont val="Calibri"/>
        <family val="2"/>
        <scheme val="minor"/>
      </rPr>
      <t>2 cm less</t>
    </r>
    <r>
      <rPr>
        <sz val="11"/>
        <color theme="1"/>
        <rFont val="Calibri"/>
        <family val="2"/>
        <scheme val="minor"/>
      </rPr>
      <t xml:space="preserve"> than the population average.</t>
    </r>
  </si>
  <si>
    <t>• Sampling Error formula</t>
  </si>
  <si>
    <t>• Enter the data in Excel</t>
  </si>
  <si>
    <t>Step 1: Enter the given data</t>
  </si>
  <si>
    <t>Population Std. Deviation (σ)</t>
  </si>
  <si>
    <t>Sample Size (n)</t>
  </si>
  <si>
    <t>Formula:</t>
  </si>
  <si>
    <t>Standard Error of the Mean (SEM) = ₹500</t>
  </si>
  <si>
    <r>
      <t xml:space="preserve">This means the sample mean salary typically varies by about </t>
    </r>
    <r>
      <rPr>
        <b/>
        <sz val="11"/>
        <color theme="1"/>
        <rFont val="Calibri"/>
        <family val="2"/>
        <scheme val="minor"/>
      </rPr>
      <t>₹500</t>
    </r>
    <r>
      <rPr>
        <sz val="11"/>
        <color theme="1"/>
        <rFont val="Calibri"/>
        <family val="2"/>
        <scheme val="minor"/>
      </rPr>
      <t xml:space="preserve"> from the population mean.</t>
    </r>
  </si>
  <si>
    <t>• Apply the SEM formula</t>
  </si>
  <si>
    <t>• Enter the given data</t>
  </si>
  <si>
    <t>Like Cricket (C)</t>
  </si>
  <si>
    <t>Like Football (F)</t>
  </si>
  <si>
    <t>Like Both (C ∩ F)</t>
  </si>
  <si>
    <t>Step 2: Calculate students who like at least one sport</t>
  </si>
  <si>
    <r>
      <t xml:space="preserve">Result → </t>
    </r>
    <r>
      <rPr>
        <b/>
        <sz val="11"/>
        <color theme="1"/>
        <rFont val="Calibri"/>
        <family val="2"/>
        <scheme val="minor"/>
      </rPr>
      <t>60</t>
    </r>
  </si>
  <si>
    <t>Probability = (Students liking at least one sport) ÷ Total Students</t>
  </si>
  <si>
    <t>Probability that a student likes at least one sport = 0.6 (or 60%)</t>
  </si>
  <si>
    <t>C+F−(C∩F)</t>
  </si>
  <si>
    <t>Total cards</t>
  </si>
  <si>
    <t>Total Aces</t>
  </si>
  <si>
    <t>Step 2: First card is an Ace</t>
  </si>
  <si>
    <r>
      <t xml:space="preserve">Result → </t>
    </r>
    <r>
      <rPr>
        <b/>
        <sz val="11"/>
        <color theme="1"/>
        <rFont val="Calibri"/>
        <family val="2"/>
        <scheme val="minor"/>
      </rPr>
      <t>4/52</t>
    </r>
  </si>
  <si>
    <t>Step 3: Second card is an Ace (without replacement)</t>
  </si>
  <si>
    <r>
      <t xml:space="preserve">Remaining Aces = </t>
    </r>
    <r>
      <rPr>
        <sz val="10"/>
        <color theme="1"/>
        <rFont val="Arial Unicode MS"/>
      </rPr>
      <t>4 − 1 = 3</t>
    </r>
  </si>
  <si>
    <r>
      <t xml:space="preserve">Remaining cards = </t>
    </r>
    <r>
      <rPr>
        <sz val="10"/>
        <color theme="1"/>
        <rFont val="Arial Unicode MS"/>
      </rPr>
      <t>52 − 1 = 51</t>
    </r>
  </si>
  <si>
    <t>Step 4: Probability that BOTH cards are Aces</t>
  </si>
  <si>
    <t>Multiply the two probabilities.</t>
  </si>
  <si>
    <r>
      <t xml:space="preserve">This means there is about a </t>
    </r>
    <r>
      <rPr>
        <b/>
        <sz val="11"/>
        <color theme="1"/>
        <rFont val="Calibri"/>
        <family val="2"/>
        <scheme val="minor"/>
      </rPr>
      <t>0.45% chance</t>
    </r>
    <r>
      <rPr>
        <sz val="11"/>
        <color theme="1"/>
        <rFont val="Calibri"/>
        <family val="2"/>
        <scheme val="minor"/>
      </rPr>
      <t xml:space="preserve"> that both drawn cards are Aces.</t>
    </r>
  </si>
  <si>
    <t>Probability of first Ace =Total Aces/Total cards</t>
  </si>
  <si>
    <t>Result → Remaining Aces/Remaining cards</t>
  </si>
  <si>
    <t>Probability = 0.00452</t>
  </si>
  <si>
    <t>Defective Rate</t>
  </si>
  <si>
    <t>Non-defective Rate</t>
  </si>
  <si>
    <r>
      <t>=1-A1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98%</t>
    </r>
  </si>
  <si>
    <t>Number of bulbs</t>
  </si>
  <si>
    <t>Step 2: Probability that all 5 bulbs are non-defective</t>
  </si>
  <si>
    <t>or</t>
  </si>
  <si>
    <t>(Probability of non-defective)</t>
  </si>
  <si>
    <t xml:space="preserve"> 0.9039 (approximately)</t>
  </si>
  <si>
    <t>Probability =</t>
  </si>
  <si>
    <r>
      <t xml:space="preserve"> There is about a </t>
    </r>
    <r>
      <rPr>
        <b/>
        <sz val="11"/>
        <color theme="1"/>
        <rFont val="Calibri"/>
        <family val="2"/>
        <scheme val="minor"/>
      </rPr>
      <t>90% chance</t>
    </r>
    <r>
      <rPr>
        <sz val="11"/>
        <color theme="1"/>
        <rFont val="Calibri"/>
        <family val="2"/>
        <scheme val="minor"/>
      </rPr>
      <t xml:space="preserve"> that all 5 selected bulbs are non-defective.</t>
    </r>
  </si>
  <si>
    <t>Feature</t>
  </si>
  <si>
    <t>Discrete Random Variable</t>
  </si>
  <si>
    <t>Continuous Random Variable</t>
  </si>
  <si>
    <t>Definition</t>
  </si>
  <si>
    <t>Values</t>
  </si>
  <si>
    <t>Examples</t>
  </si>
  <si>
    <t>A discrete random variable is one that can take a finite or countable number of distinct values. These are often counts of objects or events.</t>
  </si>
  <si>
    <t>Characteristics</t>
  </si>
  <si>
    <t>1. Rolling a die – outcomes: 1, 2, 3, 4, 5, 6.</t>
  </si>
  <si>
    <t>2. Number of students passing an exam – outcomes: 0, 1, 2, …, total students.</t>
  </si>
  <si>
    <t>3. Number of heads in 3 coin tosses – outcomes: 0, 1, 2, 3.</t>
  </si>
  <si>
    <t>3. Continuous Random Variables</t>
  </si>
  <si>
    <t>A continuous random variable is one that can take any value within a given interval. These are usually measured, not counted.</t>
  </si>
  <si>
    <t>1. Height of students – can take any value like 165.2 cm, 165.25 cm, etc.</t>
  </si>
  <si>
    <t>2. Time to run a race – can be 10.23 s, 10.231 s, etc.</t>
  </si>
  <si>
    <t>3. Temperature in a city – can be 36.5°C, 36.51°C, etc.</t>
  </si>
  <si>
    <t>4. Comparison Table</t>
  </si>
  <si>
    <t>Countable, distinct</t>
  </si>
  <si>
    <t>Uncountable, any value in an interval</t>
  </si>
  <si>
    <t>Probability</t>
  </si>
  <si>
    <t>Probability of exact values (PMF)</t>
  </si>
  <si>
    <t>Probability of ranges (PDF)</t>
  </si>
  <si>
    <t>Graph</t>
  </si>
  <si>
    <t>Bar graph</t>
  </si>
  <si>
    <t>Smooth curve</t>
  </si>
  <si>
    <t>Number of cars, dice roll, coin toss outcomes</t>
  </si>
  <si>
    <t>Height, weight, time, temperature</t>
  </si>
  <si>
    <t>Gaps between values</t>
  </si>
  <si>
    <t>Yes</t>
  </si>
  <si>
    <t>No</t>
  </si>
  <si>
    <t>Probability of exact value</t>
  </si>
  <si>
    <t>Nonzero</t>
  </si>
  <si>
    <t>Zero</t>
  </si>
  <si>
    <t>Summary:</t>
  </si>
  <si>
    <t>• Discrete Random Variables</t>
  </si>
  <si>
    <t>• Values are countable (like 0, 1, 2, …).</t>
  </si>
  <si>
    <t>• There are gaps between possible values.</t>
  </si>
  <si>
    <t>• Probability of each value can be calculated using a Probability Mass Function (PMF).</t>
  </si>
  <si>
    <t>• Values are uncountable (infinite possibilities).</t>
  </si>
  <si>
    <t>• Probabilities are defined over ranges using a Probability Density Function (PDF).</t>
  </si>
  <si>
    <t>• Probability of a single exact value is 0; only intervals have nonzero probability.</t>
  </si>
  <si>
    <t>• Discrete RVs are countable and often integers.</t>
  </si>
  <si>
    <t>• Continuous RVs are measurable and can take any value in a range.</t>
  </si>
  <si>
    <t>• In real life, counts → discrete, measurements → continuous.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</si>
</sst>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1"/>
      <color theme="1"/>
      <name val="Arial Unicode MS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/>
    <xf numFmtId="9" fontId="0" fillId="0" borderId="1" xfId="0" applyNumberForma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0" fontId="10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27</xdr:row>
      <xdr:rowOff>0</xdr:rowOff>
    </xdr:from>
    <xdr:to>
      <xdr:col>13</xdr:col>
      <xdr:colOff>247650</xdr:colOff>
      <xdr:row>31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CB3770F-FD5F-F85B-B1BE-D2F8C484A9B5}"/>
            </a:ext>
          </a:extLst>
        </xdr:cNvPr>
        <xdr:cNvSpPr/>
      </xdr:nvSpPr>
      <xdr:spPr>
        <a:xfrm>
          <a:off x="3971925" y="5524500"/>
          <a:ext cx="4200525" cy="92392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  <a:p>
          <a:pPr algn="l"/>
          <a:r>
            <a:rPr lang="en-US"/>
            <a:t>	</a:t>
          </a:r>
          <a:r>
            <a:rPr lang="en-US" baseline="0"/>
            <a:t>      </a:t>
          </a:r>
          <a:r>
            <a:rPr lang="en-US"/>
            <a:t>Favorable outcomes</a:t>
          </a:r>
        </a:p>
        <a:p>
          <a:pPr algn="l"/>
          <a:r>
            <a:rPr lang="en-US"/>
            <a:t>P(Even number)=</a:t>
          </a:r>
        </a:p>
        <a:p>
          <a:pPr algn="l"/>
          <a:r>
            <a:rPr lang="en-US" sz="1100"/>
            <a:t>                                       Total Outcomes</a:t>
          </a:r>
        </a:p>
      </xdr:txBody>
    </xdr:sp>
    <xdr:clientData/>
  </xdr:twoCellAnchor>
  <xdr:twoCellAnchor>
    <xdr:from>
      <xdr:col>8</xdr:col>
      <xdr:colOff>266700</xdr:colOff>
      <xdr:row>29</xdr:row>
      <xdr:rowOff>104775</xdr:rowOff>
    </xdr:from>
    <xdr:to>
      <xdr:col>10</xdr:col>
      <xdr:colOff>295275</xdr:colOff>
      <xdr:row>29</xdr:row>
      <xdr:rowOff>104775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DA485CE-A729-421B-51ED-55A1AF4BC406}"/>
            </a:ext>
          </a:extLst>
        </xdr:cNvPr>
        <xdr:cNvCxnSpPr/>
      </xdr:nvCxnSpPr>
      <xdr:spPr>
        <a:xfrm>
          <a:off x="5143500" y="6010275"/>
          <a:ext cx="12477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295275</xdr:colOff>
      <xdr:row>26</xdr:row>
      <xdr:rowOff>190499</xdr:rowOff>
    </xdr:from>
    <xdr:to>
      <xdr:col>11</xdr:col>
      <xdr:colOff>381000</xdr:colOff>
      <xdr:row>31</xdr:row>
      <xdr:rowOff>28574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5D129FD-4F37-D927-83DB-0F77D7353107}"/>
            </a:ext>
          </a:extLst>
        </xdr:cNvPr>
        <xdr:cNvSpPr/>
      </xdr:nvSpPr>
      <xdr:spPr>
        <a:xfrm>
          <a:off x="6391275" y="5524499"/>
          <a:ext cx="695325" cy="79057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r>
            <a:rPr lang="en-US" sz="1100"/>
            <a:t>        3</a:t>
          </a:r>
        </a:p>
        <a:p>
          <a:pPr algn="l"/>
          <a:r>
            <a:rPr lang="en-US" sz="1100"/>
            <a:t>=</a:t>
          </a:r>
        </a:p>
        <a:p>
          <a:pPr algn="l"/>
          <a:r>
            <a:rPr lang="en-US" sz="1100"/>
            <a:t>        6</a:t>
          </a:r>
        </a:p>
      </xdr:txBody>
    </xdr:sp>
    <xdr:clientData/>
  </xdr:twoCellAnchor>
  <xdr:twoCellAnchor>
    <xdr:from>
      <xdr:col>10</xdr:col>
      <xdr:colOff>523875</xdr:colOff>
      <xdr:row>29</xdr:row>
      <xdr:rowOff>85725</xdr:rowOff>
    </xdr:from>
    <xdr:to>
      <xdr:col>11</xdr:col>
      <xdr:colOff>152400</xdr:colOff>
      <xdr:row>29</xdr:row>
      <xdr:rowOff>85725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E0FFC01-82FF-39FA-033B-830DF8B80B69}"/>
            </a:ext>
          </a:extLst>
        </xdr:cNvPr>
        <xdr:cNvCxnSpPr/>
      </xdr:nvCxnSpPr>
      <xdr:spPr>
        <a:xfrm>
          <a:off x="6619875" y="5991225"/>
          <a:ext cx="238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257175</xdr:colOff>
      <xdr:row>26</xdr:row>
      <xdr:rowOff>190499</xdr:rowOff>
    </xdr:from>
    <xdr:to>
      <xdr:col>12</xdr:col>
      <xdr:colOff>342900</xdr:colOff>
      <xdr:row>31</xdr:row>
      <xdr:rowOff>28574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C96D113-926D-4FCD-B3CC-65F1D1F4C3A6}"/>
            </a:ext>
          </a:extLst>
        </xdr:cNvPr>
        <xdr:cNvSpPr/>
      </xdr:nvSpPr>
      <xdr:spPr>
        <a:xfrm>
          <a:off x="6962775" y="5524499"/>
          <a:ext cx="695325" cy="790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r>
            <a:rPr lang="en-US" sz="1100"/>
            <a:t>        3</a:t>
          </a:r>
        </a:p>
        <a:p>
          <a:pPr algn="l"/>
          <a:r>
            <a:rPr lang="en-US" sz="1100"/>
            <a:t>=</a:t>
          </a:r>
        </a:p>
        <a:p>
          <a:pPr algn="l"/>
          <a:r>
            <a:rPr lang="en-US" sz="1100"/>
            <a:t>        6</a:t>
          </a:r>
        </a:p>
      </xdr:txBody>
    </xdr:sp>
    <xdr:clientData/>
  </xdr:twoCellAnchor>
  <xdr:twoCellAnchor>
    <xdr:from>
      <xdr:col>11</xdr:col>
      <xdr:colOff>504825</xdr:colOff>
      <xdr:row>29</xdr:row>
      <xdr:rowOff>85725</xdr:rowOff>
    </xdr:from>
    <xdr:to>
      <xdr:col>12</xdr:col>
      <xdr:colOff>133350</xdr:colOff>
      <xdr:row>29</xdr:row>
      <xdr:rowOff>85725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BDDEA73D-E944-479D-9E4D-FC3CAE07B41F}"/>
            </a:ext>
          </a:extLst>
        </xdr:cNvPr>
        <xdr:cNvCxnSpPr/>
      </xdr:nvCxnSpPr>
      <xdr:spPr>
        <a:xfrm>
          <a:off x="7210425" y="5991225"/>
          <a:ext cx="238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276225</xdr:colOff>
      <xdr:row>40</xdr:row>
      <xdr:rowOff>190499</xdr:rowOff>
    </xdr:from>
    <xdr:to>
      <xdr:col>8</xdr:col>
      <xdr:colOff>361950</xdr:colOff>
      <xdr:row>45</xdr:row>
      <xdr:rowOff>28574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F0D618C-126D-464D-9B9E-B5B3A1DD3C99}"/>
            </a:ext>
          </a:extLst>
        </xdr:cNvPr>
        <xdr:cNvSpPr/>
      </xdr:nvSpPr>
      <xdr:spPr>
        <a:xfrm>
          <a:off x="4543425" y="8229599"/>
          <a:ext cx="695325" cy="79057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r>
            <a:rPr lang="en-US" sz="1100"/>
            <a:t>        2</a:t>
          </a:r>
        </a:p>
        <a:p>
          <a:pPr algn="l"/>
          <a:r>
            <a:rPr lang="en-US" sz="1100"/>
            <a:t>=</a:t>
          </a:r>
        </a:p>
        <a:p>
          <a:pPr algn="l"/>
          <a:r>
            <a:rPr lang="en-US" sz="1100"/>
            <a:t>        6</a:t>
          </a:r>
        </a:p>
      </xdr:txBody>
    </xdr:sp>
    <xdr:clientData/>
  </xdr:twoCellAnchor>
  <xdr:twoCellAnchor>
    <xdr:from>
      <xdr:col>8</xdr:col>
      <xdr:colOff>238125</xdr:colOff>
      <xdr:row>40</xdr:row>
      <xdr:rowOff>190499</xdr:rowOff>
    </xdr:from>
    <xdr:to>
      <xdr:col>9</xdr:col>
      <xdr:colOff>323850</xdr:colOff>
      <xdr:row>45</xdr:row>
      <xdr:rowOff>28574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855C9DE-FCE8-4C16-8AFF-4B4B2770A9ED}"/>
            </a:ext>
          </a:extLst>
        </xdr:cNvPr>
        <xdr:cNvSpPr/>
      </xdr:nvSpPr>
      <xdr:spPr>
        <a:xfrm>
          <a:off x="5114925" y="8229599"/>
          <a:ext cx="695325" cy="790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r>
            <a:rPr lang="en-US" sz="1100"/>
            <a:t>        1</a:t>
          </a:r>
        </a:p>
        <a:p>
          <a:pPr algn="l"/>
          <a:r>
            <a:rPr lang="en-US" sz="1100"/>
            <a:t>=</a:t>
          </a:r>
        </a:p>
        <a:p>
          <a:pPr algn="l"/>
          <a:r>
            <a:rPr lang="en-US" sz="1100"/>
            <a:t>        3</a:t>
          </a:r>
        </a:p>
      </xdr:txBody>
    </xdr:sp>
    <xdr:clientData/>
  </xdr:twoCellAnchor>
  <xdr:twoCellAnchor>
    <xdr:from>
      <xdr:col>7</xdr:col>
      <xdr:colOff>533400</xdr:colOff>
      <xdr:row>43</xdr:row>
      <xdr:rowOff>95250</xdr:rowOff>
    </xdr:from>
    <xdr:to>
      <xdr:col>8</xdr:col>
      <xdr:colOff>161925</xdr:colOff>
      <xdr:row>43</xdr:row>
      <xdr:rowOff>95250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2BA1F0CE-94C9-4363-9446-5B2AC93F8F5A}"/>
            </a:ext>
          </a:extLst>
        </xdr:cNvPr>
        <xdr:cNvCxnSpPr/>
      </xdr:nvCxnSpPr>
      <xdr:spPr>
        <a:xfrm>
          <a:off x="4800600" y="8705850"/>
          <a:ext cx="238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514350</xdr:colOff>
      <xdr:row>43</xdr:row>
      <xdr:rowOff>95250</xdr:rowOff>
    </xdr:from>
    <xdr:to>
      <xdr:col>9</xdr:col>
      <xdr:colOff>142875</xdr:colOff>
      <xdr:row>43</xdr:row>
      <xdr:rowOff>95250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B1A0E58-F1CA-4D11-BEC9-7F1F4535D0E4}"/>
            </a:ext>
          </a:extLst>
        </xdr:cNvPr>
        <xdr:cNvCxnSpPr/>
      </xdr:nvCxnSpPr>
      <xdr:spPr>
        <a:xfrm>
          <a:off x="5391150" y="8705850"/>
          <a:ext cx="238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42</xdr:row>
      <xdr:rowOff>59270</xdr:rowOff>
    </xdr:from>
    <xdr:to>
      <xdr:col>5</xdr:col>
      <xdr:colOff>352425</xdr:colOff>
      <xdr:row>45</xdr:row>
      <xdr:rowOff>9619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DFAA53-4DB0-4C73-654D-BA974E9E2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8574620"/>
          <a:ext cx="933450" cy="5218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323850</xdr:colOff>
      <xdr:row>17</xdr:row>
      <xdr:rowOff>138112</xdr:rowOff>
    </xdr:from>
    <xdr:ext cx="10996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836A750-3B48-9DDF-EBFE-921B9F5FD94E}"/>
                </a:ext>
              </a:extLst>
            </xdr:cNvPr>
            <xdr:cNvSpPr txBox="1"/>
          </xdr:nvSpPr>
          <xdr:spPr>
            <a:xfrm>
              <a:off x="4829175" y="3738562"/>
              <a:ext cx="1099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>
                        <a:latin typeface="Cambria Math" panose="02040503050406030204" pitchFamily="18" charset="0"/>
                      </a:rPr>
                      <m:t>5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836A750-3B48-9DDF-EBFE-921B9F5FD94E}"/>
                </a:ext>
              </a:extLst>
            </xdr:cNvPr>
            <xdr:cNvSpPr txBox="1"/>
          </xdr:nvSpPr>
          <xdr:spPr>
            <a:xfrm>
              <a:off x="4829175" y="3738562"/>
              <a:ext cx="1099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5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1"/>
  <sheetViews>
    <sheetView tabSelected="1" workbookViewId="0">
      <selection activeCell="O44" sqref="O44"/>
    </sheetView>
  </sheetViews>
  <sheetFormatPr defaultRowHeight="15"/>
  <sheetData>
    <row r="2" spans="1:4" ht="21">
      <c r="A2" s="1" t="s">
        <v>0</v>
      </c>
      <c r="B2" s="1" t="s">
        <v>1</v>
      </c>
    </row>
    <row r="3" spans="1:4" ht="21">
      <c r="B3" s="1" t="s">
        <v>2</v>
      </c>
    </row>
    <row r="4" spans="1:4" ht="21">
      <c r="B4" s="1" t="s">
        <v>3</v>
      </c>
    </row>
    <row r="6" spans="1:4" ht="21">
      <c r="A6" s="1" t="s">
        <v>4</v>
      </c>
    </row>
    <row r="8" spans="1:4" ht="18">
      <c r="C8" s="3" t="s">
        <v>23</v>
      </c>
    </row>
    <row r="10" spans="1:4">
      <c r="D10" t="s">
        <v>24</v>
      </c>
    </row>
    <row r="12" spans="1:4">
      <c r="D12" t="s">
        <v>38</v>
      </c>
    </row>
    <row r="14" spans="1:4">
      <c r="D14" t="s">
        <v>25</v>
      </c>
    </row>
    <row r="18" spans="3:5" ht="18">
      <c r="C18" s="3" t="s">
        <v>26</v>
      </c>
    </row>
    <row r="20" spans="3:5">
      <c r="D20" s="4" t="s">
        <v>27</v>
      </c>
    </row>
    <row r="21" spans="3:5">
      <c r="E21" t="s">
        <v>28</v>
      </c>
    </row>
    <row r="23" spans="3:5">
      <c r="E23" t="s">
        <v>39</v>
      </c>
    </row>
    <row r="25" spans="3:5">
      <c r="D25" s="4" t="s">
        <v>29</v>
      </c>
    </row>
    <row r="26" spans="3:5">
      <c r="E26" t="s">
        <v>30</v>
      </c>
    </row>
    <row r="28" spans="3:5">
      <c r="D28" s="4" t="s">
        <v>31</v>
      </c>
    </row>
    <row r="33" spans="3:7" ht="18">
      <c r="C33" s="3" t="s">
        <v>32</v>
      </c>
    </row>
    <row r="35" spans="3:7">
      <c r="D35" s="4" t="s">
        <v>33</v>
      </c>
    </row>
    <row r="37" spans="3:7">
      <c r="E37" t="s">
        <v>40</v>
      </c>
    </row>
    <row r="39" spans="3:7">
      <c r="D39" s="4" t="s">
        <v>29</v>
      </c>
    </row>
    <row r="40" spans="3:7">
      <c r="E40" t="s">
        <v>34</v>
      </c>
    </row>
    <row r="42" spans="3:7">
      <c r="D42" s="4" t="s">
        <v>31</v>
      </c>
    </row>
    <row r="44" spans="3:7">
      <c r="G44" t="s">
        <v>41</v>
      </c>
    </row>
    <row r="47" spans="3:7" ht="18">
      <c r="C47" s="3" t="s">
        <v>37</v>
      </c>
    </row>
    <row r="48" spans="3:7">
      <c r="C48" s="5"/>
    </row>
    <row r="49" spans="4:4">
      <c r="D49" s="6" t="s">
        <v>35</v>
      </c>
    </row>
    <row r="50" spans="4:4">
      <c r="D50" s="5"/>
    </row>
    <row r="51" spans="4:4">
      <c r="D51" s="6" t="s">
        <v>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41C4-673B-4EED-89BC-3A06572A7370}">
  <dimension ref="A2:J22"/>
  <sheetViews>
    <sheetView topLeftCell="A3" workbookViewId="0">
      <selection activeCell="T17" sqref="T17"/>
    </sheetView>
  </sheetViews>
  <sheetFormatPr defaultRowHeight="15"/>
  <cols>
    <col min="3" max="3" width="16.5703125" bestFit="1" customWidth="1"/>
  </cols>
  <sheetData>
    <row r="2" spans="1:10" ht="21">
      <c r="A2" s="1" t="s">
        <v>0</v>
      </c>
      <c r="B2" s="1" t="s">
        <v>5</v>
      </c>
    </row>
    <row r="3" spans="1:10" ht="21">
      <c r="B3" s="1" t="s">
        <v>7</v>
      </c>
    </row>
    <row r="4" spans="1:10" ht="21">
      <c r="B4" s="1" t="s">
        <v>8</v>
      </c>
    </row>
    <row r="5" spans="1:10" ht="21">
      <c r="B5" s="1" t="s">
        <v>9</v>
      </c>
    </row>
    <row r="6" spans="1:10" ht="21">
      <c r="B6" s="1" t="s">
        <v>6</v>
      </c>
    </row>
    <row r="9" spans="1:10" ht="21.75" thickBot="1">
      <c r="A9" s="1" t="s">
        <v>4</v>
      </c>
    </row>
    <row r="10" spans="1:10" ht="23.25">
      <c r="C10" s="9" t="s">
        <v>47</v>
      </c>
      <c r="D10" s="10" t="s">
        <v>42</v>
      </c>
      <c r="G10" s="15" t="s">
        <v>56</v>
      </c>
    </row>
    <row r="11" spans="1:10">
      <c r="C11" s="11" t="s">
        <v>43</v>
      </c>
      <c r="D11" s="12">
        <v>50</v>
      </c>
    </row>
    <row r="12" spans="1:10">
      <c r="C12" s="11" t="s">
        <v>44</v>
      </c>
      <c r="D12" s="12">
        <v>20</v>
      </c>
      <c r="I12" t="s">
        <v>54</v>
      </c>
      <c r="J12" s="4" t="s">
        <v>53</v>
      </c>
    </row>
    <row r="13" spans="1:10">
      <c r="C13" s="11" t="s">
        <v>45</v>
      </c>
      <c r="D13" s="12">
        <v>15</v>
      </c>
      <c r="I13" s="2"/>
    </row>
    <row r="14" spans="1:10" ht="15.75" thickBot="1">
      <c r="C14" s="13" t="s">
        <v>46</v>
      </c>
      <c r="D14" s="14">
        <v>5</v>
      </c>
      <c r="I14" s="19" t="s">
        <v>55</v>
      </c>
      <c r="J14" s="17">
        <f>($D12+$D13-D14)/50</f>
        <v>0.6</v>
      </c>
    </row>
    <row r="16" spans="1:10">
      <c r="C16" s="8"/>
      <c r="J16" t="s">
        <v>50</v>
      </c>
    </row>
    <row r="20" spans="7:7" ht="23.25">
      <c r="G20" s="15" t="s">
        <v>51</v>
      </c>
    </row>
    <row r="22" spans="7:7">
      <c r="G22" s="4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14392-9AE9-4536-9CD6-82DB2F05AC49}">
  <dimension ref="A2:I29"/>
  <sheetViews>
    <sheetView topLeftCell="A6" workbookViewId="0">
      <selection activeCell="P23" sqref="P23"/>
    </sheetView>
  </sheetViews>
  <sheetFormatPr defaultRowHeight="15"/>
  <cols>
    <col min="3" max="4" width="11.140625" bestFit="1" customWidth="1"/>
    <col min="5" max="5" width="11.7109375" bestFit="1" customWidth="1"/>
    <col min="7" max="8" width="19.85546875" bestFit="1" customWidth="1"/>
  </cols>
  <sheetData>
    <row r="2" spans="1:9" ht="21">
      <c r="A2" s="1" t="s">
        <v>0</v>
      </c>
      <c r="B2" s="1" t="s">
        <v>10</v>
      </c>
    </row>
    <row r="6" spans="1:9" ht="21.75" thickBot="1">
      <c r="A6" s="1" t="s">
        <v>4</v>
      </c>
    </row>
    <row r="7" spans="1:9">
      <c r="C7" s="25" t="s">
        <v>57</v>
      </c>
      <c r="D7" s="26" t="s">
        <v>42</v>
      </c>
    </row>
    <row r="8" spans="1:9">
      <c r="C8" s="11" t="s">
        <v>58</v>
      </c>
      <c r="D8" s="23">
        <v>3</v>
      </c>
    </row>
    <row r="9" spans="1:9">
      <c r="C9" s="11" t="s">
        <v>59</v>
      </c>
      <c r="D9" s="23">
        <v>2</v>
      </c>
    </row>
    <row r="10" spans="1:9" ht="15.75" thickBot="1">
      <c r="C10" s="13" t="s">
        <v>60</v>
      </c>
      <c r="D10" s="24">
        <f>$D8+$D9</f>
        <v>5</v>
      </c>
    </row>
    <row r="12" spans="1:9" ht="23.25">
      <c r="F12" s="15" t="s">
        <v>66</v>
      </c>
    </row>
    <row r="14" spans="1:9">
      <c r="G14" t="s">
        <v>63</v>
      </c>
    </row>
    <row r="16" spans="1:9">
      <c r="H16" s="27" t="s">
        <v>57</v>
      </c>
      <c r="I16" s="27" t="s">
        <v>42</v>
      </c>
    </row>
    <row r="17" spans="6:9">
      <c r="H17" s="21" t="s">
        <v>61</v>
      </c>
      <c r="I17" s="22">
        <f>$D8-1</f>
        <v>2</v>
      </c>
    </row>
    <row r="18" spans="6:9">
      <c r="H18" s="21" t="s">
        <v>62</v>
      </c>
      <c r="I18" s="22">
        <f>$D10-1</f>
        <v>4</v>
      </c>
    </row>
    <row r="21" spans="6:9" ht="23.25">
      <c r="F21" s="15" t="s">
        <v>67</v>
      </c>
    </row>
    <row r="23" spans="6:9">
      <c r="H23" s="28">
        <f>$I17/$I18</f>
        <v>0.5</v>
      </c>
    </row>
    <row r="25" spans="6:9">
      <c r="H25" t="s">
        <v>64</v>
      </c>
    </row>
    <row r="27" spans="6:9" ht="23.25">
      <c r="F27" s="15" t="s">
        <v>68</v>
      </c>
    </row>
    <row r="29" spans="6:9">
      <c r="G29" s="4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7B1C-DCD2-474E-8EE6-9F49C691C9A8}">
  <dimension ref="A2:E30"/>
  <sheetViews>
    <sheetView workbookViewId="0">
      <selection activeCell="E23" sqref="E23"/>
    </sheetView>
  </sheetViews>
  <sheetFormatPr defaultRowHeight="15"/>
  <sheetData>
    <row r="2" spans="1:5" ht="21">
      <c r="A2" s="1" t="s">
        <v>0</v>
      </c>
      <c r="B2" s="1" t="s">
        <v>11</v>
      </c>
    </row>
    <row r="3" spans="1:5" ht="21">
      <c r="B3" s="1" t="s">
        <v>12</v>
      </c>
    </row>
    <row r="6" spans="1:5" ht="21">
      <c r="A6" s="1" t="s">
        <v>4</v>
      </c>
    </row>
    <row r="8" spans="1:5" ht="21">
      <c r="C8" s="29" t="s">
        <v>72</v>
      </c>
    </row>
    <row r="10" spans="1:5">
      <c r="D10" s="35" t="s">
        <v>76</v>
      </c>
    </row>
    <row r="11" spans="1:5">
      <c r="D11" s="32"/>
    </row>
    <row r="12" spans="1:5">
      <c r="E12" s="33" t="s">
        <v>73</v>
      </c>
    </row>
    <row r="13" spans="1:5">
      <c r="E13" s="32"/>
    </row>
    <row r="14" spans="1:5">
      <c r="E14" s="33" t="s">
        <v>74</v>
      </c>
    </row>
    <row r="15" spans="1:5">
      <c r="D15" s="30"/>
    </row>
    <row r="16" spans="1:5">
      <c r="D16" s="30" t="s">
        <v>69</v>
      </c>
    </row>
    <row r="17" spans="3:5">
      <c r="D17" s="30"/>
    </row>
    <row r="18" spans="3:5">
      <c r="D18" s="34" t="s">
        <v>75</v>
      </c>
    </row>
    <row r="19" spans="3:5">
      <c r="D19" s="32"/>
    </row>
    <row r="20" spans="3:5">
      <c r="E20" s="32" t="s">
        <v>77</v>
      </c>
    </row>
    <row r="21" spans="3:5">
      <c r="E21" s="32"/>
    </row>
    <row r="22" spans="3:5">
      <c r="E22" s="32" t="s">
        <v>78</v>
      </c>
    </row>
    <row r="23" spans="3:5">
      <c r="E23" s="30"/>
    </row>
    <row r="24" spans="3:5">
      <c r="D24" s="30" t="s">
        <v>70</v>
      </c>
    </row>
    <row r="28" spans="3:5" ht="21">
      <c r="C28" s="29" t="s">
        <v>68</v>
      </c>
    </row>
    <row r="30" spans="3:5">
      <c r="D30" s="4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0DDE6-E2BD-4A67-8867-D5599EAFFDBF}">
  <dimension ref="A2:E24"/>
  <sheetViews>
    <sheetView workbookViewId="0">
      <selection activeCell="P26" sqref="P26"/>
    </sheetView>
  </sheetViews>
  <sheetFormatPr defaultRowHeight="15"/>
  <cols>
    <col min="3" max="3" width="15.85546875" customWidth="1"/>
    <col min="4" max="4" width="20.85546875" bestFit="1" customWidth="1"/>
    <col min="5" max="5" width="6.140625" bestFit="1" customWidth="1"/>
  </cols>
  <sheetData>
    <row r="2" spans="1:5" ht="21">
      <c r="A2" s="1" t="s">
        <v>0</v>
      </c>
      <c r="B2" s="1" t="s">
        <v>13</v>
      </c>
    </row>
    <row r="6" spans="1:5" ht="21">
      <c r="A6" s="1" t="s">
        <v>4</v>
      </c>
    </row>
    <row r="8" spans="1:5" ht="23.25">
      <c r="C8" s="15" t="s">
        <v>87</v>
      </c>
    </row>
    <row r="9" spans="1:5" ht="15.75" thickBot="1"/>
    <row r="10" spans="1:5">
      <c r="C10" s="7"/>
      <c r="D10" s="25" t="s">
        <v>57</v>
      </c>
      <c r="E10" s="26" t="s">
        <v>42</v>
      </c>
    </row>
    <row r="11" spans="1:5">
      <c r="C11" s="8"/>
      <c r="D11" s="11" t="s">
        <v>80</v>
      </c>
      <c r="E11" s="23">
        <v>160</v>
      </c>
    </row>
    <row r="12" spans="1:5" ht="15.75" thickBot="1">
      <c r="C12" s="8"/>
      <c r="D12" s="13" t="s">
        <v>81</v>
      </c>
      <c r="E12" s="36">
        <v>158</v>
      </c>
    </row>
    <row r="14" spans="1:5" ht="23.25">
      <c r="C14" s="15" t="s">
        <v>86</v>
      </c>
    </row>
    <row r="16" spans="1:5">
      <c r="D16" s="4" t="s">
        <v>82</v>
      </c>
    </row>
    <row r="18" spans="3:5">
      <c r="D18" t="s">
        <v>83</v>
      </c>
      <c r="E18" s="31">
        <f>$E11-$E12</f>
        <v>2</v>
      </c>
    </row>
    <row r="19" spans="3:5">
      <c r="C19" s="2"/>
    </row>
    <row r="20" spans="3:5" ht="23.25">
      <c r="C20" s="15" t="s">
        <v>68</v>
      </c>
    </row>
    <row r="22" spans="3:5">
      <c r="D22" s="4" t="s">
        <v>84</v>
      </c>
    </row>
    <row r="24" spans="3:5">
      <c r="C24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88BD-7EB4-4573-970E-95D3A8FE7636}">
  <dimension ref="A2:E53"/>
  <sheetViews>
    <sheetView topLeftCell="A30" workbookViewId="0">
      <selection activeCell="K41" sqref="K41"/>
    </sheetView>
  </sheetViews>
  <sheetFormatPr defaultRowHeight="15"/>
  <cols>
    <col min="4" max="4" width="27.140625" bestFit="1" customWidth="1"/>
  </cols>
  <sheetData>
    <row r="2" spans="1:1" ht="21">
      <c r="A2" s="1" t="s">
        <v>0</v>
      </c>
    </row>
    <row r="6" spans="1:1" ht="21">
      <c r="A6" s="1" t="s">
        <v>4</v>
      </c>
    </row>
    <row r="31" spans="1:2" ht="21">
      <c r="A31" s="1" t="s">
        <v>0</v>
      </c>
      <c r="B31" s="1" t="s">
        <v>14</v>
      </c>
    </row>
    <row r="35" spans="1:5" ht="21">
      <c r="A35" s="1" t="s">
        <v>4</v>
      </c>
    </row>
    <row r="36" spans="1:5" ht="23.25">
      <c r="C36" s="15" t="s">
        <v>95</v>
      </c>
      <c r="D36" s="37"/>
      <c r="E36" s="37"/>
    </row>
    <row r="37" spans="1:5">
      <c r="C37" s="37"/>
      <c r="D37" s="37"/>
      <c r="E37" s="37"/>
    </row>
    <row r="38" spans="1:5">
      <c r="C38" s="20"/>
      <c r="D38" s="27" t="s">
        <v>57</v>
      </c>
      <c r="E38" s="27" t="s">
        <v>42</v>
      </c>
    </row>
    <row r="39" spans="1:5">
      <c r="C39" s="2"/>
      <c r="D39" s="21" t="s">
        <v>89</v>
      </c>
      <c r="E39" s="21">
        <v>5000</v>
      </c>
    </row>
    <row r="40" spans="1:5">
      <c r="C40" s="2"/>
      <c r="D40" s="21" t="s">
        <v>90</v>
      </c>
      <c r="E40" s="21">
        <v>100</v>
      </c>
    </row>
    <row r="42" spans="1:5" ht="23.25">
      <c r="C42" s="15" t="s">
        <v>94</v>
      </c>
    </row>
    <row r="44" spans="1:5">
      <c r="D44" s="19" t="s">
        <v>91</v>
      </c>
    </row>
    <row r="47" spans="1:5">
      <c r="D47" s="18" t="s">
        <v>55</v>
      </c>
      <c r="E47">
        <f>$E39/SQRT(E40)</f>
        <v>500</v>
      </c>
    </row>
    <row r="49" spans="3:4" ht="23.25">
      <c r="C49" s="15" t="s">
        <v>68</v>
      </c>
    </row>
    <row r="51" spans="3:4">
      <c r="D51" s="4" t="s">
        <v>92</v>
      </c>
    </row>
    <row r="53" spans="3:4">
      <c r="D53" t="s">
        <v>93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75A4B-B033-48BA-9ADA-8A44C5686D00}">
  <dimension ref="A2:N37"/>
  <sheetViews>
    <sheetView topLeftCell="A13" workbookViewId="0">
      <selection activeCell="L34" sqref="L34"/>
    </sheetView>
  </sheetViews>
  <sheetFormatPr defaultRowHeight="15"/>
  <cols>
    <col min="3" max="3" width="15.5703125" customWidth="1"/>
    <col min="4" max="4" width="15.7109375" bestFit="1" customWidth="1"/>
  </cols>
  <sheetData>
    <row r="2" spans="1:14" ht="21">
      <c r="A2" s="1" t="s">
        <v>0</v>
      </c>
      <c r="B2" s="1" t="s">
        <v>15</v>
      </c>
    </row>
    <row r="3" spans="1:14" ht="21">
      <c r="B3" s="1" t="s">
        <v>16</v>
      </c>
    </row>
    <row r="4" spans="1:14" ht="21">
      <c r="B4" s="1" t="s">
        <v>17</v>
      </c>
    </row>
    <row r="5" spans="1:14" ht="21">
      <c r="B5" s="1" t="s">
        <v>18</v>
      </c>
    </row>
    <row r="6" spans="1:14" ht="21">
      <c r="B6" s="1" t="s">
        <v>19</v>
      </c>
    </row>
    <row r="8" spans="1:14" ht="21">
      <c r="A8" s="1" t="s">
        <v>4</v>
      </c>
    </row>
    <row r="9" spans="1:14" ht="23.25">
      <c r="C9" s="15" t="s">
        <v>79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</row>
    <row r="10" spans="1:14"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</row>
    <row r="11" spans="1:14">
      <c r="C11" s="20"/>
      <c r="D11" s="27" t="s">
        <v>57</v>
      </c>
      <c r="E11" s="27" t="s">
        <v>42</v>
      </c>
      <c r="F11" s="37"/>
      <c r="G11" s="37"/>
      <c r="H11" s="37"/>
      <c r="I11" s="37"/>
      <c r="J11" s="37"/>
      <c r="K11" s="37"/>
      <c r="L11" s="37"/>
      <c r="M11" s="37"/>
      <c r="N11" s="37"/>
    </row>
    <row r="12" spans="1:14">
      <c r="C12" s="2"/>
      <c r="D12" s="21" t="s">
        <v>43</v>
      </c>
      <c r="E12" s="21">
        <v>100</v>
      </c>
      <c r="F12" s="37"/>
      <c r="G12" s="37"/>
      <c r="H12" s="37"/>
      <c r="I12" s="37"/>
      <c r="J12" s="37"/>
      <c r="K12" s="37"/>
      <c r="L12" s="37"/>
      <c r="M12" s="37"/>
      <c r="N12" s="37"/>
    </row>
    <row r="13" spans="1:14">
      <c r="C13" s="2"/>
      <c r="D13" s="21" t="s">
        <v>96</v>
      </c>
      <c r="E13" s="21">
        <v>40</v>
      </c>
      <c r="F13" s="37"/>
      <c r="G13" s="37"/>
      <c r="H13" s="37"/>
      <c r="I13" s="37"/>
      <c r="J13" s="37"/>
      <c r="K13" s="37"/>
      <c r="L13" s="37"/>
      <c r="M13" s="37"/>
      <c r="N13" s="37"/>
    </row>
    <row r="14" spans="1:14">
      <c r="C14" s="2"/>
      <c r="D14" s="21" t="s">
        <v>97</v>
      </c>
      <c r="E14" s="21">
        <v>30</v>
      </c>
      <c r="F14" s="37"/>
      <c r="G14" s="37"/>
      <c r="H14" s="37"/>
      <c r="I14" s="37"/>
      <c r="J14" s="37"/>
      <c r="K14" s="37"/>
      <c r="L14" s="37"/>
      <c r="M14" s="37"/>
      <c r="N14" s="37"/>
    </row>
    <row r="15" spans="1:14">
      <c r="C15" s="2"/>
      <c r="D15" s="21" t="s">
        <v>98</v>
      </c>
      <c r="E15" s="21">
        <v>10</v>
      </c>
      <c r="F15" s="37"/>
      <c r="G15" s="37"/>
      <c r="H15" s="37"/>
      <c r="I15" s="37"/>
      <c r="J15" s="37"/>
      <c r="K15" s="37"/>
      <c r="L15" s="37"/>
      <c r="M15" s="37"/>
      <c r="N15" s="37"/>
    </row>
    <row r="16" spans="1:14"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</row>
    <row r="17" spans="3:14"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</row>
    <row r="18" spans="3:14" ht="23.25">
      <c r="C18" s="15" t="s">
        <v>99</v>
      </c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</row>
    <row r="19" spans="3:14"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</row>
    <row r="20" spans="3:14">
      <c r="D20" s="37" t="s">
        <v>48</v>
      </c>
      <c r="E20" s="37"/>
      <c r="F20" s="37"/>
      <c r="G20" s="37"/>
      <c r="H20" s="37"/>
      <c r="I20" s="37"/>
      <c r="J20" s="37"/>
      <c r="K20" s="37"/>
      <c r="L20" s="37"/>
      <c r="M20" s="37"/>
      <c r="N20" s="37"/>
    </row>
    <row r="21" spans="3:14"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</row>
    <row r="22" spans="3:14">
      <c r="E22" s="37" t="s">
        <v>103</v>
      </c>
      <c r="F22" s="37"/>
      <c r="G22" s="37"/>
      <c r="H22" s="37"/>
      <c r="I22" s="37"/>
      <c r="J22" s="37"/>
      <c r="K22" s="37"/>
      <c r="L22" s="37"/>
      <c r="M22" s="37"/>
      <c r="N22" s="37"/>
    </row>
    <row r="23" spans="3:14"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</row>
    <row r="24" spans="3:14">
      <c r="D24" s="19" t="s">
        <v>55</v>
      </c>
      <c r="E24" s="31">
        <f>E13+E14-E15</f>
        <v>60</v>
      </c>
      <c r="F24" s="37"/>
      <c r="G24" s="37"/>
      <c r="H24" s="37"/>
      <c r="I24" s="37"/>
      <c r="J24" s="37"/>
      <c r="K24" s="37"/>
      <c r="L24" s="37"/>
      <c r="M24" s="37"/>
      <c r="N24" s="37"/>
    </row>
    <row r="25" spans="3:14">
      <c r="D25" s="2"/>
      <c r="E25" s="37"/>
      <c r="F25" s="37"/>
      <c r="G25" s="37"/>
      <c r="H25" s="37"/>
      <c r="I25" s="37"/>
      <c r="J25" s="37"/>
      <c r="K25" s="37"/>
      <c r="L25" s="37"/>
      <c r="M25" s="37"/>
      <c r="N25" s="37"/>
    </row>
    <row r="26" spans="3:14">
      <c r="D26" s="37" t="s">
        <v>100</v>
      </c>
      <c r="E26" s="37"/>
      <c r="F26" s="37"/>
      <c r="G26" s="37"/>
      <c r="H26" s="37"/>
      <c r="I26" s="37"/>
      <c r="J26" s="37"/>
      <c r="K26" s="37"/>
      <c r="L26" s="37"/>
      <c r="M26" s="37"/>
      <c r="N26" s="37"/>
    </row>
    <row r="27" spans="3:14"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</row>
    <row r="28" spans="3:14" ht="23.25">
      <c r="C28" s="15" t="s">
        <v>49</v>
      </c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spans="3:14"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</row>
    <row r="30" spans="3:14">
      <c r="D30" s="37" t="s">
        <v>101</v>
      </c>
      <c r="E30" s="37"/>
      <c r="F30" s="37"/>
      <c r="G30" s="37"/>
      <c r="H30" s="37"/>
      <c r="I30" s="37"/>
      <c r="J30" s="37"/>
      <c r="K30" s="37"/>
      <c r="L30" s="37"/>
      <c r="M30" s="37"/>
      <c r="N30" s="37"/>
    </row>
    <row r="31" spans="3:14"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</row>
    <row r="32" spans="3:14">
      <c r="D32" s="2"/>
      <c r="E32" s="37"/>
      <c r="F32" s="37"/>
      <c r="G32" s="37"/>
      <c r="H32" s="37"/>
      <c r="I32" s="37"/>
      <c r="J32" s="37"/>
      <c r="K32" s="37"/>
      <c r="L32" s="37"/>
      <c r="M32" s="37"/>
      <c r="N32" s="37"/>
    </row>
    <row r="33" spans="3:14">
      <c r="D33" s="19" t="s">
        <v>55</v>
      </c>
      <c r="E33" s="17">
        <f>E24/E12</f>
        <v>0.6</v>
      </c>
      <c r="F33" s="37"/>
      <c r="G33" s="37"/>
      <c r="H33" s="37"/>
      <c r="I33" s="37"/>
      <c r="J33" s="37"/>
      <c r="K33" s="37"/>
      <c r="L33" s="37"/>
      <c r="M33" s="37"/>
      <c r="N33" s="37"/>
    </row>
    <row r="34" spans="3:14"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</row>
    <row r="35" spans="3:14" ht="23.25">
      <c r="C35" s="15" t="s">
        <v>68</v>
      </c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</row>
    <row r="36" spans="3:14"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</row>
    <row r="37" spans="3:14">
      <c r="D37" s="38" t="s">
        <v>102</v>
      </c>
      <c r="E37" s="37"/>
      <c r="F37" s="37"/>
      <c r="G37" s="37"/>
      <c r="H37" s="37"/>
      <c r="I37" s="37"/>
      <c r="J37" s="37"/>
      <c r="K37" s="37"/>
      <c r="L37" s="37"/>
      <c r="M37" s="37"/>
      <c r="N37" s="3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80902-2694-4C02-9E57-303BEED49EEA}">
  <dimension ref="A2:E46"/>
  <sheetViews>
    <sheetView topLeftCell="A23" workbookViewId="0">
      <selection activeCell="L44" sqref="L44"/>
    </sheetView>
  </sheetViews>
  <sheetFormatPr defaultRowHeight="15"/>
  <cols>
    <col min="4" max="4" width="11.140625" bestFit="1" customWidth="1"/>
  </cols>
  <sheetData>
    <row r="2" spans="1:5" ht="21">
      <c r="A2" s="1" t="s">
        <v>0</v>
      </c>
      <c r="B2" s="1" t="s">
        <v>20</v>
      </c>
    </row>
    <row r="6" spans="1:5" ht="21">
      <c r="A6" s="1" t="s">
        <v>4</v>
      </c>
    </row>
    <row r="8" spans="1:5" ht="23.25">
      <c r="B8" s="15" t="s">
        <v>79</v>
      </c>
      <c r="C8" s="37"/>
      <c r="D8" s="37"/>
    </row>
    <row r="9" spans="1:5">
      <c r="B9" s="37"/>
      <c r="C9" s="37"/>
      <c r="D9" s="37"/>
    </row>
    <row r="10" spans="1:5">
      <c r="C10" s="20"/>
      <c r="D10" s="27" t="s">
        <v>57</v>
      </c>
      <c r="E10" s="27" t="s">
        <v>42</v>
      </c>
    </row>
    <row r="11" spans="1:5">
      <c r="C11" s="2"/>
      <c r="D11" s="21" t="s">
        <v>104</v>
      </c>
      <c r="E11" s="21">
        <v>52</v>
      </c>
    </row>
    <row r="12" spans="1:5">
      <c r="C12" s="2"/>
      <c r="D12" s="21" t="s">
        <v>105</v>
      </c>
      <c r="E12" s="21">
        <v>4</v>
      </c>
    </row>
    <row r="13" spans="1:5">
      <c r="B13" s="37"/>
      <c r="C13" s="37"/>
      <c r="D13" s="37"/>
    </row>
    <row r="14" spans="1:5">
      <c r="B14" s="37"/>
      <c r="C14" s="37"/>
      <c r="D14" s="37"/>
    </row>
    <row r="15" spans="1:5" ht="23.25">
      <c r="B15" s="15" t="s">
        <v>106</v>
      </c>
      <c r="C15" s="37"/>
      <c r="D15" s="37"/>
    </row>
    <row r="16" spans="1:5">
      <c r="B16" s="37"/>
      <c r="C16" s="37"/>
      <c r="D16" s="37"/>
    </row>
    <row r="17" spans="2:4">
      <c r="C17" s="37" t="s">
        <v>114</v>
      </c>
      <c r="D17" s="37"/>
    </row>
    <row r="18" spans="2:4">
      <c r="C18" s="2"/>
      <c r="D18" s="37"/>
    </row>
    <row r="19" spans="2:4">
      <c r="D19" s="16">
        <f>$E$12/$E$11</f>
        <v>7.6923076923076927E-2</v>
      </c>
    </row>
    <row r="20" spans="2:4">
      <c r="C20" s="37"/>
      <c r="D20" s="37"/>
    </row>
    <row r="21" spans="2:4">
      <c r="C21" s="37" t="s">
        <v>107</v>
      </c>
      <c r="D21" s="37"/>
    </row>
    <row r="22" spans="2:4">
      <c r="B22" s="37"/>
      <c r="C22" s="37"/>
      <c r="D22" s="37"/>
    </row>
    <row r="23" spans="2:4">
      <c r="B23" s="37"/>
      <c r="C23" s="37"/>
      <c r="D23" s="37"/>
    </row>
    <row r="24" spans="2:4">
      <c r="B24" s="37"/>
      <c r="C24" s="37"/>
      <c r="D24" s="37"/>
    </row>
    <row r="25" spans="2:4" ht="23.25">
      <c r="B25" s="15" t="s">
        <v>108</v>
      </c>
      <c r="C25" s="37"/>
      <c r="D25" s="37"/>
    </row>
    <row r="26" spans="2:4">
      <c r="B26" s="37"/>
      <c r="C26" s="37"/>
      <c r="D26" s="37"/>
    </row>
    <row r="27" spans="2:4">
      <c r="C27" s="37" t="s">
        <v>109</v>
      </c>
      <c r="D27" s="37"/>
    </row>
    <row r="28" spans="2:4">
      <c r="C28" s="37" t="s">
        <v>110</v>
      </c>
      <c r="D28" s="37"/>
    </row>
    <row r="29" spans="2:4">
      <c r="C29" s="37"/>
      <c r="D29" s="37"/>
    </row>
    <row r="30" spans="2:4">
      <c r="C30" s="19" t="s">
        <v>55</v>
      </c>
      <c r="D30" s="16">
        <f>3/51</f>
        <v>5.8823529411764705E-2</v>
      </c>
    </row>
    <row r="31" spans="2:4">
      <c r="B31" s="37"/>
      <c r="C31" s="37"/>
      <c r="D31" s="37"/>
    </row>
    <row r="32" spans="2:4">
      <c r="B32" s="37"/>
      <c r="C32" s="38" t="s">
        <v>115</v>
      </c>
      <c r="D32" s="37"/>
    </row>
    <row r="33" spans="2:4">
      <c r="B33" s="37"/>
      <c r="C33" s="37"/>
      <c r="D33" s="37"/>
    </row>
    <row r="34" spans="2:4" ht="23.25">
      <c r="B34" s="15" t="s">
        <v>111</v>
      </c>
      <c r="C34" s="37"/>
      <c r="D34" s="37"/>
    </row>
    <row r="35" spans="2:4">
      <c r="B35" s="37"/>
      <c r="C35" s="37"/>
      <c r="D35" s="37"/>
    </row>
    <row r="36" spans="2:4">
      <c r="C36" s="37" t="s">
        <v>112</v>
      </c>
      <c r="D36" s="37"/>
    </row>
    <row r="37" spans="2:4">
      <c r="C37" s="37"/>
      <c r="D37" s="37"/>
    </row>
    <row r="38" spans="2:4">
      <c r="C38" s="19" t="s">
        <v>55</v>
      </c>
      <c r="D38" s="16">
        <f>$D$19*$D$30</f>
        <v>4.5248868778280547E-3</v>
      </c>
    </row>
    <row r="39" spans="2:4">
      <c r="B39" s="37"/>
      <c r="C39" s="37"/>
      <c r="D39" s="37"/>
    </row>
    <row r="40" spans="2:4">
      <c r="B40" s="37"/>
      <c r="C40" s="37"/>
      <c r="D40" s="37"/>
    </row>
    <row r="41" spans="2:4">
      <c r="B41" s="37"/>
      <c r="C41" s="37"/>
      <c r="D41" s="37"/>
    </row>
    <row r="42" spans="2:4" ht="23.25">
      <c r="B42" s="15" t="s">
        <v>51</v>
      </c>
      <c r="C42" s="37"/>
      <c r="D42" s="37"/>
    </row>
    <row r="43" spans="2:4">
      <c r="B43" s="37"/>
      <c r="C43" s="37"/>
      <c r="D43" s="37"/>
    </row>
    <row r="44" spans="2:4">
      <c r="C44" s="38" t="s">
        <v>116</v>
      </c>
      <c r="D44" s="37"/>
    </row>
    <row r="45" spans="2:4">
      <c r="C45" s="37"/>
      <c r="D45" s="37"/>
    </row>
    <row r="46" spans="2:4">
      <c r="C46" s="37" t="s">
        <v>113</v>
      </c>
      <c r="D46" s="3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A7361-62C7-496B-A1D4-064E25FA3317}">
  <dimension ref="A2:F31"/>
  <sheetViews>
    <sheetView topLeftCell="A6" workbookViewId="0">
      <selection activeCell="M25" sqref="M25"/>
    </sheetView>
  </sheetViews>
  <sheetFormatPr defaultRowHeight="15"/>
  <cols>
    <col min="4" max="4" width="18.5703125" bestFit="1" customWidth="1"/>
    <col min="5" max="5" width="12.42578125" bestFit="1" customWidth="1"/>
  </cols>
  <sheetData>
    <row r="2" spans="1:6" ht="21">
      <c r="A2" s="1" t="s">
        <v>0</v>
      </c>
      <c r="B2" s="1" t="s">
        <v>21</v>
      </c>
    </row>
    <row r="6" spans="1:6" ht="21">
      <c r="A6" s="1" t="s">
        <v>4</v>
      </c>
    </row>
    <row r="7" spans="1:6" ht="23.25">
      <c r="C7" s="15" t="s">
        <v>88</v>
      </c>
      <c r="D7" s="37"/>
      <c r="E7" s="37"/>
    </row>
    <row r="8" spans="1:6">
      <c r="C8" s="37"/>
      <c r="D8" s="37"/>
      <c r="E8" s="37"/>
    </row>
    <row r="9" spans="1:6">
      <c r="C9" s="20"/>
      <c r="D9" s="27" t="s">
        <v>57</v>
      </c>
      <c r="E9" s="27" t="s">
        <v>42</v>
      </c>
    </row>
    <row r="10" spans="1:6">
      <c r="C10" s="2"/>
      <c r="D10" s="21" t="s">
        <v>117</v>
      </c>
      <c r="E10" s="39">
        <v>0.02</v>
      </c>
    </row>
    <row r="11" spans="1:6">
      <c r="C11" s="2"/>
      <c r="D11" s="21" t="s">
        <v>118</v>
      </c>
      <c r="E11" s="40">
        <f>1-E10</f>
        <v>0.98</v>
      </c>
      <c r="F11" s="22" t="s">
        <v>119</v>
      </c>
    </row>
    <row r="12" spans="1:6">
      <c r="C12" s="2"/>
      <c r="D12" s="21" t="s">
        <v>120</v>
      </c>
      <c r="E12" s="21">
        <v>5</v>
      </c>
    </row>
    <row r="13" spans="1:6">
      <c r="C13" s="37"/>
      <c r="D13" s="37"/>
      <c r="E13" s="37"/>
    </row>
    <row r="14" spans="1:6">
      <c r="C14" s="37"/>
      <c r="D14" s="37"/>
      <c r="E14" s="37"/>
    </row>
    <row r="15" spans="1:6" ht="23.25">
      <c r="C15" s="15" t="s">
        <v>121</v>
      </c>
      <c r="D15" s="37"/>
      <c r="E15" s="37"/>
    </row>
    <row r="16" spans="1:6">
      <c r="C16" s="37"/>
      <c r="D16" s="37"/>
      <c r="E16" s="37"/>
    </row>
    <row r="17" spans="3:5">
      <c r="D17" s="37" t="s">
        <v>91</v>
      </c>
      <c r="E17" s="37"/>
    </row>
    <row r="18" spans="3:5">
      <c r="D18" s="37"/>
      <c r="E18" s="37"/>
    </row>
    <row r="19" spans="3:5">
      <c r="E19" s="37" t="s">
        <v>123</v>
      </c>
    </row>
    <row r="20" spans="3:5">
      <c r="E20" s="37"/>
    </row>
    <row r="21" spans="3:5">
      <c r="D21" s="19" t="s">
        <v>55</v>
      </c>
      <c r="E21" s="41">
        <f>E11^E12</f>
        <v>0.90392079679999982</v>
      </c>
    </row>
    <row r="22" spans="3:5">
      <c r="C22" s="37"/>
      <c r="D22" s="37"/>
      <c r="E22" s="37"/>
    </row>
    <row r="23" spans="3:5">
      <c r="C23" s="37"/>
      <c r="D23" s="37"/>
      <c r="E23" s="37"/>
    </row>
    <row r="24" spans="3:5">
      <c r="C24" s="37"/>
      <c r="D24" s="37"/>
      <c r="E24" s="37"/>
    </row>
    <row r="25" spans="3:5" ht="23.25">
      <c r="C25" s="15" t="s">
        <v>68</v>
      </c>
      <c r="D25" s="37"/>
      <c r="E25" s="37"/>
    </row>
    <row r="26" spans="3:5">
      <c r="C26" s="37"/>
      <c r="D26" s="37"/>
      <c r="E26" s="37"/>
    </row>
    <row r="27" spans="3:5">
      <c r="D27" s="18" t="s">
        <v>125</v>
      </c>
      <c r="E27" s="38" t="s">
        <v>124</v>
      </c>
    </row>
    <row r="28" spans="3:5" ht="15.75">
      <c r="E28" s="42" t="s">
        <v>122</v>
      </c>
    </row>
    <row r="29" spans="3:5">
      <c r="E29" s="43">
        <v>0.90390000000000004</v>
      </c>
    </row>
    <row r="30" spans="3:5">
      <c r="C30" s="37"/>
      <c r="D30" s="37"/>
      <c r="E30" s="37"/>
    </row>
    <row r="31" spans="3:5">
      <c r="C31" s="37" t="s">
        <v>126</v>
      </c>
      <c r="D31" s="37"/>
      <c r="E31" s="3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4B1A3-4787-4D5E-83AF-E497BF25B0A5}">
  <dimension ref="A2:F73"/>
  <sheetViews>
    <sheetView workbookViewId="0">
      <selection activeCell="F73" sqref="F73"/>
    </sheetView>
  </sheetViews>
  <sheetFormatPr defaultRowHeight="15"/>
  <cols>
    <col min="3" max="3" width="26.7109375" customWidth="1"/>
    <col min="4" max="4" width="23.140625" customWidth="1"/>
    <col min="5" max="5" width="56.85546875" bestFit="1" customWidth="1"/>
    <col min="6" max="6" width="37.7109375" customWidth="1"/>
  </cols>
  <sheetData>
    <row r="2" spans="1:5" ht="21">
      <c r="A2" s="1" t="s">
        <v>0</v>
      </c>
      <c r="B2" s="1" t="s">
        <v>22</v>
      </c>
    </row>
    <row r="6" spans="1:5" ht="21">
      <c r="A6" s="1" t="s">
        <v>4</v>
      </c>
    </row>
    <row r="8" spans="1:5" ht="21">
      <c r="C8" s="45" t="s">
        <v>161</v>
      </c>
    </row>
    <row r="10" spans="1:5" ht="15.75">
      <c r="D10" s="44" t="s">
        <v>130</v>
      </c>
    </row>
    <row r="12" spans="1:5">
      <c r="E12" t="s">
        <v>133</v>
      </c>
    </row>
    <row r="14" spans="1:5" ht="15.75">
      <c r="D14" s="44" t="s">
        <v>134</v>
      </c>
    </row>
    <row r="16" spans="1:5">
      <c r="E16" t="s">
        <v>162</v>
      </c>
    </row>
    <row r="18" spans="3:5">
      <c r="E18" t="s">
        <v>163</v>
      </c>
    </row>
    <row r="20" spans="3:5">
      <c r="E20" t="s">
        <v>164</v>
      </c>
    </row>
    <row r="22" spans="3:5" ht="15.75">
      <c r="D22" s="44" t="s">
        <v>132</v>
      </c>
    </row>
    <row r="23" spans="3:5" ht="15.75">
      <c r="D23" s="44"/>
    </row>
    <row r="24" spans="3:5">
      <c r="E24" t="s">
        <v>135</v>
      </c>
    </row>
    <row r="26" spans="3:5">
      <c r="E26" t="s">
        <v>136</v>
      </c>
    </row>
    <row r="28" spans="3:5">
      <c r="E28" t="s">
        <v>137</v>
      </c>
    </row>
    <row r="32" spans="3:5" ht="21">
      <c r="C32" s="45" t="s">
        <v>138</v>
      </c>
    </row>
    <row r="34" spans="4:5" ht="15.75">
      <c r="D34" s="44" t="s">
        <v>130</v>
      </c>
    </row>
    <row r="36" spans="4:5">
      <c r="E36" t="s">
        <v>139</v>
      </c>
    </row>
    <row r="38" spans="4:5" ht="15.75">
      <c r="D38" s="44" t="s">
        <v>134</v>
      </c>
    </row>
    <row r="40" spans="4:5">
      <c r="E40" t="s">
        <v>165</v>
      </c>
    </row>
    <row r="42" spans="4:5">
      <c r="E42" t="s">
        <v>166</v>
      </c>
    </row>
    <row r="44" spans="4:5">
      <c r="E44" t="s">
        <v>167</v>
      </c>
    </row>
    <row r="46" spans="4:5" ht="15.75">
      <c r="D46" s="44" t="s">
        <v>132</v>
      </c>
    </row>
    <row r="48" spans="4:5">
      <c r="E48" t="s">
        <v>140</v>
      </c>
    </row>
    <row r="50" spans="3:6">
      <c r="E50" t="s">
        <v>141</v>
      </c>
    </row>
    <row r="52" spans="3:6">
      <c r="E52" t="s">
        <v>142</v>
      </c>
    </row>
    <row r="56" spans="3:6" ht="21">
      <c r="C56" s="45" t="s">
        <v>143</v>
      </c>
    </row>
    <row r="58" spans="3:6">
      <c r="D58" s="46" t="s">
        <v>127</v>
      </c>
      <c r="E58" s="46" t="s">
        <v>128</v>
      </c>
      <c r="F58" s="46" t="s">
        <v>129</v>
      </c>
    </row>
    <row r="59" spans="3:6">
      <c r="D59" s="47" t="s">
        <v>131</v>
      </c>
      <c r="E59" s="47" t="s">
        <v>144</v>
      </c>
      <c r="F59" s="47" t="s">
        <v>145</v>
      </c>
    </row>
    <row r="60" spans="3:6">
      <c r="D60" s="47" t="s">
        <v>146</v>
      </c>
      <c r="E60" s="47" t="s">
        <v>147</v>
      </c>
      <c r="F60" s="47" t="s">
        <v>148</v>
      </c>
    </row>
    <row r="61" spans="3:6">
      <c r="D61" s="47" t="s">
        <v>149</v>
      </c>
      <c r="E61" s="47" t="s">
        <v>150</v>
      </c>
      <c r="F61" s="47" t="s">
        <v>151</v>
      </c>
    </row>
    <row r="62" spans="3:6">
      <c r="D62" s="47" t="s">
        <v>132</v>
      </c>
      <c r="E62" s="47" t="s">
        <v>152</v>
      </c>
      <c r="F62" s="47" t="s">
        <v>153</v>
      </c>
    </row>
    <row r="63" spans="3:6">
      <c r="D63" s="47" t="s">
        <v>154</v>
      </c>
      <c r="E63" s="47" t="s">
        <v>155</v>
      </c>
      <c r="F63" s="47" t="s">
        <v>156</v>
      </c>
    </row>
    <row r="64" spans="3:6">
      <c r="D64" s="47" t="s">
        <v>157</v>
      </c>
      <c r="E64" s="47" t="s">
        <v>158</v>
      </c>
      <c r="F64" s="47" t="s">
        <v>159</v>
      </c>
    </row>
    <row r="67" spans="3:4" ht="21">
      <c r="C67" s="45" t="s">
        <v>160</v>
      </c>
    </row>
    <row r="69" spans="3:4">
      <c r="D69" t="s">
        <v>168</v>
      </c>
    </row>
    <row r="71" spans="3:4">
      <c r="D71" t="s">
        <v>169</v>
      </c>
    </row>
    <row r="73" spans="3:4">
      <c r="D73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Gopi Singha</cp:lastModifiedBy>
  <dcterms:created xsi:type="dcterms:W3CDTF">2015-06-05T18:17:20Z</dcterms:created>
  <dcterms:modified xsi:type="dcterms:W3CDTF">2025-12-29T19:53:16Z</dcterms:modified>
</cp:coreProperties>
</file>